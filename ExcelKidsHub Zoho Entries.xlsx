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_Responses" sheetId="1" r:id="rId5"/>
    <sheet state="visible" name="Expenses" sheetId="2" r:id="rId6"/>
    <sheet state="visible" name="Summary" sheetId="3" r:id="rId7"/>
    <sheet state="visible" name="Document-Design" sheetId="4" r:id="rId8"/>
  </sheets>
  <definedNames>
    <definedName hidden="1" localSheetId="0" name="_xlnm._FilterDatabase">Form_Responses!$A$1:$Z$79</definedName>
    <definedName name="MONTHALY_EXPENSES">LAMBDA(ARRAYFORMULA(
IF(Summary!$A$9:$A="","",
SUMIFS(
Form_Responses!$P:$P,
Form_Responses!$Q:$Q,"Paid",
Form_Responses!$A:$A,"&gt;="&amp;EOMONTH(Summary!$A$9:$A,-1)+1,
Form_Responses!$A:$A,"&lt;="&amp;EOMONTH(Summary!$A$9:$A,0)
))))</definedName>
  </definedNames>
  <calcPr/>
</workbook>
</file>

<file path=xl/sharedStrings.xml><?xml version="1.0" encoding="utf-8"?>
<sst xmlns="http://schemas.openxmlformats.org/spreadsheetml/2006/main" count="3984" uniqueCount="470">
  <si>
    <t>Added Time</t>
  </si>
  <si>
    <t>IP Address</t>
  </si>
  <si>
    <t>Enter the student's full name</t>
  </si>
  <si>
    <t>Mode of Learning</t>
  </si>
  <si>
    <t>Level</t>
  </si>
  <si>
    <t>Student's qge</t>
  </si>
  <si>
    <t>Student's gender</t>
  </si>
  <si>
    <t>School name</t>
  </si>
  <si>
    <t>Grade or Class</t>
  </si>
  <si>
    <t>Parent full name</t>
  </si>
  <si>
    <t>Mobile number</t>
  </si>
  <si>
    <t>Email address</t>
  </si>
  <si>
    <t>Student's full address</t>
  </si>
  <si>
    <t>Additional Requirements / Notes</t>
  </si>
  <si>
    <t>How Did You Hear About Us?</t>
  </si>
  <si>
    <t>Course Fees</t>
  </si>
  <si>
    <t>Payment Status</t>
  </si>
  <si>
    <t>Payment Mode</t>
  </si>
  <si>
    <t>Payment Date</t>
  </si>
  <si>
    <t>Transaction ID</t>
  </si>
  <si>
    <t>Receipt No</t>
  </si>
  <si>
    <t>Receipt sent</t>
  </si>
  <si>
    <t>Added Email ID</t>
  </si>
  <si>
    <t>Referrer Name</t>
  </si>
  <si>
    <t>Certificate</t>
  </si>
  <si>
    <t>Batch Name</t>
  </si>
  <si>
    <t>Batch Start Date</t>
  </si>
  <si>
    <t>Batch End Date</t>
  </si>
  <si>
    <t>Jan to Mar 2025</t>
  </si>
  <si>
    <t>Old entry</t>
  </si>
  <si>
    <t>Apr to May 2025</t>
  </si>
  <si>
    <t>11/31/2025 18:35:41</t>
  </si>
  <si>
    <t>Jun to Nov 2025</t>
  </si>
  <si>
    <t>Dec to Mar 2025</t>
  </si>
  <si>
    <t>Teachers - 2025</t>
  </si>
  <si>
    <t>Arnav</t>
  </si>
  <si>
    <t>Utkarsha</t>
  </si>
  <si>
    <t>Adhira</t>
  </si>
  <si>
    <t>Samarth</t>
  </si>
  <si>
    <t xml:space="preserve">Vihaan </t>
  </si>
  <si>
    <t>Nakshay</t>
  </si>
  <si>
    <t>Pratyusha</t>
  </si>
  <si>
    <t>Anushree</t>
  </si>
  <si>
    <t>Saee</t>
  </si>
  <si>
    <t>Keyansh</t>
  </si>
  <si>
    <t>Kush</t>
  </si>
  <si>
    <t>Samriddhi</t>
  </si>
  <si>
    <t xml:space="preserve">Sritama </t>
  </si>
  <si>
    <t>Nitivya katre</t>
  </si>
  <si>
    <t>Online</t>
  </si>
  <si>
    <t>Basic</t>
  </si>
  <si>
    <t>Male</t>
  </si>
  <si>
    <t>Millenium star kids</t>
  </si>
  <si>
    <t>Jr kg</t>
  </si>
  <si>
    <t>Divya bisen</t>
  </si>
  <si>
    <t>bisendivya13@gmail.com</t>
  </si>
  <si>
    <t>9a atlas Cosmos spring thane</t>
  </si>
  <si>
    <t>Friend Referral</t>
  </si>
  <si>
    <t>Paid</t>
  </si>
  <si>
    <t>Direct</t>
  </si>
  <si>
    <t>EMAIL SENT</t>
  </si>
  <si>
    <t>Unknown</t>
  </si>
  <si>
    <t>https://excelkidshub.in/</t>
  </si>
  <si>
    <t>Vedika alkesh Tripathi</t>
  </si>
  <si>
    <t>Offline</t>
  </si>
  <si>
    <t>Advance</t>
  </si>
  <si>
    <t>Female</t>
  </si>
  <si>
    <t>Symbiosis international school</t>
  </si>
  <si>
    <t>Ey-2</t>
  </si>
  <si>
    <t>Kirti alkesh Tripathi</t>
  </si>
  <si>
    <t>kirti.tripathi0710@gmail.com</t>
  </si>
  <si>
    <t>Blue villa banglo,lane no 3,Vrindavan colony, kalwad road, opp bird blooming school near goodwill Fabian dhanori</t>
  </si>
  <si>
    <t>English communication and handwriting</t>
  </si>
  <si>
    <t>Ridhanya kakde</t>
  </si>
  <si>
    <t>Dr.mar thephillous</t>
  </si>
  <si>
    <t>Rishikesh kakde</t>
  </si>
  <si>
    <t>shrutikakakde29@gmail.com</t>
  </si>
  <si>
    <t>Flat no.703,B wing, Nivasa uddan society, porwal road,lohegaon pune</t>
  </si>
  <si>
    <t>Social Media</t>
  </si>
  <si>
    <t>Pending</t>
  </si>
  <si>
    <t>Yashvi limje</t>
  </si>
  <si>
    <t>Shiny star modern school rudrapur</t>
  </si>
  <si>
    <t>LKG</t>
  </si>
  <si>
    <t>Ranjeeta limje</t>
  </si>
  <si>
    <t>nidhishlimje@gmail.com</t>
  </si>
  <si>
    <t>EBRO f 304 omaxe riviera Rudarpur</t>
  </si>
  <si>
    <t>Yas</t>
  </si>
  <si>
    <t>Tanush shashikant suryawanshi</t>
  </si>
  <si>
    <t>Dr. Martheophilus school</t>
  </si>
  <si>
    <t>Shashikant pandurang suryawanshi</t>
  </si>
  <si>
    <t>shashi.surya@gmail.com</t>
  </si>
  <si>
    <t>A1302 Ganga new town, porwal road dhanori pune</t>
  </si>
  <si>
    <t>We want improvement in spelling formation</t>
  </si>
  <si>
    <t>Nehesh Nishant Indapure</t>
  </si>
  <si>
    <t>Pune Internatinal school</t>
  </si>
  <si>
    <t>7th</t>
  </si>
  <si>
    <t>Nishant Indapure</t>
  </si>
  <si>
    <t>indapureshweta@gmail.com</t>
  </si>
  <si>
    <t>Nirvana lifecity C Wing Flat no 308 Lohagon</t>
  </si>
  <si>
    <t>Reading</t>
  </si>
  <si>
    <t>Nehesh Indapure</t>
  </si>
  <si>
    <t>Pune Internationl School</t>
  </si>
  <si>
    <t>Nirvana lifecity Lohagon Pune</t>
  </si>
  <si>
    <t>Notes</t>
  </si>
  <si>
    <t>Aakib Jawed Shaikh</t>
  </si>
  <si>
    <t>Dr. Mar Theophilus School</t>
  </si>
  <si>
    <t>Aayesha Jawed Shaikh</t>
  </si>
  <si>
    <t>aayesha.shaikh84@gmail.com</t>
  </si>
  <si>
    <t>Nirman Society,lane 11B, Mumjaba vasti, Dhanori</t>
  </si>
  <si>
    <t>Aayanshi KartikKumar Shah</t>
  </si>
  <si>
    <t>Dr Mar Theophilus School</t>
  </si>
  <si>
    <t>UKG</t>
  </si>
  <si>
    <t>KartikKumar Shah</t>
  </si>
  <si>
    <t>honeykartikshah1@gmail.com</t>
  </si>
  <si>
    <t>Bungalow No 72, Lane no 7, Munjabwasti,Dhanori</t>
  </si>
  <si>
    <t>Saavi Akshay Kale</t>
  </si>
  <si>
    <t>bai najamai nosherwan dastur primary school</t>
  </si>
  <si>
    <t>Shubha Akshay Kale</t>
  </si>
  <si>
    <t>dr.shubhangipachkavde@gmail.com</t>
  </si>
  <si>
    <t>29 gold coast society opposite to Atria Munjaba wasti Tingare nagar Dhanori</t>
  </si>
  <si>
    <t>Pratyusha indurkar</t>
  </si>
  <si>
    <t>Keshav english school waraseoni district Balaghat mp</t>
  </si>
  <si>
    <t>Pragya sakhare</t>
  </si>
  <si>
    <t>9303586081  , 9424980082</t>
  </si>
  <si>
    <t>karunasakhare0545@gmail.com</t>
  </si>
  <si>
    <t>Ward no. 1 himachal nager waraseoni district Balaghat</t>
  </si>
  <si>
    <t>No</t>
  </si>
  <si>
    <t>Anika Vaidya</t>
  </si>
  <si>
    <t>Erin N nagarwala</t>
  </si>
  <si>
    <t>Vishal Vaidya</t>
  </si>
  <si>
    <t>Vishal.v1988@gmail.com</t>
  </si>
  <si>
    <t>Ganga Niwas Munjaba wasti Dhanori</t>
  </si>
  <si>
    <t>Vivaan Vaidya</t>
  </si>
  <si>
    <t>KV BEG</t>
  </si>
  <si>
    <t>VISHAL VAIDYA</t>
  </si>
  <si>
    <t>vishal.v1988@gmail.com</t>
  </si>
  <si>
    <t>https://forms.zohopublic.in/excelkidshubzoho1/form/ParentEnquiryFormExcelKidsHubPhonicsAcademy/thankyou/formperma/eoAa5QfAG8-0p2dnH5DgzpaDjZlLhKtHOgWpBGU7TzA</t>
  </si>
  <si>
    <t>Anvi Prasad chincholkar</t>
  </si>
  <si>
    <t>St. Anne's high school</t>
  </si>
  <si>
    <t>Pranjal Chincholkar</t>
  </si>
  <si>
    <t>pranjalchincholkar90@gmail.com</t>
  </si>
  <si>
    <t>Bhawani Prasad plot no 10, Ramchandra Nagar Lohegaon Khandve Nagar</t>
  </si>
  <si>
    <t>Yes</t>
  </si>
  <si>
    <t>B1</t>
  </si>
  <si>
    <t>St Anne's primary school</t>
  </si>
  <si>
    <t>Bhavani Prasad ,plot no.10 lane 4, Ramchandra Nagar Lohegaon Khandve Nagar</t>
  </si>
  <si>
    <t>From Google search</t>
  </si>
  <si>
    <t>Saireesh Sachin kerlekar</t>
  </si>
  <si>
    <t>Narayana Etechno Wagholi</t>
  </si>
  <si>
    <t>Sachin Raghunath Kerlekar</t>
  </si>
  <si>
    <t>sachin.kerlekar@gmail.com</t>
  </si>
  <si>
    <t>FN.A21, Castle CHS, Viman Nagar</t>
  </si>
  <si>
    <t>Looking for his reading and spelling creation improvement</t>
  </si>
  <si>
    <t>SEAYA SHARMA</t>
  </si>
  <si>
    <t>VK Patil</t>
  </si>
  <si>
    <t>Sandeep Sharma</t>
  </si>
  <si>
    <t>seaya.sharma@gmail.com</t>
  </si>
  <si>
    <t>Flat 410, Wing F, Gini Belvista, Dhanori</t>
  </si>
  <si>
    <t>Siddhi Ashish Mhasitkar</t>
  </si>
  <si>
    <t>Neuron Labs Dhanori Pune</t>
  </si>
  <si>
    <t>3rd</t>
  </si>
  <si>
    <t>Ashish Raghunath Mhasitkar</t>
  </si>
  <si>
    <t>ashish.mhasitkar@gmail.com</t>
  </si>
  <si>
    <t>Mayur Kilbil Society, Dhanori, Pune</t>
  </si>
  <si>
    <t>Ranveer Kumar</t>
  </si>
  <si>
    <t>Billabong international school</t>
  </si>
  <si>
    <t>Ridhima khera</t>
  </si>
  <si>
    <t>riddhmaakhera@gmail.com</t>
  </si>
  <si>
    <t>E801, satellite towers, Koregaon park , Pune</t>
  </si>
  <si>
    <t>Nihira Pratik  Gawnde</t>
  </si>
  <si>
    <t>SSWS</t>
  </si>
  <si>
    <t>Pratik Gawande</t>
  </si>
  <si>
    <t>pratikgd.gawande@gmail.com</t>
  </si>
  <si>
    <t>411,Skyways Harmony, Lohegaon</t>
  </si>
  <si>
    <t>Advik Garole</t>
  </si>
  <si>
    <t>Mounts and patrick school</t>
  </si>
  <si>
    <t>Ukg</t>
  </si>
  <si>
    <t>Neha Garole</t>
  </si>
  <si>
    <t>nehajadhav.22081992@gmail.com</t>
  </si>
  <si>
    <t>Laxmi nagar dhanori,pune</t>
  </si>
  <si>
    <t>Zikra Waseem Shiledar</t>
  </si>
  <si>
    <t>Nagarwala day school</t>
  </si>
  <si>
    <t>Basera waseem Shiledar</t>
  </si>
  <si>
    <t>basera.shiledar@gmail.com</t>
  </si>
  <si>
    <t>Khizra appartment, flat no 301,behind Bharat dhaba,next to ganga aria,dhanori pune</t>
  </si>
  <si>
    <t>Naitvik Prashant Jadhav</t>
  </si>
  <si>
    <t>Asha Vidyalaya</t>
  </si>
  <si>
    <t>Prashant Jadhav</t>
  </si>
  <si>
    <t>Prshntjdhv707@gmail.com</t>
  </si>
  <si>
    <t>Jijai building kalwad</t>
  </si>
  <si>
    <t>Kaivalya Sanjay Dandge</t>
  </si>
  <si>
    <t>Dr. Mar Theophilus School, Dhanori, Pune</t>
  </si>
  <si>
    <t>Sanjay Pralhad Dandge</t>
  </si>
  <si>
    <t>sanjay.dandge1986@gmail.com</t>
  </si>
  <si>
    <t>Goodwill Nirmiti, B-902, Bharat Mata Road, Lohegaon</t>
  </si>
  <si>
    <t>Nishtha Sharma</t>
  </si>
  <si>
    <t>DYPIS</t>
  </si>
  <si>
    <t>Jr.Kg</t>
  </si>
  <si>
    <t>Akanksha Saurabh Sharma</t>
  </si>
  <si>
    <t>joshiakanksha27@gmail.com</t>
  </si>
  <si>
    <t>A103 zest county, lohegaon</t>
  </si>
  <si>
    <t>Google</t>
  </si>
  <si>
    <t>Rhythm sharma</t>
  </si>
  <si>
    <t>Dolly Oza</t>
  </si>
  <si>
    <t>dollyoza43@gmail.com</t>
  </si>
  <si>
    <t>Hari om sadan, lane no 4/1 ,sr. No 256/2, Khesepark</t>
  </si>
  <si>
    <t>Shivansh Nitin Amgaonkar</t>
  </si>
  <si>
    <t>Vikhe Patil Memorial School</t>
  </si>
  <si>
    <t>Jr KG</t>
  </si>
  <si>
    <t>Shilpa Nitin Amgaonkar</t>
  </si>
  <si>
    <t>nikhare.shilpa@gmail.com</t>
  </si>
  <si>
    <t>F703,Gini Belvista DN Parande Park Dhanori Pune</t>
  </si>
  <si>
    <t>Virat Abhijeet Mancharkar</t>
  </si>
  <si>
    <t>Neuron labs</t>
  </si>
  <si>
    <t>2 nd class</t>
  </si>
  <si>
    <t>Radhika Abhijeet mancharkar</t>
  </si>
  <si>
    <t>Radhika.narwaria@gmail.com</t>
  </si>
  <si>
    <t>Flat no 204, Ameya lotus near Brezza society, dhanori road dhanori Pune 411015</t>
  </si>
  <si>
    <t>2nd class</t>
  </si>
  <si>
    <t>Radhika Abhijeet Mancharkar</t>
  </si>
  <si>
    <t>Aarunya Akshay Kulkarni</t>
  </si>
  <si>
    <t>Fun n Fun</t>
  </si>
  <si>
    <t>Aboli Akshay Kulkarni</t>
  </si>
  <si>
    <t>aboliofficial007@gmail.com</t>
  </si>
  <si>
    <t>C 304 goodwill breeza dhanori</t>
  </si>
  <si>
    <t>Spoken English-basic day to day life useful.</t>
  </si>
  <si>
    <t>Riana Selvaraj</t>
  </si>
  <si>
    <t>The Bishop's</t>
  </si>
  <si>
    <t>2nd Class</t>
  </si>
  <si>
    <t>Sakina Shaikh</t>
  </si>
  <si>
    <t>ssakina0217@gmail.com</t>
  </si>
  <si>
    <t>C1-302, Goodwill Orchid</t>
  </si>
  <si>
    <t>Rian Selvaraj</t>
  </si>
  <si>
    <t>Reesha Tiwari</t>
  </si>
  <si>
    <t>D Y Patil</t>
  </si>
  <si>
    <t>Sr kg</t>
  </si>
  <si>
    <t>Reema Mishra</t>
  </si>
  <si>
    <t>reema.miahra20@gmail.com</t>
  </si>
  <si>
    <t>Khese park</t>
  </si>
  <si>
    <t>Anay Sanket Yavalkar</t>
  </si>
  <si>
    <t>Euro school Kharadi</t>
  </si>
  <si>
    <t>1 st grade</t>
  </si>
  <si>
    <t>Manali Yavalkar</t>
  </si>
  <si>
    <t>manali.yavalkar@gmail.com</t>
  </si>
  <si>
    <t>A1-1401, Nyati Elysia river front road Kharadi</t>
  </si>
  <si>
    <t>Mannwah Kawale</t>
  </si>
  <si>
    <t>DMTS</t>
  </si>
  <si>
    <t>Dr. Kashmira</t>
  </si>
  <si>
    <t>drkashmiralonkar@gmail.com</t>
  </si>
  <si>
    <t>Ehsaas villa plot no 25 S. No 253/A shivaji Maharaj Road khese park lohegaon Road Pune</t>
  </si>
  <si>
    <t>Viaan Singh</t>
  </si>
  <si>
    <t>Sanskriti</t>
  </si>
  <si>
    <t>Shruti Sehgal</t>
  </si>
  <si>
    <t>shrutisehgal29@gmail.com</t>
  </si>
  <si>
    <t>B-102 Vivanta Life Vishakha</t>
  </si>
  <si>
    <t>Looking for improvement in making spellings</t>
  </si>
  <si>
    <t>Eehita yogendra londhe</t>
  </si>
  <si>
    <t>DAV airoli</t>
  </si>
  <si>
    <t>Yogendra uttam londhe</t>
  </si>
  <si>
    <t>saylikamble16@gmail.com</t>
  </si>
  <si>
    <t>402,vaman residency sector 21 ghansoli</t>
  </si>
  <si>
    <t>Amogh Jagdhane</t>
  </si>
  <si>
    <t>St Mary's</t>
  </si>
  <si>
    <t>Nursary</t>
  </si>
  <si>
    <t>Anurag Dattatreya Jagdhane</t>
  </si>
  <si>
    <t>snhfstfd@gmail.com</t>
  </si>
  <si>
    <t>B301 Vivanata life Vishakha</t>
  </si>
  <si>
    <t>Avni Jagdhane</t>
  </si>
  <si>
    <t>Anurag Jagdhane</t>
  </si>
  <si>
    <t>Aniketh</t>
  </si>
  <si>
    <t>Indian high school</t>
  </si>
  <si>
    <t>Sabna</t>
  </si>
  <si>
    <t>sabnasivanandan21@gmail.com</t>
  </si>
  <si>
    <t>Thazhath house anchery thrissur keraala</t>
  </si>
  <si>
    <t>Adyansh Shukla</t>
  </si>
  <si>
    <t>Orchids International</t>
  </si>
  <si>
    <t>Noopur Deshpande</t>
  </si>
  <si>
    <t>noopurdeshpande1010@gmail.com</t>
  </si>
  <si>
    <t>Tower E flat 1501 Majestic Marbella Downtown Rd Kharadi Pune 411014</t>
  </si>
  <si>
    <t>Please make him speak a lot and pls focus on his pronounciation</t>
  </si>
  <si>
    <t>Mahir Dipak Gonate</t>
  </si>
  <si>
    <t>Akansha fun n fun preschool</t>
  </si>
  <si>
    <t>Dipak Gonate</t>
  </si>
  <si>
    <t>kbangar9@gmail.com</t>
  </si>
  <si>
    <t>Flat no 102 A wing star max society Tushar Park Dhanori pune</t>
  </si>
  <si>
    <t>Kiyansh Choudhary</t>
  </si>
  <si>
    <t>JBM Global school, Noida, U.P</t>
  </si>
  <si>
    <t>Nitika Singhal</t>
  </si>
  <si>
    <t>Nitika.singhal8@gmail.com</t>
  </si>
  <si>
    <t>Jaypee Kosmos,flat no.1006, KM-29, Sector-134, Noida</t>
  </si>
  <si>
    <t>Zohaib salman attar</t>
  </si>
  <si>
    <t>Kidzee pre school</t>
  </si>
  <si>
    <t>Salman Abdul razzak attar</t>
  </si>
  <si>
    <t>karishmashikalgar7777@gmail.com</t>
  </si>
  <si>
    <t>Ameer heights,kalwad wasti,pune</t>
  </si>
  <si>
    <t>karishma salman attar</t>
  </si>
  <si>
    <t>Ameer heights, kalwad wasti Lohegaon road,pune</t>
  </si>
  <si>
    <t>Shreesha Sachin Bhangare</t>
  </si>
  <si>
    <t>Vikhe Patil Memorial School, Wagholi</t>
  </si>
  <si>
    <t>Jr. KG</t>
  </si>
  <si>
    <t>Sachin Dnyaneshwar Bhangare</t>
  </si>
  <si>
    <t>bhangresachin@gmail.com</t>
  </si>
  <si>
    <t>C201, Gini Belvista Society, Dhanori</t>
  </si>
  <si>
    <t>Swaraj Sanman Shinde</t>
  </si>
  <si>
    <t>Mount St. Patrick Academy</t>
  </si>
  <si>
    <t>5th</t>
  </si>
  <si>
    <t>Sanman Shinde</t>
  </si>
  <si>
    <t>swara.shinde921@gmail.com</t>
  </si>
  <si>
    <t>Wadgaon Shinde, Lohegaon, Pune.</t>
  </si>
  <si>
    <t>No such requirements but on daily basis give him homework so that whatever has been taught remains in his mind and give updates of whatever taught in the class so that we can take revision at home.</t>
  </si>
  <si>
    <t>Jiyaan Ripal vadgama</t>
  </si>
  <si>
    <t>Sanskriti school</t>
  </si>
  <si>
    <t>ukg</t>
  </si>
  <si>
    <t>Krupa ripal vadgama</t>
  </si>
  <si>
    <t>krupabhardiya@gmail.com</t>
  </si>
  <si>
    <t>B 201 ambiance antilia,opp euro kids,bavdhan</t>
  </si>
  <si>
    <t>Maharudra Akkewar</t>
  </si>
  <si>
    <t>currently in Ukg</t>
  </si>
  <si>
    <t>Neha Akkewar</t>
  </si>
  <si>
    <t>shingewar@gmail.com</t>
  </si>
  <si>
    <t>Flat no.C-1104 Shreewoods society Dhanori</t>
  </si>
  <si>
    <t>Siya Thite</t>
  </si>
  <si>
    <t>Kartiki Thite</t>
  </si>
  <si>
    <t>kartiki.lonkar21@gmail.com</t>
  </si>
  <si>
    <t>Ambience Antilia Bavdhan</t>
  </si>
  <si>
    <t>Dr.marthillious</t>
  </si>
  <si>
    <t>Flat no.703 B wing, Nivasa uddan society, porwal road, lohegaon, pune</t>
  </si>
  <si>
    <t>Advik Kedar Shirodkar</t>
  </si>
  <si>
    <t>Vikhe Patil memorial school</t>
  </si>
  <si>
    <t>madhuri morde</t>
  </si>
  <si>
    <t>madhurimorde26@gmail.com</t>
  </si>
  <si>
    <t>Flat no 101, shrey paradise, Siddharth Nagar lane no 1, Dhanori</t>
  </si>
  <si>
    <t>Poster/Hoarding</t>
  </si>
  <si>
    <t>Ridhaan Patle</t>
  </si>
  <si>
    <t>Sandipani pre school</t>
  </si>
  <si>
    <t>Senior Kg</t>
  </si>
  <si>
    <t>NEHA PATLE</t>
  </si>
  <si>
    <t>patleneha79@gmail.com</t>
  </si>
  <si>
    <t>1903 samriddhi indralok, bhayandar</t>
  </si>
  <si>
    <t>Rayanna Rex</t>
  </si>
  <si>
    <t>The Bishop's Co Ed school</t>
  </si>
  <si>
    <t>Sophia Edward</t>
  </si>
  <si>
    <t>sophy.edward@gmail.com</t>
  </si>
  <si>
    <t>A 304 ,Phase 5, Tirupati campus, lane no 2,Tingre Nagar Pune 411015</t>
  </si>
  <si>
    <t>Seanna Rex</t>
  </si>
  <si>
    <t>A 304 , Phase 5, Tirupati campus, lane no2, Tingre Nagar, Pune</t>
  </si>
  <si>
    <t>Saanya Priyadarshini</t>
  </si>
  <si>
    <t>Neuron Labs</t>
  </si>
  <si>
    <t>Manish Kumar Prasad</t>
  </si>
  <si>
    <t>manish0922@gmail.com</t>
  </si>
  <si>
    <t>Flat No - 204 Wing - D Laxmi Nagar Society Dhanori Pune-411015</t>
  </si>
  <si>
    <t>Advita Suraj Shinde</t>
  </si>
  <si>
    <t>First</t>
  </si>
  <si>
    <t>Saraswati Suraj Shinde</t>
  </si>
  <si>
    <t>shindesarita1985@gmail.com</t>
  </si>
  <si>
    <t>Flat no 1302-B, Manhattan, Pride world city. Charholi. Pune 412105.</t>
  </si>
  <si>
    <t>Jui nikhil kulkarni</t>
  </si>
  <si>
    <t>Pragati international school</t>
  </si>
  <si>
    <t>Ankita nikhil kulkarni</t>
  </si>
  <si>
    <t>ankitak1192@gmail.com</t>
  </si>
  <si>
    <t>A1 502 29gold coast building opp atria society</t>
  </si>
  <si>
    <t>Date</t>
  </si>
  <si>
    <t>Expense Category</t>
  </si>
  <si>
    <t>Description</t>
  </si>
  <si>
    <t>Amount</t>
  </si>
  <si>
    <t>Printing</t>
  </si>
  <si>
    <t>Book</t>
  </si>
  <si>
    <t>Rent</t>
  </si>
  <si>
    <t>jan - Dec 2025</t>
  </si>
  <si>
    <t>Marketing</t>
  </si>
  <si>
    <t>Flex Boad</t>
  </si>
  <si>
    <t>Teacher Salary</t>
  </si>
  <si>
    <t>Salary</t>
  </si>
  <si>
    <t>Office Boy</t>
  </si>
  <si>
    <t>salary</t>
  </si>
  <si>
    <t>Internet</t>
  </si>
  <si>
    <t>Website</t>
  </si>
  <si>
    <t>Events</t>
  </si>
  <si>
    <t>Chocolate</t>
  </si>
  <si>
    <t>Miscellanious</t>
  </si>
  <si>
    <t>Petrol</t>
  </si>
  <si>
    <t>OVERALL SUMMARY</t>
  </si>
  <si>
    <t>Total Income</t>
  </si>
  <si>
    <t>Total Expenses</t>
  </si>
  <si>
    <t>Net Profit</t>
  </si>
  <si>
    <t>Month</t>
  </si>
  <si>
    <t>Income</t>
  </si>
  <si>
    <t>Expenses</t>
  </si>
  <si>
    <t>Profit</t>
  </si>
  <si>
    <t/>
  </si>
  <si>
    <t>Finance Tracking System – Quick Reference</t>
  </si>
  <si>
    <t>1. Overview</t>
  </si>
  <si>
    <t>Finance tracking setup using Zoho Forms + Google Sheets + Apps Script.</t>
  </si>
  <si>
    <t>Purpose:</t>
  </si>
  <si>
    <t>Track Income</t>
  </si>
  <si>
    <t>Track Expenses</t>
  </si>
  <si>
    <t>Calculate Monthly Profit</t>
  </si>
  <si>
    <t>Generate automatic monthly summary</t>
  </si>
  <si>
    <t>All calculations are date-based and auto-updated.</t>
  </si>
  <si>
    <t>2. Data Sources</t>
  </si>
  <si>
    <t>Zoho Forms → Form_Responses Sheet</t>
  </si>
  <si>
    <t>Zoho Forms sends payment data to Form_Responses.</t>
  </si>
  <si>
    <t>Important fields used by the system:</t>
  </si>
  <si>
    <t>Column</t>
  </si>
  <si>
    <t>Field</t>
  </si>
  <si>
    <t>Purpose</t>
  </si>
  <si>
    <t>P</t>
  </si>
  <si>
    <t>Income value</t>
  </si>
  <si>
    <t>Q</t>
  </si>
  <si>
    <t>Only Paid records counted</t>
  </si>
  <si>
    <t>S</t>
  </si>
  <si>
    <t>Determines monthly income</t>
  </si>
  <si>
    <t>3. Apps Script Automation</t>
  </si>
  <si>
    <t>Script Location:</t>
  </si>
  <si>
    <t>Extensions → Apps Script</t>
  </si>
  <si>
    <t>Script Type:</t>
  </si>
  <si>
    <t>Bound Script (attached to spreadsheet)</t>
  </si>
  <si>
    <t>Trigger Used:</t>
  </si>
  <si>
    <t>onEdit(e)</t>
  </si>
  <si>
    <t>Automation Logic</t>
  </si>
  <si>
    <t>When Payment Status becomes "Paid":</t>
  </si>
  <si>
    <t>Send payment confirmation email</t>
  </si>
  <si>
    <t>Set Payment Date (Column S)</t>
  </si>
  <si>
    <t>When Amount changes:</t>
  </si>
  <si>
    <t>Update Payment Date</t>
  </si>
  <si>
    <t>Ensure payment date reflects the actual payment event</t>
  </si>
  <si>
    <t>Avoid manual date entry errors.</t>
  </si>
  <si>
    <t>If needed in future, check Apps Script to see where the Payment Date is set.</t>
  </si>
  <si>
    <t>4. Expenses Sheet</t>
  </si>
  <si>
    <t>Manual expense tracking.</t>
  </si>
  <si>
    <t>A</t>
  </si>
  <si>
    <t>B</t>
  </si>
  <si>
    <t>C</t>
  </si>
  <si>
    <t>D</t>
  </si>
  <si>
    <t>Expenses are summarized based on Date.</t>
  </si>
  <si>
    <t>5. Summary Sheet</t>
  </si>
  <si>
    <t>Automatically calculates:</t>
  </si>
  <si>
    <t>Monthly Income</t>
  </si>
  <si>
    <t>Monthly Expenses</t>
  </si>
  <si>
    <t>Monthly Profit</t>
  </si>
  <si>
    <t>Overall totals</t>
  </si>
  <si>
    <t>Income depends on</t>
  </si>
  <si>
    <t>Expenses depend on</t>
  </si>
  <si>
    <t>Expense Date</t>
  </si>
  <si>
    <t>Expense Amount</t>
  </si>
  <si>
    <t>Profit = Income − Expenses</t>
  </si>
  <si>
    <t>6. Automatic Update Triggers</t>
  </si>
  <si>
    <t>Summary updates when:</t>
  </si>
  <si>
    <t>Payment Status → Paid</t>
  </si>
  <si>
    <t>Payment Amount changes</t>
  </si>
  <si>
    <t>Payment Date changes</t>
  </si>
  <si>
    <t>New expense added</t>
  </si>
  <si>
    <t>Expense date changes</t>
  </si>
  <si>
    <t>Expense amount changes</t>
  </si>
  <si>
    <t>No manual refresh required.</t>
  </si>
  <si>
    <t>7. Key System Behavior</t>
  </si>
  <si>
    <t>Months generated automatically from Payment Date</t>
  </si>
  <si>
    <t>Supports backdated entries</t>
  </si>
  <si>
    <t>Adding old payments automatically updates the summary</t>
  </si>
  <si>
    <t>Everything updates automatically.</t>
  </si>
  <si>
    <t>8. Tech Stack</t>
  </si>
  <si>
    <t>Zoho Forms – Data input</t>
  </si>
  <si>
    <t>Google Sheets – Storage &amp; reporting</t>
  </si>
  <si>
    <t>Apps Script – Automation (email + payment date update)</t>
  </si>
  <si>
    <t>9. Maintenance Notes</t>
  </si>
  <si>
    <t>Do not modify formulas in Summary sheet</t>
  </si>
  <si>
    <t>Ensure Expense Date and Amount are filled</t>
  </si>
  <si>
    <t>Only Paid payments are counted as income</t>
  </si>
  <si>
    <t>Apps Script controls Payment Date automation</t>
  </si>
  <si>
    <t>Purpose: Internal reference tab for future maintenance or troubleshooting.</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</si>
</sst>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d-mmm-yyyy h:mm:ss"/>
    <numFmt numFmtId="166" formatCode="m/d/yyyy h:mm:ss"/>
    <numFmt numFmtId="167" formatCode="mmm - yyyy"/>
    <numFmt numFmtId="168" formatCode="dd-mmm-yyyy h:mm:ss"/>
    <numFmt numFmtId="169" formatCode="&quot;-&quot;mmm&quot;-&quot;yyyy"/>
  </numFmts>
  <fonts count="7">
    <font>
      <sz val="10.0"/>
      <color rgb="FF000000"/>
      <name val="Arial"/>
      <scheme val="minor"/>
    </font>
    <font>
      <color theme="1"/>
      <name val="Arial"/>
      <scheme val="minor"/>
    </font>
    <font>
      <sz val="11.0"/>
      <color theme="1"/>
      <name val="Calibri"/>
    </font>
    <font>
      <u/>
      <color rgb="FF0000FF"/>
    </font>
    <font>
      <b/>
      <color theme="0"/>
      <name val="Arial"/>
      <scheme val="minor"/>
    </font>
    <font>
      <color theme="0"/>
      <name val="Arial"/>
      <scheme val="minor"/>
    </font>
    <font>
      <sz val="8.0"/>
      <color theme="1"/>
      <name val="Arial"/>
      <scheme val="minor"/>
    </font>
  </fonts>
  <fills count="7">
    <fill>
      <patternFill patternType="none"/>
    </fill>
    <fill>
      <patternFill patternType="lightGray"/>
    </fill>
    <fill>
      <patternFill patternType="solid">
        <fgColor rgb="FF00FF00"/>
        <bgColor rgb="FF00FF00"/>
      </patternFill>
    </fill>
    <fill>
      <patternFill patternType="solid">
        <fgColor rgb="FF741B47"/>
        <bgColor rgb="FF741B47"/>
      </patternFill>
    </fill>
    <fill>
      <patternFill patternType="solid">
        <fgColor theme="9"/>
        <bgColor theme="9"/>
      </patternFill>
    </fill>
    <fill>
      <patternFill patternType="solid">
        <fgColor rgb="FFFF9900"/>
        <bgColor rgb="FFFF9900"/>
      </patternFill>
    </fill>
    <fill>
      <patternFill patternType="solid">
        <fgColor rgb="FF4D703D"/>
        <bgColor rgb="FF4D703D"/>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164"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4" xfId="0" applyFont="1" applyNumberFormat="1"/>
    <xf borderId="0" fillId="0" fontId="1" numFmtId="164" xfId="0" applyFont="1" applyNumberFormat="1"/>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2" numFmtId="0" xfId="0" applyAlignment="1" applyFont="1">
      <alignment vertical="bottom"/>
    </xf>
    <xf borderId="0" fillId="0" fontId="2" numFmtId="0" xfId="0" applyAlignment="1" applyFont="1">
      <alignment horizontal="right" vertical="bottom"/>
    </xf>
    <xf borderId="0" fillId="0" fontId="1" numFmtId="14" xfId="0" applyAlignment="1" applyFont="1" applyNumberFormat="1">
      <alignment readingOrder="0"/>
    </xf>
    <xf borderId="0" fillId="0" fontId="3" numFmtId="0" xfId="0" applyAlignment="1" applyFont="1">
      <alignment readingOrder="0"/>
    </xf>
    <xf borderId="0" fillId="2" fontId="1" numFmtId="0" xfId="0" applyFont="1"/>
    <xf borderId="0" fillId="0" fontId="1" numFmtId="0" xfId="0" applyFont="1"/>
    <xf borderId="0" fillId="3" fontId="4" numFmtId="164" xfId="0" applyAlignment="1" applyFill="1" applyFont="1" applyNumberFormat="1">
      <alignment readingOrder="0"/>
    </xf>
    <xf borderId="0" fillId="4" fontId="1" numFmtId="164" xfId="0" applyAlignment="1" applyFill="1" applyFont="1" applyNumberFormat="1">
      <alignment readingOrder="0"/>
    </xf>
    <xf borderId="0" fillId="4" fontId="1" numFmtId="0" xfId="0" applyFont="1"/>
    <xf borderId="0" fillId="5" fontId="1" numFmtId="164" xfId="0" applyAlignment="1" applyFill="1" applyFont="1" applyNumberFormat="1">
      <alignment readingOrder="0"/>
    </xf>
    <xf borderId="0" fillId="5" fontId="1" numFmtId="0" xfId="0" applyFont="1"/>
    <xf borderId="0" fillId="6" fontId="5" numFmtId="164" xfId="0" applyAlignment="1" applyFill="1" applyFont="1" applyNumberFormat="1">
      <alignment readingOrder="0"/>
    </xf>
    <xf borderId="0" fillId="6" fontId="5" numFmtId="0" xfId="0" applyFont="1"/>
    <xf borderId="0" fillId="6" fontId="5" numFmtId="169" xfId="0" applyAlignment="1" applyFont="1" applyNumberFormat="1">
      <alignment readingOrder="0"/>
    </xf>
    <xf borderId="0" fillId="6" fontId="5" numFmtId="0" xfId="0" applyAlignment="1" applyFont="1">
      <alignment readingOrder="0"/>
    </xf>
    <xf borderId="0" fillId="6" fontId="5" numFmtId="0" xfId="0" applyFont="1"/>
    <xf borderId="0" fillId="0" fontId="1" numFmtId="169" xfId="0" applyFont="1" applyNumberFormat="1"/>
    <xf borderId="0" fillId="0" fontId="1" numFmtId="169" xfId="0" applyAlignment="1" applyFont="1" applyNumberFormat="1">
      <alignment readingOrder="0"/>
    </xf>
    <xf borderId="0" fillId="0" fontId="6" numFmtId="0" xfId="0" applyAlignment="1" applyFont="1">
      <alignment readingOrder="0"/>
    </xf>
    <xf borderId="0" fillId="0" fontId="6" numFmtId="0" xfId="0" applyFont="1"/>
    <xf borderId="0" fillId="0" fontId="6" numFmtId="0" xfId="0" applyFont="1"/>
    <xf borderId="0" fillId="0" fontId="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xcelkidshub.in/" TargetMode="External"/><Relationship Id="rId42" Type="http://schemas.openxmlformats.org/officeDocument/2006/relationships/hyperlink" Target="https://excelkidshub.in/" TargetMode="External"/><Relationship Id="rId41" Type="http://schemas.openxmlformats.org/officeDocument/2006/relationships/hyperlink" Target="https://excelkidshub.in/" TargetMode="External"/><Relationship Id="rId44" Type="http://schemas.openxmlformats.org/officeDocument/2006/relationships/hyperlink" Target="https://excelkidshub.in/" TargetMode="External"/><Relationship Id="rId43" Type="http://schemas.openxmlformats.org/officeDocument/2006/relationships/hyperlink" Target="https://excelkidshub.in/" TargetMode="External"/><Relationship Id="rId46" Type="http://schemas.openxmlformats.org/officeDocument/2006/relationships/hyperlink" Target="https://excelkidshub.in/" TargetMode="External"/><Relationship Id="rId45" Type="http://schemas.openxmlformats.org/officeDocument/2006/relationships/hyperlink" Target="https://excelkidshub.in/" TargetMode="External"/><Relationship Id="rId1" Type="http://schemas.openxmlformats.org/officeDocument/2006/relationships/hyperlink" Target="https://excelkidshub.in/" TargetMode="External"/><Relationship Id="rId2" Type="http://schemas.openxmlformats.org/officeDocument/2006/relationships/hyperlink" Target="https://excelkidshub.in/" TargetMode="External"/><Relationship Id="rId3" Type="http://schemas.openxmlformats.org/officeDocument/2006/relationships/hyperlink" Target="https://excelkidshub.in/" TargetMode="External"/><Relationship Id="rId4" Type="http://schemas.openxmlformats.org/officeDocument/2006/relationships/hyperlink" Target="https://excelkidshub.in/" TargetMode="External"/><Relationship Id="rId9" Type="http://schemas.openxmlformats.org/officeDocument/2006/relationships/hyperlink" Target="https://excelkidshub.in/" TargetMode="External"/><Relationship Id="rId48" Type="http://schemas.openxmlformats.org/officeDocument/2006/relationships/hyperlink" Target="https://forms.zohopublic.in/excelkidshubzoho1/form/ParentEnquiryFormExcelKidsHubPhonicsAcademy/thankyou/formperma/eoAa5QfAG8-0p2dnH5DgzpaDjZlLhKtHOgWpBGU7TzA" TargetMode="External"/><Relationship Id="rId47" Type="http://schemas.openxmlformats.org/officeDocument/2006/relationships/hyperlink" Target="https://excelkidshub.in/" TargetMode="External"/><Relationship Id="rId49" Type="http://schemas.openxmlformats.org/officeDocument/2006/relationships/hyperlink" Target="https://excelkidshub.in/" TargetMode="External"/><Relationship Id="rId5" Type="http://schemas.openxmlformats.org/officeDocument/2006/relationships/hyperlink" Target="https://excelkidshub.in/" TargetMode="External"/><Relationship Id="rId6" Type="http://schemas.openxmlformats.org/officeDocument/2006/relationships/hyperlink" Target="https://excelkidshub.in/" TargetMode="External"/><Relationship Id="rId7" Type="http://schemas.openxmlformats.org/officeDocument/2006/relationships/hyperlink" Target="https://excelkidshub.in/" TargetMode="External"/><Relationship Id="rId8" Type="http://schemas.openxmlformats.org/officeDocument/2006/relationships/hyperlink" Target="https://excelkidshub.in/" TargetMode="External"/><Relationship Id="rId31" Type="http://schemas.openxmlformats.org/officeDocument/2006/relationships/hyperlink" Target="https://excelkidshub.in/" TargetMode="External"/><Relationship Id="rId30" Type="http://schemas.openxmlformats.org/officeDocument/2006/relationships/hyperlink" Target="https://excelkidshub.in/" TargetMode="External"/><Relationship Id="rId33" Type="http://schemas.openxmlformats.org/officeDocument/2006/relationships/hyperlink" Target="https://forms.zohopublic.in/excelkidshubzoho1/form/ParentEnquiryFormExcelKidsHubPhonicsAcademy/thankyou/formperma/eoAa5QfAG8-0p2dnH5DgzpaDjZlLhKtHOgWpBGU7TzA" TargetMode="External"/><Relationship Id="rId32" Type="http://schemas.openxmlformats.org/officeDocument/2006/relationships/hyperlink" Target="https://excelkidshub.in/" TargetMode="External"/><Relationship Id="rId35" Type="http://schemas.openxmlformats.org/officeDocument/2006/relationships/hyperlink" Target="https://excelkidshub.in/" TargetMode="External"/><Relationship Id="rId34" Type="http://schemas.openxmlformats.org/officeDocument/2006/relationships/hyperlink" Target="https://excelkidshub.in/" TargetMode="External"/><Relationship Id="rId37" Type="http://schemas.openxmlformats.org/officeDocument/2006/relationships/hyperlink" Target="https://excelkidshub.in/" TargetMode="External"/><Relationship Id="rId36" Type="http://schemas.openxmlformats.org/officeDocument/2006/relationships/hyperlink" Target="https://excelkidshub.in/" TargetMode="External"/><Relationship Id="rId39" Type="http://schemas.openxmlformats.org/officeDocument/2006/relationships/hyperlink" Target="https://excelkidshub.in/" TargetMode="External"/><Relationship Id="rId38" Type="http://schemas.openxmlformats.org/officeDocument/2006/relationships/hyperlink" Target="https://excelkidshub.in/" TargetMode="External"/><Relationship Id="rId20" Type="http://schemas.openxmlformats.org/officeDocument/2006/relationships/hyperlink" Target="http://jr.kg" TargetMode="External"/><Relationship Id="rId22" Type="http://schemas.openxmlformats.org/officeDocument/2006/relationships/hyperlink" Target="https://excelkidshub.in/" TargetMode="External"/><Relationship Id="rId21" Type="http://schemas.openxmlformats.org/officeDocument/2006/relationships/hyperlink" Target="https://excelkidshub.in/" TargetMode="External"/><Relationship Id="rId24" Type="http://schemas.openxmlformats.org/officeDocument/2006/relationships/hyperlink" Target="https://excelkidshub.in/" TargetMode="External"/><Relationship Id="rId23" Type="http://schemas.openxmlformats.org/officeDocument/2006/relationships/hyperlink" Target="https://excelkidshub.in/" TargetMode="External"/><Relationship Id="rId26" Type="http://schemas.openxmlformats.org/officeDocument/2006/relationships/hyperlink" Target="https://forms.zohopublic.in/excelkidshubzoho1/form/ParentEnquiryFormExcelKidsHubPhonicsAcademy/thankyou/formperma/eoAa5QfAG8-0p2dnH5DgzpaDjZlLhKtHOgWpBGU7TzA" TargetMode="External"/><Relationship Id="rId25" Type="http://schemas.openxmlformats.org/officeDocument/2006/relationships/hyperlink" Target="https://excelkidshub.in/" TargetMode="External"/><Relationship Id="rId28" Type="http://schemas.openxmlformats.org/officeDocument/2006/relationships/hyperlink" Target="https://excelkidshub.in/" TargetMode="External"/><Relationship Id="rId27" Type="http://schemas.openxmlformats.org/officeDocument/2006/relationships/hyperlink" Target="https://excelkidshub.in/" TargetMode="External"/><Relationship Id="rId29" Type="http://schemas.openxmlformats.org/officeDocument/2006/relationships/hyperlink" Target="https://excelkidshub.in/" TargetMode="External"/><Relationship Id="rId51" Type="http://schemas.openxmlformats.org/officeDocument/2006/relationships/hyperlink" Target="https://excelkidshub.in/" TargetMode="External"/><Relationship Id="rId50" Type="http://schemas.openxmlformats.org/officeDocument/2006/relationships/hyperlink" Target="https://excelkidshub.in/" TargetMode="External"/><Relationship Id="rId53" Type="http://schemas.openxmlformats.org/officeDocument/2006/relationships/drawing" Target="../drawings/drawing1.xml"/><Relationship Id="rId52" Type="http://schemas.openxmlformats.org/officeDocument/2006/relationships/hyperlink" Target="https://excelkidshub.in/" TargetMode="External"/><Relationship Id="rId11" Type="http://schemas.openxmlformats.org/officeDocument/2006/relationships/hyperlink" Target="https://excelkidshub.in/" TargetMode="External"/><Relationship Id="rId10" Type="http://schemas.openxmlformats.org/officeDocument/2006/relationships/hyperlink" Target="https://excelkidshub.in/" TargetMode="External"/><Relationship Id="rId13" Type="http://schemas.openxmlformats.org/officeDocument/2006/relationships/hyperlink" Target="https://forms.zohopublic.in/excelkidshubzoho1/form/ParentEnquiryFormExcelKidsHubPhonicsAcademy/thankyou/formperma/eoAa5QfAG8-0p2dnH5DgzpaDjZlLhKtHOgWpBGU7TzA" TargetMode="External"/><Relationship Id="rId12" Type="http://schemas.openxmlformats.org/officeDocument/2006/relationships/hyperlink" Target="https://excelkidshub.in/" TargetMode="External"/><Relationship Id="rId15" Type="http://schemas.openxmlformats.org/officeDocument/2006/relationships/hyperlink" Target="https://excelkidshub.in/" TargetMode="External"/><Relationship Id="rId14" Type="http://schemas.openxmlformats.org/officeDocument/2006/relationships/hyperlink" Target="https://excelkidshub.in/" TargetMode="External"/><Relationship Id="rId17" Type="http://schemas.openxmlformats.org/officeDocument/2006/relationships/hyperlink" Target="https://excelkidshub.in/" TargetMode="External"/><Relationship Id="rId16" Type="http://schemas.openxmlformats.org/officeDocument/2006/relationships/hyperlink" Target="https://excelkidshub.in/" TargetMode="External"/><Relationship Id="rId19" Type="http://schemas.openxmlformats.org/officeDocument/2006/relationships/hyperlink" Target="https://excelkidshub.in/" TargetMode="External"/><Relationship Id="rId18" Type="http://schemas.openxmlformats.org/officeDocument/2006/relationships/hyperlink" Target="https://excelkidshub.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9" max="19" width="33.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3" t="s">
        <v>18</v>
      </c>
      <c r="T1" s="1" t="s">
        <v>19</v>
      </c>
      <c r="U1" s="1" t="s">
        <v>20</v>
      </c>
      <c r="V1" s="1" t="s">
        <v>21</v>
      </c>
      <c r="W1" s="1" t="s">
        <v>22</v>
      </c>
      <c r="X1" s="1" t="s">
        <v>23</v>
      </c>
      <c r="Y1" s="1" t="s">
        <v>24</v>
      </c>
      <c r="Z1" s="1" t="s">
        <v>25</v>
      </c>
      <c r="AA1" s="3" t="s">
        <v>26</v>
      </c>
      <c r="AB1" s="4" t="s">
        <v>27</v>
      </c>
    </row>
    <row r="2">
      <c r="A2" s="5">
        <v>45688.77478009259</v>
      </c>
      <c r="B2" s="1"/>
      <c r="C2" s="1" t="s">
        <v>28</v>
      </c>
      <c r="D2" s="1"/>
      <c r="E2" s="1"/>
      <c r="F2" s="1"/>
      <c r="G2" s="1"/>
      <c r="H2" s="1"/>
      <c r="I2" s="1"/>
      <c r="J2" s="1"/>
      <c r="K2" s="1"/>
      <c r="L2" s="1"/>
      <c r="M2" s="1"/>
      <c r="N2" s="1"/>
      <c r="O2" s="1"/>
      <c r="P2" s="1">
        <v>137100.0</v>
      </c>
      <c r="Q2" s="2" t="s">
        <v>29</v>
      </c>
      <c r="R2" s="1"/>
      <c r="S2" s="3">
        <v>45731.67990740741</v>
      </c>
      <c r="T2" s="1"/>
      <c r="U2" s="1"/>
      <c r="V2" s="1"/>
      <c r="W2" s="1"/>
      <c r="X2" s="1"/>
      <c r="AA2" s="6"/>
      <c r="AB2" s="7"/>
    </row>
    <row r="3">
      <c r="A3" s="5">
        <v>45808.77478009259</v>
      </c>
      <c r="B3" s="1"/>
      <c r="C3" s="1" t="s">
        <v>30</v>
      </c>
      <c r="D3" s="1"/>
      <c r="E3" s="1"/>
      <c r="F3" s="1"/>
      <c r="G3" s="1"/>
      <c r="H3" s="1"/>
      <c r="I3" s="1"/>
      <c r="J3" s="1"/>
      <c r="K3" s="1"/>
      <c r="L3" s="1"/>
      <c r="M3" s="1"/>
      <c r="N3" s="1"/>
      <c r="O3" s="1"/>
      <c r="P3" s="1">
        <v>334000.0</v>
      </c>
      <c r="Q3" s="2" t="s">
        <v>29</v>
      </c>
      <c r="R3" s="1"/>
      <c r="S3" s="3">
        <v>45792.67990740741</v>
      </c>
      <c r="T3" s="1"/>
      <c r="U3" s="1"/>
      <c r="V3" s="1"/>
      <c r="W3" s="1"/>
      <c r="X3" s="1"/>
      <c r="AA3" s="6"/>
      <c r="AB3" s="7"/>
    </row>
    <row r="4">
      <c r="A4" s="1" t="s">
        <v>31</v>
      </c>
      <c r="B4" s="1"/>
      <c r="C4" s="1" t="s">
        <v>32</v>
      </c>
      <c r="D4" s="1"/>
      <c r="E4" s="1"/>
      <c r="F4" s="1"/>
      <c r="G4" s="1"/>
      <c r="H4" s="1"/>
      <c r="I4" s="1"/>
      <c r="J4" s="1"/>
      <c r="K4" s="1"/>
      <c r="L4" s="1"/>
      <c r="M4" s="1"/>
      <c r="N4" s="1"/>
      <c r="O4" s="1"/>
      <c r="P4" s="1">
        <v>202500.0</v>
      </c>
      <c r="Q4" s="2" t="s">
        <v>29</v>
      </c>
      <c r="R4" s="1"/>
      <c r="S4" s="3">
        <v>45976.67990740741</v>
      </c>
      <c r="T4" s="1"/>
      <c r="U4" s="1"/>
      <c r="V4" s="1"/>
      <c r="W4" s="1"/>
      <c r="X4" s="1"/>
      <c r="AA4" s="6"/>
      <c r="AB4" s="7"/>
    </row>
    <row r="5">
      <c r="A5" s="8">
        <v>46022.77478009259</v>
      </c>
      <c r="B5" s="1"/>
      <c r="C5" s="1" t="s">
        <v>33</v>
      </c>
      <c r="D5" s="1"/>
      <c r="E5" s="1"/>
      <c r="F5" s="1"/>
      <c r="G5" s="1"/>
      <c r="H5" s="1"/>
      <c r="I5" s="1"/>
      <c r="J5" s="1"/>
      <c r="K5" s="1"/>
      <c r="L5" s="1"/>
      <c r="M5" s="1"/>
      <c r="N5" s="1"/>
      <c r="O5" s="1"/>
      <c r="P5" s="1">
        <v>292699.0</v>
      </c>
      <c r="Q5" s="2" t="s">
        <v>29</v>
      </c>
      <c r="R5" s="1"/>
      <c r="S5" s="3">
        <v>46006.67990740741</v>
      </c>
      <c r="T5" s="1"/>
      <c r="U5" s="1"/>
      <c r="V5" s="1"/>
      <c r="W5" s="1"/>
      <c r="X5" s="1"/>
      <c r="AA5" s="6"/>
      <c r="AB5" s="7"/>
    </row>
    <row r="6">
      <c r="A6" s="8">
        <v>46022.77478009259</v>
      </c>
      <c r="B6" s="1"/>
      <c r="C6" s="1" t="s">
        <v>34</v>
      </c>
      <c r="D6" s="1"/>
      <c r="E6" s="1"/>
      <c r="F6" s="1"/>
      <c r="G6" s="1"/>
      <c r="H6" s="1"/>
      <c r="I6" s="1"/>
      <c r="J6" s="1"/>
      <c r="K6" s="1"/>
      <c r="L6" s="1"/>
      <c r="M6" s="1"/>
      <c r="N6" s="1"/>
      <c r="O6" s="1"/>
      <c r="P6" s="1">
        <v>47000.0</v>
      </c>
      <c r="Q6" s="2" t="s">
        <v>29</v>
      </c>
      <c r="R6" s="1"/>
      <c r="S6" s="3">
        <v>46006.67990740741</v>
      </c>
      <c r="T6" s="1"/>
      <c r="U6" s="1"/>
      <c r="V6" s="1"/>
      <c r="W6" s="1"/>
      <c r="X6" s="1"/>
      <c r="AA6" s="6"/>
      <c r="AB6" s="7"/>
    </row>
    <row r="7">
      <c r="A7" s="5">
        <v>46053.77478009259</v>
      </c>
      <c r="B7" s="1"/>
      <c r="C7" s="9">
        <v>46023.0</v>
      </c>
      <c r="D7" s="1"/>
      <c r="E7" s="1"/>
      <c r="F7" s="1"/>
      <c r="G7" s="1"/>
      <c r="H7" s="1"/>
      <c r="I7" s="1"/>
      <c r="J7" s="1"/>
      <c r="K7" s="1"/>
      <c r="L7" s="1"/>
      <c r="M7" s="1"/>
      <c r="N7" s="1"/>
      <c r="O7" s="1"/>
      <c r="P7" s="1">
        <v>97000.0</v>
      </c>
      <c r="Q7" s="2" t="s">
        <v>29</v>
      </c>
      <c r="R7" s="1"/>
      <c r="S7" s="3">
        <v>46052.0</v>
      </c>
      <c r="T7" s="1"/>
      <c r="U7" s="1"/>
      <c r="V7" s="1"/>
      <c r="W7" s="1"/>
      <c r="X7" s="1"/>
      <c r="AA7" s="6"/>
      <c r="AB7" s="7"/>
    </row>
    <row r="8">
      <c r="A8" s="10">
        <v>46088.690613425926</v>
      </c>
      <c r="B8" s="1"/>
      <c r="C8" s="11" t="s">
        <v>35</v>
      </c>
      <c r="D8" s="1"/>
      <c r="E8" s="1"/>
      <c r="F8" s="1"/>
      <c r="G8" s="1"/>
      <c r="H8" s="1"/>
      <c r="I8" s="1"/>
      <c r="J8" s="1"/>
      <c r="K8" s="1"/>
      <c r="L8" s="1"/>
      <c r="M8" s="1"/>
      <c r="N8" s="1"/>
      <c r="O8" s="1"/>
      <c r="P8" s="12">
        <v>8000.0</v>
      </c>
      <c r="Q8" s="2"/>
      <c r="R8" s="1"/>
      <c r="S8" s="3">
        <v>46096.73339224537</v>
      </c>
      <c r="T8" s="1"/>
      <c r="U8" s="1"/>
      <c r="V8" s="1"/>
      <c r="W8" s="1"/>
      <c r="X8" s="1"/>
      <c r="AA8" s="6"/>
      <c r="AB8" s="7"/>
    </row>
    <row r="9">
      <c r="A9" s="10">
        <v>46088.690613425926</v>
      </c>
      <c r="B9" s="1"/>
      <c r="C9" s="11" t="s">
        <v>36</v>
      </c>
      <c r="D9" s="1"/>
      <c r="E9" s="1"/>
      <c r="F9" s="1"/>
      <c r="G9" s="1"/>
      <c r="H9" s="1"/>
      <c r="I9" s="1"/>
      <c r="J9" s="1"/>
      <c r="K9" s="1"/>
      <c r="L9" s="1"/>
      <c r="M9" s="1"/>
      <c r="N9" s="1"/>
      <c r="O9" s="1"/>
      <c r="P9" s="12">
        <v>8000.0</v>
      </c>
      <c r="Q9" s="2"/>
      <c r="R9" s="1"/>
      <c r="S9" s="3">
        <v>46096.67990829861</v>
      </c>
      <c r="T9" s="1"/>
      <c r="U9" s="1"/>
      <c r="V9" s="1"/>
      <c r="W9" s="1"/>
      <c r="X9" s="1"/>
      <c r="AA9" s="6"/>
      <c r="AB9" s="7"/>
    </row>
    <row r="10">
      <c r="A10" s="10">
        <v>46088.690613425926</v>
      </c>
      <c r="B10" s="1"/>
      <c r="C10" s="11" t="s">
        <v>37</v>
      </c>
      <c r="D10" s="1"/>
      <c r="E10" s="1"/>
      <c r="F10" s="1"/>
      <c r="G10" s="1"/>
      <c r="H10" s="1"/>
      <c r="I10" s="1"/>
      <c r="J10" s="1"/>
      <c r="K10" s="1"/>
      <c r="L10" s="1"/>
      <c r="M10" s="1"/>
      <c r="N10" s="1"/>
      <c r="O10" s="1"/>
      <c r="P10" s="12">
        <v>8500.0</v>
      </c>
      <c r="Q10" s="2"/>
      <c r="R10" s="1"/>
      <c r="S10" s="3">
        <v>46096.67990829861</v>
      </c>
      <c r="T10" s="1"/>
      <c r="U10" s="1"/>
      <c r="V10" s="1"/>
      <c r="W10" s="1"/>
      <c r="X10" s="1"/>
      <c r="AA10" s="6"/>
      <c r="AB10" s="7"/>
    </row>
    <row r="11">
      <c r="A11" s="10">
        <v>46088.690613425926</v>
      </c>
      <c r="B11" s="1"/>
      <c r="C11" s="11" t="s">
        <v>38</v>
      </c>
      <c r="D11" s="1"/>
      <c r="E11" s="1"/>
      <c r="F11" s="1"/>
      <c r="G11" s="1"/>
      <c r="H11" s="1"/>
      <c r="I11" s="1"/>
      <c r="J11" s="1"/>
      <c r="K11" s="1"/>
      <c r="L11" s="1"/>
      <c r="M11" s="1"/>
      <c r="N11" s="1"/>
      <c r="O11" s="1"/>
      <c r="P11" s="12">
        <v>7500.0</v>
      </c>
      <c r="Q11" s="2"/>
      <c r="R11" s="1"/>
      <c r="S11" s="3">
        <v>46096.73477277778</v>
      </c>
      <c r="T11" s="1"/>
      <c r="U11" s="1"/>
      <c r="V11" s="1"/>
      <c r="W11" s="1"/>
      <c r="X11" s="1"/>
      <c r="AA11" s="6"/>
      <c r="AB11" s="7"/>
    </row>
    <row r="12">
      <c r="A12" s="10">
        <v>46088.690613425926</v>
      </c>
      <c r="B12" s="1"/>
      <c r="C12" s="11" t="s">
        <v>39</v>
      </c>
      <c r="D12" s="1"/>
      <c r="E12" s="1"/>
      <c r="F12" s="1"/>
      <c r="G12" s="1"/>
      <c r="H12" s="1"/>
      <c r="I12" s="1"/>
      <c r="J12" s="1"/>
      <c r="K12" s="1"/>
      <c r="L12" s="1"/>
      <c r="M12" s="1"/>
      <c r="N12" s="1"/>
      <c r="O12" s="1"/>
      <c r="P12" s="12">
        <v>7500.0</v>
      </c>
      <c r="Q12" s="2"/>
      <c r="R12" s="1"/>
      <c r="S12" s="3">
        <v>46096.73781092593</v>
      </c>
      <c r="T12" s="1"/>
      <c r="U12" s="1"/>
      <c r="V12" s="1"/>
      <c r="W12" s="1"/>
      <c r="X12" s="1"/>
      <c r="AA12" s="6"/>
      <c r="AB12" s="7"/>
    </row>
    <row r="13">
      <c r="A13" s="10">
        <v>46088.690613425926</v>
      </c>
      <c r="B13" s="1"/>
      <c r="C13" s="11" t="s">
        <v>40</v>
      </c>
      <c r="D13" s="1"/>
      <c r="E13" s="1"/>
      <c r="F13" s="1"/>
      <c r="G13" s="1"/>
      <c r="H13" s="1"/>
      <c r="I13" s="1"/>
      <c r="J13" s="1"/>
      <c r="K13" s="1"/>
      <c r="L13" s="1"/>
      <c r="M13" s="1"/>
      <c r="N13" s="1"/>
      <c r="O13" s="1"/>
      <c r="P13" s="12">
        <v>3600.0</v>
      </c>
      <c r="Q13" s="2"/>
      <c r="R13" s="1"/>
      <c r="S13" s="3">
        <v>46096.73781092593</v>
      </c>
      <c r="T13" s="1"/>
      <c r="U13" s="1"/>
      <c r="V13" s="1"/>
      <c r="W13" s="1"/>
      <c r="X13" s="1"/>
      <c r="AA13" s="6"/>
      <c r="AB13" s="7"/>
    </row>
    <row r="14">
      <c r="A14" s="10">
        <v>46088.690613425926</v>
      </c>
      <c r="B14" s="1"/>
      <c r="C14" s="11" t="s">
        <v>41</v>
      </c>
      <c r="D14" s="1"/>
      <c r="E14" s="1"/>
      <c r="F14" s="1"/>
      <c r="G14" s="1"/>
      <c r="H14" s="1"/>
      <c r="I14" s="1"/>
      <c r="J14" s="1"/>
      <c r="K14" s="1"/>
      <c r="L14" s="1"/>
      <c r="M14" s="1"/>
      <c r="N14" s="1"/>
      <c r="O14" s="1"/>
      <c r="P14" s="12">
        <v>4000.0</v>
      </c>
      <c r="Q14" s="2"/>
      <c r="R14" s="1"/>
      <c r="S14" s="3">
        <v>46096.73781092593</v>
      </c>
      <c r="T14" s="1"/>
      <c r="U14" s="1"/>
      <c r="V14" s="1"/>
      <c r="W14" s="1"/>
      <c r="X14" s="1"/>
      <c r="AA14" s="6"/>
      <c r="AB14" s="7"/>
    </row>
    <row r="15">
      <c r="A15" s="10">
        <v>46088.690613425926</v>
      </c>
      <c r="C15" s="1" t="s">
        <v>42</v>
      </c>
      <c r="P15" s="1">
        <v>4000.0</v>
      </c>
      <c r="S15" s="13">
        <v>46096.740334629634</v>
      </c>
      <c r="AA15" s="6"/>
      <c r="AB15" s="7"/>
    </row>
    <row r="16">
      <c r="A16" s="10">
        <v>46088.690613425926</v>
      </c>
      <c r="B16" s="1"/>
      <c r="C16" s="11" t="s">
        <v>43</v>
      </c>
      <c r="D16" s="1"/>
      <c r="E16" s="1"/>
      <c r="F16" s="1"/>
      <c r="G16" s="1"/>
      <c r="H16" s="1"/>
      <c r="I16" s="1"/>
      <c r="J16" s="1"/>
      <c r="K16" s="1"/>
      <c r="L16" s="1"/>
      <c r="M16" s="1"/>
      <c r="N16" s="1"/>
      <c r="O16" s="1"/>
      <c r="P16" s="12">
        <v>6500.0</v>
      </c>
      <c r="Q16" s="2"/>
      <c r="R16" s="1"/>
      <c r="S16" s="3">
        <v>46096.74173944445</v>
      </c>
      <c r="T16" s="1"/>
      <c r="U16" s="1"/>
      <c r="V16" s="1"/>
      <c r="W16" s="1"/>
      <c r="X16" s="1"/>
      <c r="AA16" s="6"/>
      <c r="AB16" s="7"/>
    </row>
    <row r="17">
      <c r="A17" s="10">
        <v>46088.690613425926</v>
      </c>
      <c r="B17" s="1"/>
      <c r="C17" s="11" t="s">
        <v>44</v>
      </c>
      <c r="D17" s="1"/>
      <c r="E17" s="1"/>
      <c r="F17" s="1"/>
      <c r="G17" s="1"/>
      <c r="H17" s="1"/>
      <c r="I17" s="1"/>
      <c r="J17" s="1"/>
      <c r="K17" s="1"/>
      <c r="L17" s="1"/>
      <c r="M17" s="1"/>
      <c r="N17" s="1"/>
      <c r="O17" s="1"/>
      <c r="P17" s="12">
        <v>6500.0</v>
      </c>
      <c r="Q17" s="2"/>
      <c r="R17" s="1"/>
      <c r="S17" s="3"/>
      <c r="T17" s="1"/>
      <c r="U17" s="1"/>
      <c r="V17" s="1"/>
      <c r="W17" s="1"/>
      <c r="X17" s="1"/>
      <c r="AA17" s="6"/>
      <c r="AB17" s="7"/>
    </row>
    <row r="18">
      <c r="A18" s="10">
        <v>46088.690613425926</v>
      </c>
      <c r="B18" s="1"/>
      <c r="C18" s="11" t="s">
        <v>45</v>
      </c>
      <c r="D18" s="1"/>
      <c r="E18" s="1"/>
      <c r="F18" s="1"/>
      <c r="G18" s="1"/>
      <c r="H18" s="1"/>
      <c r="I18" s="1"/>
      <c r="J18" s="1"/>
      <c r="K18" s="1"/>
      <c r="L18" s="1"/>
      <c r="M18" s="1"/>
      <c r="N18" s="1"/>
      <c r="O18" s="1"/>
      <c r="P18" s="12">
        <v>6000.0</v>
      </c>
      <c r="Q18" s="2"/>
      <c r="R18" s="1"/>
      <c r="S18" s="3"/>
      <c r="T18" s="1"/>
      <c r="U18" s="1"/>
      <c r="V18" s="1"/>
      <c r="W18" s="1"/>
      <c r="X18" s="1"/>
      <c r="AA18" s="6"/>
      <c r="AB18" s="7"/>
    </row>
    <row r="19">
      <c r="A19" s="10">
        <v>46088.690613425926</v>
      </c>
      <c r="B19" s="1"/>
      <c r="C19" s="1" t="s">
        <v>46</v>
      </c>
      <c r="D19" s="1"/>
      <c r="E19" s="1"/>
      <c r="F19" s="1"/>
      <c r="G19" s="1"/>
      <c r="H19" s="1"/>
      <c r="I19" s="1"/>
      <c r="J19" s="1"/>
      <c r="K19" s="1"/>
      <c r="L19" s="1"/>
      <c r="M19" s="1"/>
      <c r="N19" s="1"/>
      <c r="O19" s="1"/>
      <c r="P19" s="1">
        <v>6000.0</v>
      </c>
      <c r="Q19" s="2"/>
      <c r="R19" s="1"/>
      <c r="S19" s="3">
        <v>46096.742674444446</v>
      </c>
      <c r="T19" s="1"/>
      <c r="U19" s="1"/>
      <c r="V19" s="1"/>
      <c r="W19" s="1"/>
      <c r="X19" s="1"/>
      <c r="AA19" s="6"/>
      <c r="AB19" s="7"/>
    </row>
    <row r="20">
      <c r="A20" s="10">
        <v>46088.690613425926</v>
      </c>
      <c r="B20" s="1"/>
      <c r="C20" s="1" t="s">
        <v>47</v>
      </c>
      <c r="D20" s="1"/>
      <c r="E20" s="1"/>
      <c r="F20" s="1"/>
      <c r="G20" s="1"/>
      <c r="H20" s="1"/>
      <c r="I20" s="1"/>
      <c r="J20" s="1"/>
      <c r="K20" s="1"/>
      <c r="L20" s="1"/>
      <c r="M20" s="1"/>
      <c r="N20" s="1"/>
      <c r="O20" s="1"/>
      <c r="P20" s="1">
        <v>6000.0</v>
      </c>
      <c r="Q20" s="2"/>
      <c r="R20" s="1"/>
      <c r="S20" s="3">
        <v>46096.744663935184</v>
      </c>
      <c r="T20" s="1"/>
      <c r="U20" s="1"/>
      <c r="V20" s="1"/>
      <c r="W20" s="1"/>
      <c r="X20" s="1"/>
      <c r="AA20" s="6"/>
      <c r="AB20" s="7"/>
    </row>
    <row r="21">
      <c r="A21" s="10">
        <v>46096.75508101852</v>
      </c>
      <c r="B21" s="1"/>
      <c r="C21" s="1" t="s">
        <v>48</v>
      </c>
      <c r="D21" s="1" t="s">
        <v>49</v>
      </c>
      <c r="E21" s="1" t="s">
        <v>50</v>
      </c>
      <c r="F21" s="1">
        <v>4.0</v>
      </c>
      <c r="G21" s="1" t="s">
        <v>51</v>
      </c>
      <c r="H21" s="1" t="s">
        <v>52</v>
      </c>
      <c r="I21" s="1" t="s">
        <v>53</v>
      </c>
      <c r="J21" s="1" t="s">
        <v>54</v>
      </c>
      <c r="K21" s="1">
        <v>7.898596308E9</v>
      </c>
      <c r="L21" s="1" t="s">
        <v>55</v>
      </c>
      <c r="M21" s="1" t="s">
        <v>56</v>
      </c>
      <c r="N21" s="1"/>
      <c r="O21" s="1" t="s">
        <v>57</v>
      </c>
      <c r="P21" s="1">
        <v>4500.0</v>
      </c>
      <c r="Q21" s="2" t="s">
        <v>58</v>
      </c>
      <c r="R21" s="1" t="s">
        <v>59</v>
      </c>
      <c r="S21" s="3">
        <v>46097.80789118056</v>
      </c>
      <c r="T21" s="1"/>
      <c r="U21" s="1"/>
      <c r="V21" s="1" t="s">
        <v>60</v>
      </c>
      <c r="W21" s="1" t="s">
        <v>61</v>
      </c>
      <c r="X21" s="14" t="s">
        <v>62</v>
      </c>
      <c r="AA21" s="6"/>
      <c r="AB21" s="7"/>
    </row>
    <row r="22">
      <c r="A22" s="10">
        <v>46097.00435185185</v>
      </c>
      <c r="B22" s="1"/>
      <c r="C22" s="1" t="s">
        <v>63</v>
      </c>
      <c r="D22" s="1" t="s">
        <v>64</v>
      </c>
      <c r="E22" s="1" t="s">
        <v>65</v>
      </c>
      <c r="F22" s="1">
        <v>4.0</v>
      </c>
      <c r="G22" s="1" t="s">
        <v>66</v>
      </c>
      <c r="H22" s="1" t="s">
        <v>67</v>
      </c>
      <c r="I22" s="1" t="s">
        <v>68</v>
      </c>
      <c r="J22" s="1" t="s">
        <v>69</v>
      </c>
      <c r="K22" s="1">
        <v>9.112307291E9</v>
      </c>
      <c r="L22" s="1" t="s">
        <v>70</v>
      </c>
      <c r="M22" s="1" t="s">
        <v>71</v>
      </c>
      <c r="N22" s="1" t="s">
        <v>72</v>
      </c>
      <c r="O22" s="1"/>
      <c r="P22" s="1">
        <v>8500.0</v>
      </c>
      <c r="Q22" s="2" t="s">
        <v>58</v>
      </c>
      <c r="R22" s="1" t="s">
        <v>59</v>
      </c>
      <c r="S22" s="3">
        <v>46097.86873126157</v>
      </c>
      <c r="T22" s="1"/>
      <c r="U22" s="1"/>
      <c r="V22" s="1" t="s">
        <v>60</v>
      </c>
      <c r="W22" s="1" t="s">
        <v>61</v>
      </c>
      <c r="X22" s="14" t="s">
        <v>62</v>
      </c>
      <c r="AA22" s="6"/>
      <c r="AB22" s="7"/>
    </row>
    <row r="23">
      <c r="A23" s="10">
        <v>46097.405381944445</v>
      </c>
      <c r="B23" s="1"/>
      <c r="C23" s="1" t="s">
        <v>73</v>
      </c>
      <c r="D23" s="1" t="s">
        <v>49</v>
      </c>
      <c r="E23" s="1" t="s">
        <v>65</v>
      </c>
      <c r="F23" s="1">
        <v>7.0</v>
      </c>
      <c r="G23" s="1" t="s">
        <v>66</v>
      </c>
      <c r="H23" s="1" t="s">
        <v>74</v>
      </c>
      <c r="I23" s="1">
        <v>2.0</v>
      </c>
      <c r="J23" s="1" t="s">
        <v>75</v>
      </c>
      <c r="K23" s="1">
        <v>9.359896551E9</v>
      </c>
      <c r="L23" s="1" t="s">
        <v>76</v>
      </c>
      <c r="M23" s="1" t="s">
        <v>77</v>
      </c>
      <c r="N23" s="1"/>
      <c r="O23" s="1" t="s">
        <v>78</v>
      </c>
      <c r="P23" s="1"/>
      <c r="Q23" s="2" t="s">
        <v>79</v>
      </c>
      <c r="R23" s="1" t="s">
        <v>59</v>
      </c>
      <c r="S23" s="3"/>
      <c r="T23" s="1"/>
      <c r="U23" s="1"/>
      <c r="V23" s="1"/>
      <c r="W23" s="1" t="s">
        <v>61</v>
      </c>
      <c r="X23" s="14" t="s">
        <v>62</v>
      </c>
      <c r="AA23" s="6"/>
      <c r="AB23" s="7"/>
    </row>
    <row r="24">
      <c r="A24" s="10">
        <v>46098.50813657408</v>
      </c>
      <c r="B24" s="1"/>
      <c r="C24" s="1" t="s">
        <v>80</v>
      </c>
      <c r="D24" s="1" t="s">
        <v>49</v>
      </c>
      <c r="E24" s="1" t="s">
        <v>50</v>
      </c>
      <c r="F24" s="1">
        <v>5.0</v>
      </c>
      <c r="G24" s="1" t="s">
        <v>66</v>
      </c>
      <c r="H24" s="1" t="s">
        <v>81</v>
      </c>
      <c r="I24" s="1" t="s">
        <v>82</v>
      </c>
      <c r="J24" s="1" t="s">
        <v>83</v>
      </c>
      <c r="K24" s="1">
        <v>9.636169689E9</v>
      </c>
      <c r="L24" s="1" t="s">
        <v>84</v>
      </c>
      <c r="M24" s="1" t="s">
        <v>85</v>
      </c>
      <c r="N24" s="1" t="s">
        <v>86</v>
      </c>
      <c r="O24" s="1" t="s">
        <v>57</v>
      </c>
      <c r="P24" s="1">
        <v>4500.0</v>
      </c>
      <c r="Q24" s="2" t="s">
        <v>58</v>
      </c>
      <c r="R24" s="1" t="s">
        <v>59</v>
      </c>
      <c r="S24" s="3">
        <v>46098.794313680555</v>
      </c>
      <c r="T24" s="1"/>
      <c r="U24" s="1"/>
      <c r="V24" s="1" t="s">
        <v>60</v>
      </c>
      <c r="W24" s="1" t="s">
        <v>61</v>
      </c>
      <c r="X24" s="14" t="s">
        <v>62</v>
      </c>
      <c r="AA24" s="6"/>
      <c r="AB24" s="7"/>
    </row>
    <row r="25">
      <c r="A25" s="10">
        <v>46102.80670138889</v>
      </c>
      <c r="B25" s="1"/>
      <c r="C25" s="1" t="s">
        <v>87</v>
      </c>
      <c r="D25" s="1" t="s">
        <v>64</v>
      </c>
      <c r="E25" s="1" t="s">
        <v>65</v>
      </c>
      <c r="F25" s="1">
        <v>12.0</v>
      </c>
      <c r="G25" s="1" t="s">
        <v>51</v>
      </c>
      <c r="H25" s="1" t="s">
        <v>88</v>
      </c>
      <c r="I25" s="1">
        <v>7.0</v>
      </c>
      <c r="J25" s="1" t="s">
        <v>89</v>
      </c>
      <c r="K25" s="1">
        <v>9.763401609E9</v>
      </c>
      <c r="L25" s="1" t="s">
        <v>90</v>
      </c>
      <c r="M25" s="1" t="s">
        <v>91</v>
      </c>
      <c r="N25" s="1" t="s">
        <v>92</v>
      </c>
      <c r="O25" s="1" t="s">
        <v>49</v>
      </c>
      <c r="P25" s="1"/>
      <c r="Q25" s="2" t="s">
        <v>79</v>
      </c>
      <c r="R25" s="1" t="s">
        <v>59</v>
      </c>
      <c r="S25" s="3"/>
      <c r="T25" s="1"/>
      <c r="U25" s="1"/>
      <c r="V25" s="1"/>
      <c r="W25" s="1" t="s">
        <v>61</v>
      </c>
      <c r="X25" s="14" t="s">
        <v>62</v>
      </c>
      <c r="AA25" s="6"/>
      <c r="AB25" s="7"/>
    </row>
    <row r="26">
      <c r="A26" s="10">
        <v>46102.983668981484</v>
      </c>
      <c r="B26" s="1"/>
      <c r="C26" s="1" t="s">
        <v>93</v>
      </c>
      <c r="D26" s="1" t="s">
        <v>64</v>
      </c>
      <c r="E26" s="1" t="s">
        <v>65</v>
      </c>
      <c r="F26" s="1">
        <v>13.0</v>
      </c>
      <c r="G26" s="1" t="s">
        <v>51</v>
      </c>
      <c r="H26" s="1" t="s">
        <v>94</v>
      </c>
      <c r="I26" s="1" t="s">
        <v>95</v>
      </c>
      <c r="J26" s="1" t="s">
        <v>96</v>
      </c>
      <c r="K26" s="1">
        <v>8.421111038E9</v>
      </c>
      <c r="L26" s="1" t="s">
        <v>97</v>
      </c>
      <c r="M26" s="1" t="s">
        <v>98</v>
      </c>
      <c r="N26" s="1" t="s">
        <v>99</v>
      </c>
      <c r="O26" s="1" t="s">
        <v>57</v>
      </c>
      <c r="P26" s="1"/>
      <c r="Q26" s="2" t="s">
        <v>79</v>
      </c>
      <c r="R26" s="1" t="s">
        <v>59</v>
      </c>
      <c r="S26" s="3"/>
      <c r="T26" s="1"/>
      <c r="U26" s="1"/>
      <c r="V26" s="1"/>
      <c r="W26" s="1" t="s">
        <v>61</v>
      </c>
      <c r="X26" s="14" t="s">
        <v>62</v>
      </c>
      <c r="AA26" s="6"/>
      <c r="AB26" s="7"/>
    </row>
    <row r="27">
      <c r="A27" s="10">
        <v>46103.402083333334</v>
      </c>
      <c r="B27" s="1"/>
      <c r="C27" s="1" t="s">
        <v>100</v>
      </c>
      <c r="D27" s="1" t="s">
        <v>64</v>
      </c>
      <c r="E27" s="1" t="s">
        <v>65</v>
      </c>
      <c r="F27" s="1">
        <v>13.0</v>
      </c>
      <c r="G27" s="1" t="s">
        <v>51</v>
      </c>
      <c r="H27" s="1" t="s">
        <v>101</v>
      </c>
      <c r="I27" s="1" t="s">
        <v>95</v>
      </c>
      <c r="J27" s="1" t="s">
        <v>96</v>
      </c>
      <c r="K27" s="1">
        <v>8.421111038E9</v>
      </c>
      <c r="L27" s="1" t="s">
        <v>97</v>
      </c>
      <c r="M27" s="1" t="s">
        <v>102</v>
      </c>
      <c r="N27" s="1" t="s">
        <v>103</v>
      </c>
      <c r="O27" s="1" t="s">
        <v>57</v>
      </c>
      <c r="P27" s="1"/>
      <c r="Q27" s="2" t="s">
        <v>79</v>
      </c>
      <c r="R27" s="1" t="s">
        <v>59</v>
      </c>
      <c r="S27" s="3"/>
      <c r="T27" s="1"/>
      <c r="U27" s="1"/>
      <c r="V27" s="1"/>
      <c r="W27" s="1" t="s">
        <v>61</v>
      </c>
      <c r="X27" s="14" t="s">
        <v>62</v>
      </c>
      <c r="AA27" s="6"/>
      <c r="AB27" s="7"/>
    </row>
    <row r="28">
      <c r="A28" s="10">
        <v>46105.593252314815</v>
      </c>
      <c r="B28" s="1"/>
      <c r="C28" s="1" t="s">
        <v>104</v>
      </c>
      <c r="D28" s="1" t="s">
        <v>64</v>
      </c>
      <c r="E28" s="1" t="s">
        <v>65</v>
      </c>
      <c r="F28" s="1">
        <v>8.0</v>
      </c>
      <c r="G28" s="1" t="s">
        <v>51</v>
      </c>
      <c r="H28" s="1" t="s">
        <v>105</v>
      </c>
      <c r="I28" s="1">
        <v>3.0</v>
      </c>
      <c r="J28" s="1" t="s">
        <v>106</v>
      </c>
      <c r="K28" s="1">
        <v>8.888810799E9</v>
      </c>
      <c r="L28" s="1" t="s">
        <v>107</v>
      </c>
      <c r="M28" s="1" t="s">
        <v>108</v>
      </c>
      <c r="N28" s="1"/>
      <c r="O28" s="1" t="s">
        <v>57</v>
      </c>
      <c r="P28" s="1"/>
      <c r="Q28" s="2" t="s">
        <v>79</v>
      </c>
      <c r="R28" s="1" t="s">
        <v>59</v>
      </c>
      <c r="S28" s="3"/>
      <c r="T28" s="1"/>
      <c r="U28" s="1"/>
      <c r="V28" s="1"/>
      <c r="W28" s="1" t="s">
        <v>61</v>
      </c>
      <c r="X28" s="14" t="s">
        <v>62</v>
      </c>
      <c r="AA28" s="6"/>
      <c r="AB28" s="7"/>
    </row>
    <row r="29">
      <c r="A29" s="10">
        <v>46105.646469907406</v>
      </c>
      <c r="B29" s="1"/>
      <c r="C29" s="1" t="s">
        <v>109</v>
      </c>
      <c r="D29" s="1" t="s">
        <v>64</v>
      </c>
      <c r="E29" s="1" t="s">
        <v>50</v>
      </c>
      <c r="F29" s="1">
        <v>5.0</v>
      </c>
      <c r="G29" s="1" t="s">
        <v>66</v>
      </c>
      <c r="H29" s="1" t="s">
        <v>110</v>
      </c>
      <c r="I29" s="1" t="s">
        <v>111</v>
      </c>
      <c r="J29" s="1" t="s">
        <v>112</v>
      </c>
      <c r="K29" s="1">
        <v>9.998761858E9</v>
      </c>
      <c r="L29" s="1" t="s">
        <v>113</v>
      </c>
      <c r="M29" s="1" t="s">
        <v>114</v>
      </c>
      <c r="N29" s="1"/>
      <c r="O29" s="1" t="s">
        <v>57</v>
      </c>
      <c r="P29" s="1"/>
      <c r="Q29" s="2" t="s">
        <v>79</v>
      </c>
      <c r="R29" s="1" t="s">
        <v>59</v>
      </c>
      <c r="S29" s="3"/>
      <c r="T29" s="1"/>
      <c r="U29" s="1"/>
      <c r="V29" s="1"/>
      <c r="W29" s="1" t="s">
        <v>61</v>
      </c>
      <c r="X29" s="14" t="s">
        <v>62</v>
      </c>
      <c r="AA29" s="6"/>
      <c r="AB29" s="7"/>
    </row>
    <row r="30">
      <c r="A30" s="10">
        <v>46105.96179398148</v>
      </c>
      <c r="B30" s="1"/>
      <c r="C30" s="1" t="s">
        <v>115</v>
      </c>
      <c r="D30" s="1" t="s">
        <v>49</v>
      </c>
      <c r="E30" s="1" t="s">
        <v>65</v>
      </c>
      <c r="F30" s="1">
        <v>6.0</v>
      </c>
      <c r="G30" s="1" t="s">
        <v>66</v>
      </c>
      <c r="H30" s="1" t="s">
        <v>116</v>
      </c>
      <c r="I30" s="1">
        <v>1.0</v>
      </c>
      <c r="J30" s="1" t="s">
        <v>117</v>
      </c>
      <c r="K30" s="1">
        <v>9.404303558E9</v>
      </c>
      <c r="L30" s="1" t="s">
        <v>118</v>
      </c>
      <c r="M30" s="1" t="s">
        <v>119</v>
      </c>
      <c r="N30" s="1"/>
      <c r="O30" s="1" t="s">
        <v>57</v>
      </c>
      <c r="P30" s="1"/>
      <c r="Q30" s="2" t="s">
        <v>79</v>
      </c>
      <c r="R30" s="1" t="s">
        <v>59</v>
      </c>
      <c r="S30" s="3"/>
      <c r="T30" s="1"/>
      <c r="U30" s="1"/>
      <c r="V30" s="1"/>
      <c r="W30" s="1" t="s">
        <v>61</v>
      </c>
      <c r="X30" s="14" t="s">
        <v>62</v>
      </c>
      <c r="AA30" s="6"/>
      <c r="AB30" s="7"/>
    </row>
    <row r="31">
      <c r="A31" s="10">
        <v>46107.007048611114</v>
      </c>
      <c r="B31" s="1"/>
      <c r="C31" s="1" t="s">
        <v>120</v>
      </c>
      <c r="D31" s="1" t="s">
        <v>49</v>
      </c>
      <c r="E31" s="1" t="s">
        <v>65</v>
      </c>
      <c r="F31" s="1">
        <v>5.0</v>
      </c>
      <c r="G31" s="1" t="s">
        <v>66</v>
      </c>
      <c r="H31" s="1" t="s">
        <v>121</v>
      </c>
      <c r="I31" s="1" t="s">
        <v>111</v>
      </c>
      <c r="J31" s="1" t="s">
        <v>122</v>
      </c>
      <c r="K31" s="1" t="s">
        <v>123</v>
      </c>
      <c r="L31" s="1" t="s">
        <v>124</v>
      </c>
      <c r="M31" s="1" t="s">
        <v>125</v>
      </c>
      <c r="N31" s="1" t="s">
        <v>126</v>
      </c>
      <c r="O31" s="1" t="s">
        <v>57</v>
      </c>
      <c r="P31" s="1"/>
      <c r="Q31" s="2" t="s">
        <v>79</v>
      </c>
      <c r="R31" s="1" t="s">
        <v>59</v>
      </c>
      <c r="S31" s="3"/>
      <c r="T31" s="1"/>
      <c r="U31" s="1"/>
      <c r="V31" s="1"/>
      <c r="W31" s="1" t="s">
        <v>61</v>
      </c>
      <c r="X31" s="14" t="s">
        <v>62</v>
      </c>
      <c r="AA31" s="6"/>
      <c r="AB31" s="7"/>
    </row>
    <row r="32">
      <c r="A32" s="10">
        <v>46111.49524305556</v>
      </c>
      <c r="B32" s="1"/>
      <c r="C32" s="1" t="s">
        <v>127</v>
      </c>
      <c r="D32" s="1" t="s">
        <v>64</v>
      </c>
      <c r="E32" s="1" t="s">
        <v>65</v>
      </c>
      <c r="F32" s="1">
        <v>6.0</v>
      </c>
      <c r="G32" s="1" t="s">
        <v>66</v>
      </c>
      <c r="H32" s="1" t="s">
        <v>128</v>
      </c>
      <c r="I32" s="1">
        <v>2.0</v>
      </c>
      <c r="J32" s="1" t="s">
        <v>129</v>
      </c>
      <c r="K32" s="1">
        <v>9.822672693E9</v>
      </c>
      <c r="L32" s="1" t="s">
        <v>130</v>
      </c>
      <c r="M32" s="1" t="s">
        <v>131</v>
      </c>
      <c r="N32" s="1"/>
      <c r="O32" s="1" t="s">
        <v>57</v>
      </c>
      <c r="P32" s="1"/>
      <c r="Q32" s="2" t="s">
        <v>79</v>
      </c>
      <c r="R32" s="1" t="s">
        <v>59</v>
      </c>
      <c r="S32" s="3"/>
      <c r="T32" s="1"/>
      <c r="U32" s="1"/>
      <c r="V32" s="1"/>
      <c r="W32" s="1" t="s">
        <v>61</v>
      </c>
      <c r="X32" s="14" t="s">
        <v>62</v>
      </c>
      <c r="AA32" s="6"/>
      <c r="AB32" s="7"/>
    </row>
    <row r="33">
      <c r="A33" s="10">
        <v>46111.4965625</v>
      </c>
      <c r="B33" s="1"/>
      <c r="C33" s="1" t="s">
        <v>132</v>
      </c>
      <c r="D33" s="1" t="s">
        <v>64</v>
      </c>
      <c r="E33" s="1" t="s">
        <v>65</v>
      </c>
      <c r="F33" s="1">
        <v>9.0</v>
      </c>
      <c r="G33" s="1" t="s">
        <v>51</v>
      </c>
      <c r="H33" s="1" t="s">
        <v>133</v>
      </c>
      <c r="I33" s="1">
        <v>4.0</v>
      </c>
      <c r="J33" s="1" t="s">
        <v>134</v>
      </c>
      <c r="K33" s="1">
        <v>9.822672693E9</v>
      </c>
      <c r="L33" s="1" t="s">
        <v>135</v>
      </c>
      <c r="M33" s="1" t="s">
        <v>131</v>
      </c>
      <c r="N33" s="1"/>
      <c r="O33" s="1" t="s">
        <v>57</v>
      </c>
      <c r="P33" s="1"/>
      <c r="Q33" s="2" t="s">
        <v>79</v>
      </c>
      <c r="R33" s="1" t="s">
        <v>59</v>
      </c>
      <c r="S33" s="3"/>
      <c r="T33" s="1"/>
      <c r="U33" s="1"/>
      <c r="V33" s="1"/>
      <c r="W33" s="1" t="s">
        <v>61</v>
      </c>
      <c r="X33" s="14" t="s">
        <v>136</v>
      </c>
      <c r="AA33" s="6"/>
      <c r="AB33" s="7"/>
    </row>
    <row r="34">
      <c r="A34" s="5"/>
      <c r="B34" s="1"/>
      <c r="C34" s="1"/>
      <c r="D34" s="1"/>
      <c r="E34" s="1"/>
      <c r="F34" s="1"/>
      <c r="G34" s="1"/>
      <c r="H34" s="1"/>
      <c r="I34" s="1"/>
      <c r="J34" s="1"/>
      <c r="K34" s="1"/>
      <c r="L34" s="1"/>
      <c r="M34" s="1"/>
      <c r="N34" s="1"/>
      <c r="O34" s="1"/>
      <c r="Q34" s="2"/>
      <c r="R34" s="1"/>
      <c r="S34" s="3"/>
      <c r="T34" s="1"/>
      <c r="U34" s="1"/>
      <c r="V34" s="1"/>
      <c r="W34" s="1"/>
      <c r="X34" s="1"/>
      <c r="AA34" s="6"/>
      <c r="AB34" s="7"/>
    </row>
    <row r="35">
      <c r="A35" s="5">
        <v>46070.77478009259</v>
      </c>
      <c r="B35" s="1"/>
      <c r="C35" s="1" t="s">
        <v>137</v>
      </c>
      <c r="D35" s="1" t="s">
        <v>49</v>
      </c>
      <c r="E35" s="1" t="s">
        <v>50</v>
      </c>
      <c r="F35" s="1">
        <v>5.0</v>
      </c>
      <c r="G35" s="1" t="s">
        <v>66</v>
      </c>
      <c r="H35" s="1" t="s">
        <v>138</v>
      </c>
      <c r="I35" s="1" t="s">
        <v>111</v>
      </c>
      <c r="J35" s="1" t="s">
        <v>139</v>
      </c>
      <c r="K35" s="1">
        <v>9.37330488E9</v>
      </c>
      <c r="L35" s="1" t="s">
        <v>140</v>
      </c>
      <c r="M35" s="1" t="s">
        <v>141</v>
      </c>
      <c r="N35" s="1" t="s">
        <v>142</v>
      </c>
      <c r="O35" s="1"/>
      <c r="Q35" s="2" t="s">
        <v>79</v>
      </c>
      <c r="R35" s="1" t="s">
        <v>59</v>
      </c>
      <c r="S35" s="3">
        <v>46096.67990829861</v>
      </c>
      <c r="T35" s="1"/>
      <c r="U35" s="1"/>
      <c r="V35" s="1"/>
      <c r="W35" s="1" t="s">
        <v>61</v>
      </c>
      <c r="X35" s="1"/>
      <c r="Z35" s="1" t="s">
        <v>143</v>
      </c>
      <c r="AA35" s="3">
        <v>46096.0</v>
      </c>
      <c r="AB35" s="4">
        <v>46157.0</v>
      </c>
    </row>
    <row r="36">
      <c r="A36" s="5">
        <v>46070.78141203704</v>
      </c>
      <c r="B36" s="1"/>
      <c r="C36" s="1" t="s">
        <v>137</v>
      </c>
      <c r="D36" s="1" t="s">
        <v>49</v>
      </c>
      <c r="E36" s="1" t="s">
        <v>50</v>
      </c>
      <c r="F36" s="1">
        <v>5.0</v>
      </c>
      <c r="G36" s="1" t="s">
        <v>66</v>
      </c>
      <c r="H36" s="1" t="s">
        <v>144</v>
      </c>
      <c r="I36" s="1" t="s">
        <v>111</v>
      </c>
      <c r="J36" s="1" t="s">
        <v>139</v>
      </c>
      <c r="K36" s="1">
        <v>9.595997373E9</v>
      </c>
      <c r="L36" s="1" t="s">
        <v>140</v>
      </c>
      <c r="M36" s="1" t="s">
        <v>145</v>
      </c>
      <c r="N36" s="1"/>
      <c r="O36" s="1" t="s">
        <v>146</v>
      </c>
      <c r="P36" s="1">
        <v>2000.0</v>
      </c>
      <c r="Q36" s="2" t="s">
        <v>58</v>
      </c>
      <c r="R36" s="1" t="s">
        <v>59</v>
      </c>
      <c r="S36" s="3">
        <v>46070.931043136574</v>
      </c>
      <c r="T36" s="1"/>
      <c r="U36" s="1"/>
      <c r="V36" s="1" t="s">
        <v>60</v>
      </c>
      <c r="W36" s="1" t="s">
        <v>61</v>
      </c>
      <c r="X36" s="1"/>
      <c r="AA36" s="6"/>
      <c r="AB36" s="7"/>
    </row>
    <row r="37">
      <c r="A37" s="5">
        <v>46074.87189814815</v>
      </c>
      <c r="B37" s="1"/>
      <c r="C37" s="1" t="s">
        <v>147</v>
      </c>
      <c r="D37" s="1" t="s">
        <v>49</v>
      </c>
      <c r="E37" s="1" t="s">
        <v>50</v>
      </c>
      <c r="F37" s="1">
        <v>9.0</v>
      </c>
      <c r="G37" s="1" t="s">
        <v>51</v>
      </c>
      <c r="H37" s="1" t="s">
        <v>148</v>
      </c>
      <c r="I37" s="1">
        <v>3.0</v>
      </c>
      <c r="J37" s="1" t="s">
        <v>149</v>
      </c>
      <c r="K37" s="1">
        <v>9.975440824E9</v>
      </c>
      <c r="L37" s="1" t="s">
        <v>150</v>
      </c>
      <c r="M37" s="1" t="s">
        <v>151</v>
      </c>
      <c r="N37" s="1" t="s">
        <v>152</v>
      </c>
      <c r="O37" s="1" t="s">
        <v>57</v>
      </c>
      <c r="P37" s="1">
        <v>6500.0</v>
      </c>
      <c r="Q37" s="2" t="s">
        <v>58</v>
      </c>
      <c r="R37" s="1" t="s">
        <v>59</v>
      </c>
      <c r="S37" s="3">
        <v>46090.52656738426</v>
      </c>
      <c r="T37" s="1"/>
      <c r="U37" s="1"/>
      <c r="V37" s="1" t="s">
        <v>60</v>
      </c>
      <c r="W37" s="1" t="s">
        <v>61</v>
      </c>
      <c r="X37" s="1"/>
      <c r="AA37" s="6"/>
      <c r="AB37" s="7"/>
    </row>
    <row r="38">
      <c r="A38" s="5">
        <v>46076.65393518518</v>
      </c>
      <c r="B38" s="1"/>
      <c r="C38" s="1" t="s">
        <v>153</v>
      </c>
      <c r="D38" s="1" t="s">
        <v>64</v>
      </c>
      <c r="E38" s="1" t="s">
        <v>65</v>
      </c>
      <c r="F38" s="1">
        <v>4.0</v>
      </c>
      <c r="G38" s="1" t="s">
        <v>66</v>
      </c>
      <c r="H38" s="1" t="s">
        <v>154</v>
      </c>
      <c r="I38" s="1" t="s">
        <v>82</v>
      </c>
      <c r="J38" s="1" t="s">
        <v>155</v>
      </c>
      <c r="K38" s="1">
        <v>8.411009381E9</v>
      </c>
      <c r="L38" s="1" t="s">
        <v>156</v>
      </c>
      <c r="M38" s="1" t="s">
        <v>157</v>
      </c>
      <c r="N38" s="1"/>
      <c r="O38" s="1" t="s">
        <v>57</v>
      </c>
      <c r="P38" s="1">
        <v>8500.0</v>
      </c>
      <c r="Q38" s="2" t="s">
        <v>58</v>
      </c>
      <c r="R38" s="1" t="s">
        <v>59</v>
      </c>
      <c r="S38" s="3">
        <v>46096.0010397338</v>
      </c>
      <c r="T38" s="1"/>
      <c r="U38" s="1"/>
      <c r="V38" s="1" t="s">
        <v>60</v>
      </c>
      <c r="W38" s="1" t="s">
        <v>61</v>
      </c>
      <c r="X38" s="1"/>
      <c r="AA38" s="6"/>
      <c r="AB38" s="7"/>
    </row>
    <row r="39">
      <c r="A39" s="5">
        <v>46078.776655092595</v>
      </c>
      <c r="B39" s="1"/>
      <c r="C39" s="1" t="s">
        <v>158</v>
      </c>
      <c r="D39" s="1" t="s">
        <v>49</v>
      </c>
      <c r="E39" s="1" t="s">
        <v>65</v>
      </c>
      <c r="F39" s="1">
        <v>9.0</v>
      </c>
      <c r="G39" s="1" t="s">
        <v>66</v>
      </c>
      <c r="H39" s="1" t="s">
        <v>159</v>
      </c>
      <c r="I39" s="1" t="s">
        <v>160</v>
      </c>
      <c r="J39" s="1" t="s">
        <v>161</v>
      </c>
      <c r="K39" s="1">
        <v>9.823199271E9</v>
      </c>
      <c r="L39" s="1" t="s">
        <v>162</v>
      </c>
      <c r="M39" s="1" t="s">
        <v>163</v>
      </c>
      <c r="N39" s="1"/>
      <c r="O39" s="1" t="s">
        <v>57</v>
      </c>
      <c r="P39" s="1">
        <v>6500.0</v>
      </c>
      <c r="Q39" s="2" t="s">
        <v>58</v>
      </c>
      <c r="R39" s="1" t="s">
        <v>59</v>
      </c>
      <c r="S39" s="3">
        <v>46089.94844140046</v>
      </c>
      <c r="T39" s="1"/>
      <c r="U39" s="1"/>
      <c r="V39" s="1" t="s">
        <v>60</v>
      </c>
      <c r="W39" s="1" t="s">
        <v>61</v>
      </c>
      <c r="X39" s="1"/>
      <c r="AA39" s="6"/>
      <c r="AB39" s="7"/>
    </row>
    <row r="40">
      <c r="A40" s="5">
        <v>46080.71623842593</v>
      </c>
      <c r="B40" s="1"/>
      <c r="C40" s="1" t="s">
        <v>164</v>
      </c>
      <c r="D40" s="1" t="s">
        <v>49</v>
      </c>
      <c r="E40" s="1" t="s">
        <v>50</v>
      </c>
      <c r="F40" s="1">
        <v>6.0</v>
      </c>
      <c r="G40" s="1" t="s">
        <v>51</v>
      </c>
      <c r="H40" s="1" t="s">
        <v>165</v>
      </c>
      <c r="I40" s="1">
        <v>1.0</v>
      </c>
      <c r="J40" s="1" t="s">
        <v>166</v>
      </c>
      <c r="K40" s="1">
        <v>9.818065684E9</v>
      </c>
      <c r="L40" s="1" t="s">
        <v>167</v>
      </c>
      <c r="M40" s="1" t="s">
        <v>168</v>
      </c>
      <c r="N40" s="1"/>
      <c r="O40" s="1" t="s">
        <v>57</v>
      </c>
      <c r="P40" s="1">
        <v>6500.0</v>
      </c>
      <c r="Q40" s="2" t="s">
        <v>58</v>
      </c>
      <c r="R40" s="1" t="s">
        <v>59</v>
      </c>
      <c r="S40" s="3">
        <v>46090.57201506944</v>
      </c>
      <c r="T40" s="1"/>
      <c r="U40" s="1"/>
      <c r="V40" s="1" t="s">
        <v>60</v>
      </c>
      <c r="W40" s="1" t="s">
        <v>61</v>
      </c>
      <c r="X40" s="14" t="s">
        <v>62</v>
      </c>
      <c r="AA40" s="6"/>
      <c r="AB40" s="7"/>
    </row>
    <row r="41">
      <c r="A41" s="10">
        <v>46082.37368055555</v>
      </c>
      <c r="B41" s="1"/>
      <c r="C41" s="1" t="s">
        <v>169</v>
      </c>
      <c r="D41" s="1" t="s">
        <v>64</v>
      </c>
      <c r="E41" s="1" t="s">
        <v>50</v>
      </c>
      <c r="F41" s="1">
        <v>6.0</v>
      </c>
      <c r="G41" s="1" t="s">
        <v>66</v>
      </c>
      <c r="H41" s="1" t="s">
        <v>170</v>
      </c>
      <c r="I41" s="1">
        <v>1.0</v>
      </c>
      <c r="J41" s="1" t="s">
        <v>171</v>
      </c>
      <c r="K41" s="1">
        <v>8.08795072E9</v>
      </c>
      <c r="L41" s="1" t="s">
        <v>172</v>
      </c>
      <c r="M41" s="1" t="s">
        <v>173</v>
      </c>
      <c r="N41" s="1"/>
      <c r="O41" s="1" t="s">
        <v>57</v>
      </c>
      <c r="P41" s="1">
        <v>4000.0</v>
      </c>
      <c r="Q41" s="2" t="s">
        <v>58</v>
      </c>
      <c r="R41" s="1" t="s">
        <v>59</v>
      </c>
      <c r="S41" s="3">
        <v>46090.96170119213</v>
      </c>
      <c r="T41" s="1"/>
      <c r="U41" s="1"/>
      <c r="V41" s="1" t="s">
        <v>60</v>
      </c>
      <c r="W41" s="1" t="s">
        <v>61</v>
      </c>
      <c r="X41" s="14" t="s">
        <v>62</v>
      </c>
      <c r="AA41" s="6"/>
      <c r="AB41" s="7"/>
    </row>
    <row r="42">
      <c r="A42" s="10">
        <v>46082.9728125</v>
      </c>
      <c r="B42" s="1"/>
      <c r="C42" s="1" t="s">
        <v>174</v>
      </c>
      <c r="D42" s="1" t="s">
        <v>64</v>
      </c>
      <c r="E42" s="1" t="s">
        <v>65</v>
      </c>
      <c r="F42" s="1">
        <v>6.0</v>
      </c>
      <c r="G42" s="1" t="s">
        <v>51</v>
      </c>
      <c r="H42" s="1" t="s">
        <v>175</v>
      </c>
      <c r="I42" s="1" t="s">
        <v>176</v>
      </c>
      <c r="J42" s="1" t="s">
        <v>177</v>
      </c>
      <c r="K42" s="1">
        <v>7.507135334E9</v>
      </c>
      <c r="L42" s="1" t="s">
        <v>178</v>
      </c>
      <c r="M42" s="1" t="s">
        <v>179</v>
      </c>
      <c r="N42" s="1"/>
      <c r="O42" s="1" t="s">
        <v>57</v>
      </c>
      <c r="P42" s="1"/>
      <c r="Q42" s="2" t="s">
        <v>79</v>
      </c>
      <c r="R42" s="1" t="s">
        <v>59</v>
      </c>
      <c r="S42" s="3"/>
      <c r="T42" s="1"/>
      <c r="U42" s="1"/>
      <c r="V42" s="1"/>
      <c r="W42" s="1" t="s">
        <v>61</v>
      </c>
      <c r="X42" s="14" t="s">
        <v>62</v>
      </c>
      <c r="AA42" s="6"/>
      <c r="AB42" s="7"/>
    </row>
    <row r="43">
      <c r="A43" s="10">
        <v>46082.97756944445</v>
      </c>
      <c r="B43" s="1"/>
      <c r="C43" s="1" t="s">
        <v>180</v>
      </c>
      <c r="D43" s="1" t="s">
        <v>64</v>
      </c>
      <c r="E43" s="1" t="s">
        <v>65</v>
      </c>
      <c r="F43" s="1">
        <v>7.0</v>
      </c>
      <c r="G43" s="1" t="s">
        <v>66</v>
      </c>
      <c r="H43" s="1" t="s">
        <v>181</v>
      </c>
      <c r="I43" s="1">
        <v>1.0</v>
      </c>
      <c r="J43" s="1" t="s">
        <v>182</v>
      </c>
      <c r="K43" s="1">
        <v>8.459403684E9</v>
      </c>
      <c r="L43" s="1" t="s">
        <v>183</v>
      </c>
      <c r="M43" s="1" t="s">
        <v>184</v>
      </c>
      <c r="N43" s="1"/>
      <c r="O43" s="1"/>
      <c r="P43" s="1"/>
      <c r="Q43" s="2" t="s">
        <v>79</v>
      </c>
      <c r="R43" s="1" t="s">
        <v>59</v>
      </c>
      <c r="S43" s="3"/>
      <c r="T43" s="1"/>
      <c r="U43" s="1"/>
      <c r="V43" s="1"/>
      <c r="W43" s="1" t="s">
        <v>61</v>
      </c>
      <c r="X43" s="14" t="s">
        <v>62</v>
      </c>
      <c r="AA43" s="6"/>
      <c r="AB43" s="7"/>
    </row>
    <row r="44">
      <c r="A44" s="10">
        <v>46083.9737962963</v>
      </c>
      <c r="B44" s="1"/>
      <c r="C44" s="1" t="s">
        <v>185</v>
      </c>
      <c r="D44" s="1" t="s">
        <v>64</v>
      </c>
      <c r="E44" s="1" t="s">
        <v>50</v>
      </c>
      <c r="F44" s="1">
        <v>6.0</v>
      </c>
      <c r="G44" s="1" t="s">
        <v>51</v>
      </c>
      <c r="H44" s="1" t="s">
        <v>186</v>
      </c>
      <c r="I44" s="1" t="s">
        <v>111</v>
      </c>
      <c r="J44" s="1" t="s">
        <v>187</v>
      </c>
      <c r="K44" s="1">
        <v>9.623116887E9</v>
      </c>
      <c r="L44" s="1" t="s">
        <v>188</v>
      </c>
      <c r="M44" s="1" t="s">
        <v>189</v>
      </c>
      <c r="N44" s="1"/>
      <c r="O44" s="1" t="s">
        <v>57</v>
      </c>
      <c r="P44" s="1">
        <v>4000.0</v>
      </c>
      <c r="Q44" s="2" t="s">
        <v>58</v>
      </c>
      <c r="R44" s="1" t="s">
        <v>59</v>
      </c>
      <c r="S44" s="3">
        <v>46090.96335284722</v>
      </c>
      <c r="T44" s="1"/>
      <c r="U44" s="1"/>
      <c r="V44" s="1" t="s">
        <v>60</v>
      </c>
      <c r="W44" s="1" t="s">
        <v>61</v>
      </c>
      <c r="X44" s="14" t="s">
        <v>62</v>
      </c>
      <c r="AA44" s="6"/>
      <c r="AB44" s="7"/>
    </row>
    <row r="45">
      <c r="A45" s="10">
        <v>46085.49395833333</v>
      </c>
      <c r="B45" s="1"/>
      <c r="C45" s="1" t="s">
        <v>190</v>
      </c>
      <c r="D45" s="1" t="s">
        <v>64</v>
      </c>
      <c r="E45" s="1" t="s">
        <v>65</v>
      </c>
      <c r="F45" s="1">
        <v>8.0</v>
      </c>
      <c r="G45" s="1" t="s">
        <v>51</v>
      </c>
      <c r="H45" s="1" t="s">
        <v>191</v>
      </c>
      <c r="I45" s="1" t="s">
        <v>160</v>
      </c>
      <c r="J45" s="1" t="s">
        <v>192</v>
      </c>
      <c r="K45" s="1">
        <v>9.960732603E9</v>
      </c>
      <c r="L45" s="1" t="s">
        <v>193</v>
      </c>
      <c r="M45" s="1" t="s">
        <v>194</v>
      </c>
      <c r="N45" s="1"/>
      <c r="O45" s="1" t="s">
        <v>78</v>
      </c>
      <c r="P45" s="1"/>
      <c r="Q45" s="2" t="s">
        <v>79</v>
      </c>
      <c r="R45" s="1" t="s">
        <v>59</v>
      </c>
      <c r="S45" s="3"/>
      <c r="T45" s="1"/>
      <c r="U45" s="1"/>
      <c r="V45" s="1"/>
      <c r="W45" s="1" t="s">
        <v>61</v>
      </c>
      <c r="X45" s="14" t="s">
        <v>62</v>
      </c>
      <c r="AA45" s="6"/>
      <c r="AB45" s="7"/>
    </row>
    <row r="46">
      <c r="A46" s="10">
        <v>46085.56961805555</v>
      </c>
      <c r="B46" s="1"/>
      <c r="C46" s="1" t="s">
        <v>195</v>
      </c>
      <c r="D46" s="1" t="s">
        <v>64</v>
      </c>
      <c r="E46" s="1" t="s">
        <v>50</v>
      </c>
      <c r="F46" s="1">
        <v>4.0</v>
      </c>
      <c r="G46" s="1" t="s">
        <v>66</v>
      </c>
      <c r="H46" s="1" t="s">
        <v>196</v>
      </c>
      <c r="I46" s="14" t="s">
        <v>197</v>
      </c>
      <c r="J46" s="1" t="s">
        <v>198</v>
      </c>
      <c r="K46" s="1">
        <v>9.1309901171E10</v>
      </c>
      <c r="L46" s="1" t="s">
        <v>199</v>
      </c>
      <c r="M46" s="1" t="s">
        <v>200</v>
      </c>
      <c r="N46" s="1"/>
      <c r="O46" s="1" t="s">
        <v>201</v>
      </c>
      <c r="P46" s="1">
        <v>4000.0</v>
      </c>
      <c r="Q46" s="2" t="s">
        <v>58</v>
      </c>
      <c r="R46" s="1" t="s">
        <v>59</v>
      </c>
      <c r="S46" s="3">
        <v>46090.571354687505</v>
      </c>
      <c r="T46" s="1"/>
      <c r="U46" s="1"/>
      <c r="V46" s="1" t="s">
        <v>60</v>
      </c>
      <c r="W46" s="1" t="s">
        <v>61</v>
      </c>
      <c r="X46" s="14" t="s">
        <v>62</v>
      </c>
      <c r="AA46" s="6"/>
      <c r="AB46" s="7"/>
    </row>
    <row r="47">
      <c r="A47" s="10">
        <v>46085.665</v>
      </c>
      <c r="B47" s="1"/>
      <c r="C47" s="1" t="s">
        <v>202</v>
      </c>
      <c r="D47" s="1" t="s">
        <v>49</v>
      </c>
      <c r="E47" s="1" t="s">
        <v>65</v>
      </c>
      <c r="F47" s="1">
        <v>5.0</v>
      </c>
      <c r="G47" s="1" t="s">
        <v>66</v>
      </c>
      <c r="H47" s="1" t="s">
        <v>105</v>
      </c>
      <c r="I47" s="1" t="s">
        <v>111</v>
      </c>
      <c r="J47" s="1" t="s">
        <v>203</v>
      </c>
      <c r="K47" s="1">
        <v>8.087923331E9</v>
      </c>
      <c r="L47" s="1" t="s">
        <v>204</v>
      </c>
      <c r="M47" s="1" t="s">
        <v>205</v>
      </c>
      <c r="N47" s="1"/>
      <c r="O47" s="1" t="s">
        <v>201</v>
      </c>
      <c r="P47" s="1">
        <v>6000.0</v>
      </c>
      <c r="Q47" s="2" t="s">
        <v>58</v>
      </c>
      <c r="R47" s="1" t="s">
        <v>59</v>
      </c>
      <c r="S47" s="3">
        <v>46092.7730933912</v>
      </c>
      <c r="T47" s="1"/>
      <c r="U47" s="1"/>
      <c r="V47" s="1" t="s">
        <v>60</v>
      </c>
      <c r="W47" s="1" t="s">
        <v>61</v>
      </c>
      <c r="X47" s="14" t="s">
        <v>62</v>
      </c>
      <c r="AA47" s="6"/>
      <c r="AB47" s="7"/>
    </row>
    <row r="48">
      <c r="A48" s="10">
        <v>46085.7684375</v>
      </c>
      <c r="B48" s="1"/>
      <c r="C48" s="1" t="s">
        <v>206</v>
      </c>
      <c r="D48" s="1" t="s">
        <v>64</v>
      </c>
      <c r="E48" s="1" t="s">
        <v>50</v>
      </c>
      <c r="F48" s="1">
        <v>4.0</v>
      </c>
      <c r="G48" s="1" t="s">
        <v>51</v>
      </c>
      <c r="H48" s="1" t="s">
        <v>207</v>
      </c>
      <c r="I48" s="1" t="s">
        <v>208</v>
      </c>
      <c r="J48" s="1" t="s">
        <v>209</v>
      </c>
      <c r="K48" s="1">
        <v>9.130824959E9</v>
      </c>
      <c r="L48" s="1" t="s">
        <v>210</v>
      </c>
      <c r="M48" s="1" t="s">
        <v>211</v>
      </c>
      <c r="N48" s="1"/>
      <c r="O48" s="1" t="s">
        <v>57</v>
      </c>
      <c r="P48" s="1">
        <v>4000.0</v>
      </c>
      <c r="Q48" s="2" t="s">
        <v>58</v>
      </c>
      <c r="R48" s="1" t="s">
        <v>59</v>
      </c>
      <c r="S48" s="3">
        <v>46093.67081652778</v>
      </c>
      <c r="T48" s="1"/>
      <c r="U48" s="1"/>
      <c r="V48" s="1" t="s">
        <v>60</v>
      </c>
      <c r="W48" s="1" t="s">
        <v>61</v>
      </c>
      <c r="X48" s="14" t="s">
        <v>62</v>
      </c>
      <c r="AA48" s="6"/>
      <c r="AB48" s="7"/>
    </row>
    <row r="49">
      <c r="A49" s="10">
        <v>46085.82466435185</v>
      </c>
      <c r="B49" s="1"/>
      <c r="C49" s="1" t="s">
        <v>212</v>
      </c>
      <c r="D49" s="1" t="s">
        <v>49</v>
      </c>
      <c r="E49" s="1" t="s">
        <v>65</v>
      </c>
      <c r="F49" s="1">
        <v>7.0</v>
      </c>
      <c r="G49" s="1" t="s">
        <v>51</v>
      </c>
      <c r="H49" s="1" t="s">
        <v>213</v>
      </c>
      <c r="I49" s="1" t="s">
        <v>214</v>
      </c>
      <c r="J49" s="1" t="s">
        <v>215</v>
      </c>
      <c r="K49" s="1">
        <v>9.763783687E9</v>
      </c>
      <c r="L49" s="1" t="s">
        <v>216</v>
      </c>
      <c r="M49" s="1" t="s">
        <v>217</v>
      </c>
      <c r="N49" s="1"/>
      <c r="O49" s="1" t="s">
        <v>57</v>
      </c>
      <c r="P49" s="1"/>
      <c r="Q49" s="2" t="s">
        <v>79</v>
      </c>
      <c r="R49" s="1" t="s">
        <v>59</v>
      </c>
      <c r="S49" s="3"/>
      <c r="T49" s="1"/>
      <c r="U49" s="1"/>
      <c r="V49" s="1"/>
      <c r="W49" s="1" t="s">
        <v>61</v>
      </c>
      <c r="X49" s="1"/>
      <c r="AA49" s="6"/>
      <c r="AB49" s="7"/>
    </row>
    <row r="50">
      <c r="A50" s="10">
        <v>46085.82633101852</v>
      </c>
      <c r="B50" s="1"/>
      <c r="C50" s="1" t="s">
        <v>212</v>
      </c>
      <c r="D50" s="1" t="s">
        <v>49</v>
      </c>
      <c r="E50" s="1" t="s">
        <v>65</v>
      </c>
      <c r="F50" s="1">
        <v>7.0</v>
      </c>
      <c r="G50" s="1" t="s">
        <v>51</v>
      </c>
      <c r="H50" s="1" t="s">
        <v>213</v>
      </c>
      <c r="I50" s="1" t="s">
        <v>218</v>
      </c>
      <c r="J50" s="1" t="s">
        <v>219</v>
      </c>
      <c r="K50" s="1">
        <v>9.763783687E9</v>
      </c>
      <c r="L50" s="1" t="s">
        <v>216</v>
      </c>
      <c r="M50" s="1" t="s">
        <v>212</v>
      </c>
      <c r="N50" s="1"/>
      <c r="O50" s="1" t="s">
        <v>57</v>
      </c>
      <c r="P50" s="1">
        <v>6500.0</v>
      </c>
      <c r="Q50" s="2" t="s">
        <v>58</v>
      </c>
      <c r="R50" s="1" t="s">
        <v>59</v>
      </c>
      <c r="S50" s="3">
        <v>46090.7988353588</v>
      </c>
      <c r="T50" s="1"/>
      <c r="U50" s="1"/>
      <c r="V50" s="1" t="s">
        <v>60</v>
      </c>
      <c r="W50" s="1" t="s">
        <v>61</v>
      </c>
      <c r="X50" s="1"/>
      <c r="AA50" s="6"/>
      <c r="AB50" s="7"/>
    </row>
    <row r="51">
      <c r="A51" s="10">
        <v>46085.99574074074</v>
      </c>
      <c r="B51" s="1"/>
      <c r="C51" s="1" t="s">
        <v>220</v>
      </c>
      <c r="D51" s="1" t="s">
        <v>64</v>
      </c>
      <c r="E51" s="1" t="s">
        <v>65</v>
      </c>
      <c r="F51" s="1">
        <v>6.0</v>
      </c>
      <c r="G51" s="1" t="s">
        <v>66</v>
      </c>
      <c r="H51" s="1" t="s">
        <v>221</v>
      </c>
      <c r="I51" s="1" t="s">
        <v>111</v>
      </c>
      <c r="J51" s="1" t="s">
        <v>222</v>
      </c>
      <c r="K51" s="1">
        <v>9.30976809E9</v>
      </c>
      <c r="L51" s="1" t="s">
        <v>223</v>
      </c>
      <c r="M51" s="1" t="s">
        <v>224</v>
      </c>
      <c r="N51" s="1" t="s">
        <v>225</v>
      </c>
      <c r="O51" s="1" t="s">
        <v>57</v>
      </c>
      <c r="P51" s="1">
        <v>8500.0</v>
      </c>
      <c r="Q51" s="2" t="s">
        <v>58</v>
      </c>
      <c r="R51" s="1" t="s">
        <v>59</v>
      </c>
      <c r="S51" s="3">
        <v>46093.67107848379</v>
      </c>
      <c r="T51" s="1"/>
      <c r="U51" s="1"/>
      <c r="V51" s="1" t="s">
        <v>60</v>
      </c>
      <c r="W51" s="1" t="s">
        <v>61</v>
      </c>
      <c r="X51" s="14" t="s">
        <v>62</v>
      </c>
      <c r="AA51" s="6"/>
      <c r="AB51" s="7"/>
    </row>
    <row r="52">
      <c r="A52" s="10">
        <v>46086.53138888889</v>
      </c>
      <c r="B52" s="1"/>
      <c r="C52" s="1" t="s">
        <v>226</v>
      </c>
      <c r="D52" s="1" t="s">
        <v>64</v>
      </c>
      <c r="E52" s="1" t="s">
        <v>65</v>
      </c>
      <c r="F52" s="1">
        <v>7.0</v>
      </c>
      <c r="G52" s="1" t="s">
        <v>66</v>
      </c>
      <c r="H52" s="1" t="s">
        <v>227</v>
      </c>
      <c r="I52" s="1" t="s">
        <v>228</v>
      </c>
      <c r="J52" s="1" t="s">
        <v>229</v>
      </c>
      <c r="K52" s="1">
        <v>9.850604858E9</v>
      </c>
      <c r="L52" s="1" t="s">
        <v>230</v>
      </c>
      <c r="M52" s="1" t="s">
        <v>231</v>
      </c>
      <c r="N52" s="1"/>
      <c r="O52" s="1" t="s">
        <v>78</v>
      </c>
      <c r="P52" s="1"/>
      <c r="Q52" s="2" t="s">
        <v>79</v>
      </c>
      <c r="R52" s="1" t="s">
        <v>59</v>
      </c>
      <c r="S52" s="3"/>
      <c r="T52" s="1"/>
      <c r="U52" s="1"/>
      <c r="V52" s="1"/>
      <c r="W52" s="1" t="s">
        <v>61</v>
      </c>
      <c r="X52" s="14" t="s">
        <v>62</v>
      </c>
      <c r="AA52" s="6"/>
      <c r="AB52" s="7"/>
    </row>
    <row r="53">
      <c r="A53" s="10">
        <v>46086.53219907408</v>
      </c>
      <c r="B53" s="1"/>
      <c r="C53" s="1" t="s">
        <v>232</v>
      </c>
      <c r="D53" s="1" t="s">
        <v>64</v>
      </c>
      <c r="E53" s="1" t="s">
        <v>65</v>
      </c>
      <c r="F53" s="1">
        <v>7.0</v>
      </c>
      <c r="G53" s="1" t="s">
        <v>51</v>
      </c>
      <c r="H53" s="1" t="s">
        <v>227</v>
      </c>
      <c r="I53" s="1" t="s">
        <v>228</v>
      </c>
      <c r="J53" s="1" t="s">
        <v>229</v>
      </c>
      <c r="K53" s="1">
        <v>9.850604858E9</v>
      </c>
      <c r="L53" s="1" t="s">
        <v>230</v>
      </c>
      <c r="M53" s="1" t="s">
        <v>231</v>
      </c>
      <c r="N53" s="1"/>
      <c r="O53" s="1" t="s">
        <v>78</v>
      </c>
      <c r="P53" s="1"/>
      <c r="Q53" s="2" t="s">
        <v>79</v>
      </c>
      <c r="R53" s="1" t="s">
        <v>59</v>
      </c>
      <c r="S53" s="3"/>
      <c r="T53" s="1"/>
      <c r="U53" s="1"/>
      <c r="V53" s="1"/>
      <c r="W53" s="1" t="s">
        <v>61</v>
      </c>
      <c r="X53" s="14" t="s">
        <v>136</v>
      </c>
      <c r="AA53" s="6"/>
      <c r="AB53" s="7"/>
    </row>
    <row r="54">
      <c r="A54" s="10">
        <v>46086.53611111111</v>
      </c>
      <c r="B54" s="1"/>
      <c r="C54" s="1" t="s">
        <v>233</v>
      </c>
      <c r="D54" s="1" t="s">
        <v>49</v>
      </c>
      <c r="E54" s="1" t="s">
        <v>65</v>
      </c>
      <c r="F54" s="1">
        <v>6.0</v>
      </c>
      <c r="G54" s="1" t="s">
        <v>66</v>
      </c>
      <c r="H54" s="1" t="s">
        <v>234</v>
      </c>
      <c r="I54" s="1" t="s">
        <v>235</v>
      </c>
      <c r="J54" s="1" t="s">
        <v>236</v>
      </c>
      <c r="K54" s="1">
        <v>7.798814805E9</v>
      </c>
      <c r="L54" s="1" t="s">
        <v>237</v>
      </c>
      <c r="M54" s="1" t="s">
        <v>238</v>
      </c>
      <c r="N54" s="1"/>
      <c r="O54" s="1" t="s">
        <v>57</v>
      </c>
      <c r="P54" s="1">
        <v>6000.0</v>
      </c>
      <c r="Q54" s="2" t="s">
        <v>58</v>
      </c>
      <c r="R54" s="1" t="s">
        <v>59</v>
      </c>
      <c r="S54" s="3">
        <v>46086.56315833333</v>
      </c>
      <c r="T54" s="1"/>
      <c r="U54" s="1"/>
      <c r="V54" s="1" t="s">
        <v>60</v>
      </c>
      <c r="W54" s="1" t="s">
        <v>61</v>
      </c>
      <c r="X54" s="14" t="s">
        <v>62</v>
      </c>
      <c r="AA54" s="6"/>
      <c r="AB54" s="7"/>
    </row>
    <row r="55">
      <c r="A55" s="10">
        <v>46086.54871527778</v>
      </c>
      <c r="B55" s="1"/>
      <c r="C55" s="1" t="s">
        <v>239</v>
      </c>
      <c r="D55" s="1" t="s">
        <v>49</v>
      </c>
      <c r="E55" s="1" t="s">
        <v>65</v>
      </c>
      <c r="F55" s="1">
        <v>7.0</v>
      </c>
      <c r="G55" s="1" t="s">
        <v>51</v>
      </c>
      <c r="H55" s="1" t="s">
        <v>240</v>
      </c>
      <c r="I55" s="1" t="s">
        <v>241</v>
      </c>
      <c r="J55" s="1" t="s">
        <v>242</v>
      </c>
      <c r="K55" s="1">
        <v>8.976344256E9</v>
      </c>
      <c r="L55" s="1" t="s">
        <v>243</v>
      </c>
      <c r="M55" s="1" t="s">
        <v>244</v>
      </c>
      <c r="N55" s="1"/>
      <c r="O55" s="1" t="s">
        <v>78</v>
      </c>
      <c r="P55" s="1">
        <v>6500.0</v>
      </c>
      <c r="Q55" s="2" t="s">
        <v>58</v>
      </c>
      <c r="R55" s="1" t="s">
        <v>59</v>
      </c>
      <c r="S55" s="3">
        <v>46090.54320797454</v>
      </c>
      <c r="T55" s="1"/>
      <c r="U55" s="1"/>
      <c r="V55" s="1" t="s">
        <v>60</v>
      </c>
      <c r="W55" s="1" t="s">
        <v>61</v>
      </c>
      <c r="X55" s="14" t="s">
        <v>62</v>
      </c>
      <c r="AA55" s="6"/>
      <c r="AB55" s="7"/>
    </row>
    <row r="56">
      <c r="A56" s="10">
        <v>46086.95643518519</v>
      </c>
      <c r="B56" s="1"/>
      <c r="C56" s="1" t="s">
        <v>245</v>
      </c>
      <c r="D56" s="1" t="s">
        <v>64</v>
      </c>
      <c r="E56" s="1" t="s">
        <v>65</v>
      </c>
      <c r="F56" s="1">
        <v>6.0</v>
      </c>
      <c r="G56" s="1" t="s">
        <v>66</v>
      </c>
      <c r="H56" s="1" t="s">
        <v>246</v>
      </c>
      <c r="I56" s="1" t="s">
        <v>176</v>
      </c>
      <c r="J56" s="1" t="s">
        <v>247</v>
      </c>
      <c r="K56" s="1">
        <v>9.130028028E9</v>
      </c>
      <c r="L56" s="1" t="s">
        <v>248</v>
      </c>
      <c r="M56" s="1" t="s">
        <v>249</v>
      </c>
      <c r="N56" s="1"/>
      <c r="O56" s="1" t="s">
        <v>57</v>
      </c>
      <c r="P56" s="1"/>
      <c r="Q56" s="2" t="s">
        <v>79</v>
      </c>
      <c r="R56" s="1" t="s">
        <v>59</v>
      </c>
      <c r="S56" s="3"/>
      <c r="T56" s="1"/>
      <c r="U56" s="1"/>
      <c r="V56" s="1"/>
      <c r="W56" s="1" t="s">
        <v>61</v>
      </c>
      <c r="X56" s="14" t="s">
        <v>62</v>
      </c>
      <c r="AA56" s="6"/>
      <c r="AB56" s="7"/>
    </row>
    <row r="57">
      <c r="A57" s="10">
        <v>46088.42496527778</v>
      </c>
      <c r="B57" s="1"/>
      <c r="C57" s="1" t="s">
        <v>250</v>
      </c>
      <c r="D57" s="1" t="s">
        <v>64</v>
      </c>
      <c r="E57" s="1" t="s">
        <v>65</v>
      </c>
      <c r="F57" s="1">
        <v>6.0</v>
      </c>
      <c r="G57" s="1" t="s">
        <v>51</v>
      </c>
      <c r="H57" s="1" t="s">
        <v>251</v>
      </c>
      <c r="I57" s="1">
        <v>2.0</v>
      </c>
      <c r="J57" s="1" t="s">
        <v>252</v>
      </c>
      <c r="K57" s="1">
        <v>9.049324573E9</v>
      </c>
      <c r="L57" s="1" t="s">
        <v>253</v>
      </c>
      <c r="M57" s="1" t="s">
        <v>254</v>
      </c>
      <c r="N57" s="1" t="s">
        <v>255</v>
      </c>
      <c r="O57" s="1" t="s">
        <v>57</v>
      </c>
      <c r="P57" s="1"/>
      <c r="Q57" s="2" t="s">
        <v>79</v>
      </c>
      <c r="R57" s="1" t="s">
        <v>59</v>
      </c>
      <c r="S57" s="3"/>
      <c r="T57" s="1"/>
      <c r="U57" s="1"/>
      <c r="V57" s="1"/>
      <c r="W57" s="1" t="s">
        <v>61</v>
      </c>
      <c r="X57" s="14" t="s">
        <v>62</v>
      </c>
      <c r="AA57" s="6"/>
      <c r="AB57" s="7"/>
    </row>
    <row r="58">
      <c r="A58" s="10">
        <v>46088.63993055555</v>
      </c>
      <c r="B58" s="1"/>
      <c r="C58" s="1" t="s">
        <v>256</v>
      </c>
      <c r="D58" s="1" t="s">
        <v>49</v>
      </c>
      <c r="E58" s="1" t="s">
        <v>50</v>
      </c>
      <c r="F58" s="1">
        <v>6.0</v>
      </c>
      <c r="G58" s="1" t="s">
        <v>66</v>
      </c>
      <c r="H58" s="1" t="s">
        <v>257</v>
      </c>
      <c r="I58" s="1">
        <v>1.0</v>
      </c>
      <c r="J58" s="1" t="s">
        <v>258</v>
      </c>
      <c r="K58" s="1">
        <v>9.552580236E9</v>
      </c>
      <c r="L58" s="1" t="s">
        <v>259</v>
      </c>
      <c r="M58" s="1" t="s">
        <v>260</v>
      </c>
      <c r="N58" s="1"/>
      <c r="O58" s="1" t="s">
        <v>78</v>
      </c>
      <c r="P58" s="1">
        <v>4500.0</v>
      </c>
      <c r="Q58" s="2" t="s">
        <v>58</v>
      </c>
      <c r="R58" s="1" t="s">
        <v>59</v>
      </c>
      <c r="S58" s="3">
        <v>46098.3854477662</v>
      </c>
      <c r="T58" s="1"/>
      <c r="U58" s="1"/>
      <c r="V58" s="1" t="s">
        <v>60</v>
      </c>
      <c r="W58" s="1" t="s">
        <v>61</v>
      </c>
      <c r="X58" s="14" t="s">
        <v>62</v>
      </c>
      <c r="AA58" s="6"/>
      <c r="AB58" s="7"/>
    </row>
    <row r="59">
      <c r="A59" s="10">
        <v>46088.68987268519</v>
      </c>
      <c r="B59" s="1"/>
      <c r="C59" s="1" t="s">
        <v>261</v>
      </c>
      <c r="D59" s="1" t="s">
        <v>64</v>
      </c>
      <c r="E59" s="1" t="s">
        <v>50</v>
      </c>
      <c r="F59" s="1">
        <v>4.0</v>
      </c>
      <c r="G59" s="1" t="s">
        <v>51</v>
      </c>
      <c r="H59" s="1" t="s">
        <v>262</v>
      </c>
      <c r="I59" s="1" t="s">
        <v>263</v>
      </c>
      <c r="J59" s="1" t="s">
        <v>264</v>
      </c>
      <c r="K59" s="1">
        <v>9.766410479E9</v>
      </c>
      <c r="L59" s="1" t="s">
        <v>265</v>
      </c>
      <c r="M59" s="1" t="s">
        <v>266</v>
      </c>
      <c r="N59" s="1"/>
      <c r="O59" s="1" t="s">
        <v>57</v>
      </c>
      <c r="P59" s="1"/>
      <c r="Q59" s="2" t="s">
        <v>79</v>
      </c>
      <c r="R59" s="1" t="s">
        <v>59</v>
      </c>
      <c r="S59" s="3"/>
      <c r="T59" s="1"/>
      <c r="U59" s="1"/>
      <c r="V59" s="1"/>
      <c r="W59" s="1" t="s">
        <v>61</v>
      </c>
      <c r="X59" s="14" t="s">
        <v>62</v>
      </c>
      <c r="AA59" s="6"/>
      <c r="AB59" s="7"/>
    </row>
    <row r="60">
      <c r="A60" s="10">
        <v>46088.690613425926</v>
      </c>
      <c r="B60" s="1"/>
      <c r="C60" s="1" t="s">
        <v>267</v>
      </c>
      <c r="D60" s="1" t="s">
        <v>64</v>
      </c>
      <c r="E60" s="1" t="s">
        <v>50</v>
      </c>
      <c r="F60" s="1">
        <v>5.0</v>
      </c>
      <c r="G60" s="1" t="s">
        <v>66</v>
      </c>
      <c r="H60" s="1" t="s">
        <v>262</v>
      </c>
      <c r="I60" s="1" t="s">
        <v>82</v>
      </c>
      <c r="J60" s="1" t="s">
        <v>268</v>
      </c>
      <c r="K60" s="1">
        <v>9.766410479E9</v>
      </c>
      <c r="L60" s="1" t="s">
        <v>265</v>
      </c>
      <c r="M60" s="1" t="s">
        <v>266</v>
      </c>
      <c r="N60" s="1"/>
      <c r="O60" s="1" t="s">
        <v>57</v>
      </c>
      <c r="P60" s="1"/>
      <c r="Q60" s="2" t="s">
        <v>79</v>
      </c>
      <c r="R60" s="1" t="s">
        <v>59</v>
      </c>
      <c r="S60" s="3"/>
      <c r="T60" s="1"/>
      <c r="U60" s="1"/>
      <c r="V60" s="1"/>
      <c r="W60" s="1" t="s">
        <v>61</v>
      </c>
      <c r="X60" s="14" t="s">
        <v>136</v>
      </c>
      <c r="AA60" s="6"/>
      <c r="AB60" s="7"/>
    </row>
    <row r="61">
      <c r="A61" s="10">
        <v>46089.047002314815</v>
      </c>
      <c r="B61" s="1"/>
      <c r="C61" s="1" t="s">
        <v>269</v>
      </c>
      <c r="D61" s="1" t="s">
        <v>49</v>
      </c>
      <c r="E61" s="1" t="s">
        <v>65</v>
      </c>
      <c r="F61" s="1">
        <v>9.0</v>
      </c>
      <c r="G61" s="1" t="s">
        <v>51</v>
      </c>
      <c r="H61" s="1" t="s">
        <v>270</v>
      </c>
      <c r="I61" s="1">
        <v>3.0</v>
      </c>
      <c r="J61" s="1" t="s">
        <v>271</v>
      </c>
      <c r="K61" s="1">
        <v>9.71558413265E11</v>
      </c>
      <c r="L61" s="1" t="s">
        <v>272</v>
      </c>
      <c r="M61" s="1" t="s">
        <v>273</v>
      </c>
      <c r="N61" s="1"/>
      <c r="O61" s="1" t="s">
        <v>78</v>
      </c>
      <c r="P61" s="1">
        <v>6500.0</v>
      </c>
      <c r="Q61" s="2" t="s">
        <v>58</v>
      </c>
      <c r="R61" s="1" t="s">
        <v>59</v>
      </c>
      <c r="S61" s="3">
        <v>46090.383237268514</v>
      </c>
      <c r="T61" s="1"/>
      <c r="U61" s="1"/>
      <c r="V61" s="1" t="s">
        <v>60</v>
      </c>
      <c r="W61" s="1" t="s">
        <v>61</v>
      </c>
      <c r="X61" s="14" t="s">
        <v>62</v>
      </c>
      <c r="AA61" s="6"/>
      <c r="AB61" s="7"/>
    </row>
    <row r="62">
      <c r="A62" s="10">
        <v>46089.58153935185</v>
      </c>
      <c r="B62" s="1"/>
      <c r="C62" s="1" t="s">
        <v>274</v>
      </c>
      <c r="D62" s="1" t="s">
        <v>49</v>
      </c>
      <c r="E62" s="1" t="s">
        <v>50</v>
      </c>
      <c r="F62" s="1">
        <v>5.0</v>
      </c>
      <c r="G62" s="1" t="s">
        <v>51</v>
      </c>
      <c r="H62" s="1" t="s">
        <v>275</v>
      </c>
      <c r="I62" s="1">
        <v>1.0</v>
      </c>
      <c r="J62" s="1" t="s">
        <v>276</v>
      </c>
      <c r="K62" s="1">
        <v>8.600893449E9</v>
      </c>
      <c r="L62" s="1" t="s">
        <v>277</v>
      </c>
      <c r="M62" s="1" t="s">
        <v>278</v>
      </c>
      <c r="N62" s="1" t="s">
        <v>279</v>
      </c>
      <c r="O62" s="1" t="s">
        <v>57</v>
      </c>
      <c r="P62" s="1">
        <v>4500.0</v>
      </c>
      <c r="Q62" s="2" t="s">
        <v>58</v>
      </c>
      <c r="R62" s="1" t="s">
        <v>59</v>
      </c>
      <c r="S62" s="3">
        <v>46097.54042009259</v>
      </c>
      <c r="T62" s="1"/>
      <c r="U62" s="1"/>
      <c r="V62" s="1" t="s">
        <v>60</v>
      </c>
      <c r="W62" s="1" t="s">
        <v>61</v>
      </c>
      <c r="X62" s="14" t="s">
        <v>62</v>
      </c>
      <c r="AA62" s="6"/>
      <c r="AB62" s="7"/>
    </row>
    <row r="63">
      <c r="A63" s="10">
        <v>46090.52024305556</v>
      </c>
      <c r="B63" s="1"/>
      <c r="C63" s="1" t="s">
        <v>280</v>
      </c>
      <c r="D63" s="1" t="s">
        <v>49</v>
      </c>
      <c r="E63" s="1" t="s">
        <v>65</v>
      </c>
      <c r="F63" s="1">
        <v>6.0</v>
      </c>
      <c r="G63" s="1" t="s">
        <v>51</v>
      </c>
      <c r="H63" s="1" t="s">
        <v>281</v>
      </c>
      <c r="I63" s="1" t="s">
        <v>111</v>
      </c>
      <c r="J63" s="1" t="s">
        <v>282</v>
      </c>
      <c r="K63" s="1">
        <v>9.096625975E9</v>
      </c>
      <c r="L63" s="1" t="s">
        <v>283</v>
      </c>
      <c r="M63" s="1" t="s">
        <v>284</v>
      </c>
      <c r="N63" s="1"/>
      <c r="O63" s="1" t="s">
        <v>57</v>
      </c>
      <c r="P63" s="1">
        <v>6500.0</v>
      </c>
      <c r="Q63" s="2" t="s">
        <v>58</v>
      </c>
      <c r="R63" s="1" t="s">
        <v>59</v>
      </c>
      <c r="S63" s="3">
        <v>46090.52219528935</v>
      </c>
      <c r="T63" s="1"/>
      <c r="U63" s="1"/>
      <c r="V63" s="1" t="s">
        <v>60</v>
      </c>
      <c r="W63" s="1" t="s">
        <v>61</v>
      </c>
      <c r="X63" s="14" t="s">
        <v>62</v>
      </c>
      <c r="AA63" s="6"/>
      <c r="AB63" s="7"/>
    </row>
    <row r="64">
      <c r="A64" s="10">
        <v>46090.57164351852</v>
      </c>
      <c r="B64" s="1"/>
      <c r="C64" s="1" t="s">
        <v>285</v>
      </c>
      <c r="D64" s="1" t="s">
        <v>49</v>
      </c>
      <c r="E64" s="1" t="s">
        <v>65</v>
      </c>
      <c r="F64" s="1">
        <v>6.0</v>
      </c>
      <c r="G64" s="1" t="s">
        <v>51</v>
      </c>
      <c r="H64" s="1" t="s">
        <v>286</v>
      </c>
      <c r="I64" s="1" t="s">
        <v>111</v>
      </c>
      <c r="J64" s="1" t="s">
        <v>287</v>
      </c>
      <c r="K64" s="1">
        <v>7.710054522E9</v>
      </c>
      <c r="L64" s="1" t="s">
        <v>288</v>
      </c>
      <c r="M64" s="1" t="s">
        <v>289</v>
      </c>
      <c r="N64" s="1"/>
      <c r="O64" s="1" t="s">
        <v>57</v>
      </c>
      <c r="P64" s="1">
        <v>6500.0</v>
      </c>
      <c r="Q64" s="2" t="s">
        <v>58</v>
      </c>
      <c r="R64" s="1" t="s">
        <v>59</v>
      </c>
      <c r="S64" s="3">
        <v>46090.57239032407</v>
      </c>
      <c r="T64" s="1"/>
      <c r="U64" s="1"/>
      <c r="V64" s="1" t="s">
        <v>60</v>
      </c>
      <c r="W64" s="1" t="s">
        <v>61</v>
      </c>
      <c r="X64" s="14" t="s">
        <v>62</v>
      </c>
      <c r="AA64" s="6"/>
      <c r="AB64" s="7"/>
    </row>
    <row r="65">
      <c r="A65" s="10">
        <v>46090.69579861111</v>
      </c>
      <c r="B65" s="1"/>
      <c r="C65" s="1" t="s">
        <v>290</v>
      </c>
      <c r="D65" s="1" t="s">
        <v>49</v>
      </c>
      <c r="E65" s="1" t="s">
        <v>65</v>
      </c>
      <c r="F65" s="1">
        <v>5.0</v>
      </c>
      <c r="G65" s="1" t="s">
        <v>51</v>
      </c>
      <c r="H65" s="1" t="s">
        <v>291</v>
      </c>
      <c r="I65" s="1" t="s">
        <v>235</v>
      </c>
      <c r="J65" s="1" t="s">
        <v>292</v>
      </c>
      <c r="K65" s="1">
        <v>9.404561786E9</v>
      </c>
      <c r="L65" s="1" t="s">
        <v>293</v>
      </c>
      <c r="M65" s="1" t="s">
        <v>294</v>
      </c>
      <c r="N65" s="1"/>
      <c r="O65" s="1" t="s">
        <v>78</v>
      </c>
      <c r="P65" s="1"/>
      <c r="Q65" s="2" t="s">
        <v>79</v>
      </c>
      <c r="R65" s="1" t="s">
        <v>59</v>
      </c>
      <c r="S65" s="3"/>
      <c r="T65" s="1"/>
      <c r="U65" s="1"/>
      <c r="V65" s="1"/>
      <c r="W65" s="1" t="s">
        <v>61</v>
      </c>
      <c r="X65" s="14" t="s">
        <v>62</v>
      </c>
      <c r="AA65" s="6"/>
      <c r="AB65" s="7"/>
    </row>
    <row r="66">
      <c r="A66" s="5">
        <v>46091.02962962963</v>
      </c>
      <c r="B66" s="1"/>
      <c r="C66" s="1" t="s">
        <v>290</v>
      </c>
      <c r="D66" s="1" t="s">
        <v>49</v>
      </c>
      <c r="E66" s="1" t="s">
        <v>65</v>
      </c>
      <c r="F66" s="1">
        <v>5.0</v>
      </c>
      <c r="G66" s="1" t="s">
        <v>51</v>
      </c>
      <c r="H66" s="1" t="s">
        <v>213</v>
      </c>
      <c r="I66" s="1" t="s">
        <v>235</v>
      </c>
      <c r="J66" s="1" t="s">
        <v>295</v>
      </c>
      <c r="K66" s="1">
        <v>9.604561786E9</v>
      </c>
      <c r="L66" s="1" t="s">
        <v>293</v>
      </c>
      <c r="M66" s="1" t="s">
        <v>296</v>
      </c>
      <c r="N66" s="1"/>
      <c r="O66" s="1" t="s">
        <v>78</v>
      </c>
      <c r="P66" s="1"/>
      <c r="Q66" s="2" t="s">
        <v>79</v>
      </c>
      <c r="R66" s="1" t="s">
        <v>59</v>
      </c>
      <c r="S66" s="3"/>
      <c r="T66" s="1"/>
      <c r="U66" s="1"/>
      <c r="V66" s="1"/>
      <c r="W66" s="1" t="s">
        <v>61</v>
      </c>
      <c r="X66" s="14" t="s">
        <v>62</v>
      </c>
      <c r="AA66" s="6"/>
      <c r="AB66" s="7"/>
    </row>
    <row r="67">
      <c r="A67" s="5">
        <v>46091.484444444446</v>
      </c>
      <c r="B67" s="1"/>
      <c r="C67" s="1" t="s">
        <v>297</v>
      </c>
      <c r="D67" s="1" t="s">
        <v>49</v>
      </c>
      <c r="E67" s="1" t="s">
        <v>50</v>
      </c>
      <c r="F67" s="1">
        <v>4.0</v>
      </c>
      <c r="G67" s="1" t="s">
        <v>66</v>
      </c>
      <c r="H67" s="1" t="s">
        <v>298</v>
      </c>
      <c r="I67" s="1" t="s">
        <v>299</v>
      </c>
      <c r="J67" s="1" t="s">
        <v>300</v>
      </c>
      <c r="K67" s="1">
        <v>9.819912114E9</v>
      </c>
      <c r="L67" s="1" t="s">
        <v>301</v>
      </c>
      <c r="M67" s="1" t="s">
        <v>302</v>
      </c>
      <c r="N67" s="1"/>
      <c r="O67" s="1" t="s">
        <v>57</v>
      </c>
      <c r="P67" s="1">
        <v>4000.0</v>
      </c>
      <c r="Q67" s="2" t="s">
        <v>58</v>
      </c>
      <c r="R67" s="1" t="s">
        <v>59</v>
      </c>
      <c r="S67" s="3">
        <v>46097.55634414352</v>
      </c>
      <c r="T67" s="1"/>
      <c r="U67" s="1"/>
      <c r="V67" s="1" t="s">
        <v>60</v>
      </c>
      <c r="W67" s="1" t="s">
        <v>61</v>
      </c>
      <c r="X67" s="14" t="s">
        <v>62</v>
      </c>
      <c r="AA67" s="6"/>
      <c r="AB67" s="7"/>
    </row>
    <row r="68">
      <c r="A68" s="5">
        <v>46091.84532407407</v>
      </c>
      <c r="B68" s="1"/>
      <c r="C68" s="1" t="s">
        <v>303</v>
      </c>
      <c r="D68" s="1" t="s">
        <v>64</v>
      </c>
      <c r="E68" s="1" t="s">
        <v>65</v>
      </c>
      <c r="F68" s="1">
        <v>10.0</v>
      </c>
      <c r="G68" s="1" t="s">
        <v>51</v>
      </c>
      <c r="H68" s="1" t="s">
        <v>304</v>
      </c>
      <c r="I68" s="1" t="s">
        <v>305</v>
      </c>
      <c r="J68" s="1" t="s">
        <v>306</v>
      </c>
      <c r="K68" s="1">
        <v>9.552826464E9</v>
      </c>
      <c r="L68" s="1" t="s">
        <v>307</v>
      </c>
      <c r="M68" s="1" t="s">
        <v>308</v>
      </c>
      <c r="N68" s="1" t="s">
        <v>309</v>
      </c>
      <c r="O68" s="1" t="s">
        <v>57</v>
      </c>
      <c r="P68" s="1">
        <v>8500.0</v>
      </c>
      <c r="Q68" s="2" t="s">
        <v>58</v>
      </c>
      <c r="R68" s="1" t="s">
        <v>59</v>
      </c>
      <c r="S68" s="3">
        <v>46111.96690128472</v>
      </c>
      <c r="T68" s="1"/>
      <c r="U68" s="1"/>
      <c r="V68" s="1" t="s">
        <v>60</v>
      </c>
      <c r="W68" s="1" t="s">
        <v>61</v>
      </c>
      <c r="X68" s="14" t="s">
        <v>62</v>
      </c>
      <c r="AA68" s="6"/>
      <c r="AB68" s="7"/>
    </row>
    <row r="69">
      <c r="A69" s="5">
        <v>46091.897141203706</v>
      </c>
      <c r="B69" s="1"/>
      <c r="C69" s="1" t="s">
        <v>310</v>
      </c>
      <c r="D69" s="1" t="s">
        <v>49</v>
      </c>
      <c r="E69" s="1" t="s">
        <v>50</v>
      </c>
      <c r="F69" s="1">
        <v>6.0</v>
      </c>
      <c r="G69" s="1" t="s">
        <v>51</v>
      </c>
      <c r="H69" s="1" t="s">
        <v>311</v>
      </c>
      <c r="I69" s="1" t="s">
        <v>312</v>
      </c>
      <c r="J69" s="1" t="s">
        <v>313</v>
      </c>
      <c r="K69" s="1">
        <v>7.99006695E9</v>
      </c>
      <c r="L69" s="1" t="s">
        <v>314</v>
      </c>
      <c r="M69" s="1" t="s">
        <v>315</v>
      </c>
      <c r="N69" s="1"/>
      <c r="O69" s="1" t="s">
        <v>57</v>
      </c>
      <c r="P69" s="1">
        <v>4500.0</v>
      </c>
      <c r="Q69" s="2" t="s">
        <v>58</v>
      </c>
      <c r="R69" s="1" t="s">
        <v>59</v>
      </c>
      <c r="S69" s="3">
        <v>46097.80928725694</v>
      </c>
      <c r="T69" s="1"/>
      <c r="U69" s="1"/>
      <c r="V69" s="1" t="s">
        <v>60</v>
      </c>
      <c r="W69" s="1" t="s">
        <v>61</v>
      </c>
      <c r="X69" s="14" t="s">
        <v>62</v>
      </c>
      <c r="AA69" s="6"/>
      <c r="AB69" s="7"/>
    </row>
    <row r="70">
      <c r="A70" s="5">
        <v>46092.66271990741</v>
      </c>
      <c r="B70" s="1"/>
      <c r="C70" s="1" t="s">
        <v>316</v>
      </c>
      <c r="D70" s="1" t="s">
        <v>64</v>
      </c>
      <c r="E70" s="1" t="s">
        <v>65</v>
      </c>
      <c r="F70" s="1">
        <v>6.0</v>
      </c>
      <c r="G70" s="1" t="s">
        <v>51</v>
      </c>
      <c r="H70" s="1" t="s">
        <v>213</v>
      </c>
      <c r="I70" s="1" t="s">
        <v>317</v>
      </c>
      <c r="J70" s="1" t="s">
        <v>318</v>
      </c>
      <c r="K70" s="1">
        <v>9.637903044E9</v>
      </c>
      <c r="L70" s="1" t="s">
        <v>319</v>
      </c>
      <c r="M70" s="1" t="s">
        <v>320</v>
      </c>
      <c r="N70" s="1"/>
      <c r="O70" s="1" t="s">
        <v>57</v>
      </c>
      <c r="P70" s="1"/>
      <c r="Q70" s="2" t="s">
        <v>79</v>
      </c>
      <c r="R70" s="1" t="s">
        <v>59</v>
      </c>
      <c r="S70" s="3"/>
      <c r="T70" s="1"/>
      <c r="U70" s="1"/>
      <c r="V70" s="1"/>
      <c r="W70" s="1" t="s">
        <v>61</v>
      </c>
      <c r="X70" s="14" t="s">
        <v>62</v>
      </c>
      <c r="AA70" s="6"/>
      <c r="AB70" s="7"/>
    </row>
    <row r="71">
      <c r="A71" s="5">
        <v>46092.837164351855</v>
      </c>
      <c r="B71" s="1"/>
      <c r="C71" s="1" t="s">
        <v>321</v>
      </c>
      <c r="D71" s="1" t="s">
        <v>49</v>
      </c>
      <c r="E71" s="1" t="s">
        <v>50</v>
      </c>
      <c r="F71" s="1">
        <v>5.0</v>
      </c>
      <c r="G71" s="1" t="s">
        <v>66</v>
      </c>
      <c r="H71" s="1" t="s">
        <v>251</v>
      </c>
      <c r="I71" s="1" t="s">
        <v>111</v>
      </c>
      <c r="J71" s="1" t="s">
        <v>322</v>
      </c>
      <c r="K71" s="1">
        <v>8.805965779E9</v>
      </c>
      <c r="L71" s="1" t="s">
        <v>323</v>
      </c>
      <c r="M71" s="1" t="s">
        <v>324</v>
      </c>
      <c r="N71" s="1"/>
      <c r="O71" s="1" t="s">
        <v>57</v>
      </c>
      <c r="P71" s="1">
        <v>4500.0</v>
      </c>
      <c r="Q71" s="2" t="s">
        <v>58</v>
      </c>
      <c r="R71" s="1" t="s">
        <v>59</v>
      </c>
      <c r="S71" s="3">
        <v>46098.437345</v>
      </c>
      <c r="T71" s="1"/>
      <c r="U71" s="1"/>
      <c r="V71" s="1" t="s">
        <v>60</v>
      </c>
      <c r="W71" s="1" t="s">
        <v>61</v>
      </c>
      <c r="X71" s="14" t="s">
        <v>62</v>
      </c>
      <c r="AA71" s="6"/>
      <c r="AB71" s="7"/>
    </row>
    <row r="72">
      <c r="A72" s="5">
        <v>46093.68800925926</v>
      </c>
      <c r="B72" s="1"/>
      <c r="C72" s="1" t="s">
        <v>73</v>
      </c>
      <c r="D72" s="1" t="s">
        <v>64</v>
      </c>
      <c r="E72" s="1" t="s">
        <v>65</v>
      </c>
      <c r="F72" s="1">
        <v>7.0</v>
      </c>
      <c r="G72" s="1" t="s">
        <v>66</v>
      </c>
      <c r="H72" s="1" t="s">
        <v>325</v>
      </c>
      <c r="I72" s="1">
        <v>2.0</v>
      </c>
      <c r="J72" s="1" t="s">
        <v>75</v>
      </c>
      <c r="K72" s="1">
        <v>9.359896551E9</v>
      </c>
      <c r="L72" s="1" t="s">
        <v>76</v>
      </c>
      <c r="M72" s="1" t="s">
        <v>326</v>
      </c>
      <c r="N72" s="1"/>
      <c r="O72" s="1" t="s">
        <v>78</v>
      </c>
      <c r="Q72" s="2" t="s">
        <v>79</v>
      </c>
      <c r="R72" s="1" t="s">
        <v>59</v>
      </c>
      <c r="S72" s="3"/>
      <c r="T72" s="1"/>
      <c r="U72" s="1"/>
      <c r="V72" s="1"/>
      <c r="W72" s="1" t="s">
        <v>61</v>
      </c>
      <c r="X72" s="14" t="s">
        <v>62</v>
      </c>
      <c r="AA72" s="6"/>
      <c r="AB72" s="7"/>
    </row>
    <row r="73">
      <c r="A73" s="5">
        <v>46094.68991898148</v>
      </c>
      <c r="B73" s="1"/>
      <c r="C73" s="1" t="s">
        <v>327</v>
      </c>
      <c r="D73" s="1" t="s">
        <v>64</v>
      </c>
      <c r="E73" s="1" t="s">
        <v>65</v>
      </c>
      <c r="F73" s="1">
        <v>5.0</v>
      </c>
      <c r="G73" s="1" t="s">
        <v>51</v>
      </c>
      <c r="H73" s="1" t="s">
        <v>328</v>
      </c>
      <c r="I73" s="1" t="s">
        <v>111</v>
      </c>
      <c r="J73" s="1" t="s">
        <v>329</v>
      </c>
      <c r="K73" s="1">
        <v>8.855966764E9</v>
      </c>
      <c r="L73" s="1" t="s">
        <v>330</v>
      </c>
      <c r="M73" s="1" t="s">
        <v>331</v>
      </c>
      <c r="N73" s="1"/>
      <c r="O73" s="1" t="s">
        <v>332</v>
      </c>
      <c r="P73" s="1">
        <v>8000.0</v>
      </c>
      <c r="Q73" s="2" t="s">
        <v>58</v>
      </c>
      <c r="R73" s="1" t="s">
        <v>59</v>
      </c>
      <c r="S73" s="3">
        <v>46094.6909859375</v>
      </c>
      <c r="T73" s="1"/>
      <c r="U73" s="1"/>
      <c r="V73" s="1" t="s">
        <v>60</v>
      </c>
      <c r="W73" s="1" t="s">
        <v>61</v>
      </c>
      <c r="X73" s="14" t="s">
        <v>62</v>
      </c>
      <c r="AA73" s="6"/>
      <c r="AB73" s="7"/>
    </row>
    <row r="74">
      <c r="A74" s="5">
        <v>46095.48131944444</v>
      </c>
      <c r="B74" s="1"/>
      <c r="C74" s="1" t="s">
        <v>333</v>
      </c>
      <c r="D74" s="1" t="s">
        <v>49</v>
      </c>
      <c r="E74" s="1" t="s">
        <v>50</v>
      </c>
      <c r="F74" s="1">
        <v>6.0</v>
      </c>
      <c r="G74" s="1" t="s">
        <v>51</v>
      </c>
      <c r="H74" s="1" t="s">
        <v>334</v>
      </c>
      <c r="I74" s="1" t="s">
        <v>335</v>
      </c>
      <c r="J74" s="1" t="s">
        <v>336</v>
      </c>
      <c r="K74" s="1">
        <v>7.693942589E9</v>
      </c>
      <c r="L74" s="1" t="s">
        <v>337</v>
      </c>
      <c r="M74" s="1" t="s">
        <v>338</v>
      </c>
      <c r="N74" s="1"/>
      <c r="O74" s="1" t="s">
        <v>57</v>
      </c>
      <c r="P74" s="1">
        <v>4000.0</v>
      </c>
      <c r="Q74" s="2" t="s">
        <v>58</v>
      </c>
      <c r="R74" s="1" t="s">
        <v>59</v>
      </c>
      <c r="S74" s="3">
        <v>46095.48369146991</v>
      </c>
      <c r="T74" s="1"/>
      <c r="U74" s="1"/>
      <c r="V74" s="1" t="s">
        <v>60</v>
      </c>
      <c r="W74" s="1" t="s">
        <v>61</v>
      </c>
      <c r="X74" s="1"/>
      <c r="AA74" s="6"/>
      <c r="AB74" s="7"/>
    </row>
    <row r="75">
      <c r="A75" s="5">
        <v>46095.50038194445</v>
      </c>
      <c r="B75" s="1"/>
      <c r="C75" s="1" t="s">
        <v>339</v>
      </c>
      <c r="D75" s="1" t="s">
        <v>49</v>
      </c>
      <c r="E75" s="1" t="s">
        <v>65</v>
      </c>
      <c r="F75" s="1">
        <v>8.0</v>
      </c>
      <c r="G75" s="1" t="s">
        <v>66</v>
      </c>
      <c r="H75" s="1" t="s">
        <v>340</v>
      </c>
      <c r="I75" s="1">
        <v>3.0</v>
      </c>
      <c r="J75" s="1" t="s">
        <v>341</v>
      </c>
      <c r="K75" s="1">
        <v>8.698078511E9</v>
      </c>
      <c r="L75" s="1" t="s">
        <v>342</v>
      </c>
      <c r="M75" s="1" t="s">
        <v>343</v>
      </c>
      <c r="N75" s="1"/>
      <c r="O75" s="1" t="s">
        <v>57</v>
      </c>
      <c r="P75" s="1"/>
      <c r="Q75" s="2" t="s">
        <v>79</v>
      </c>
      <c r="R75" s="1" t="s">
        <v>59</v>
      </c>
      <c r="S75" s="3"/>
      <c r="T75" s="1"/>
      <c r="U75" s="1"/>
      <c r="V75" s="1"/>
      <c r="W75" s="1" t="s">
        <v>61</v>
      </c>
      <c r="X75" s="14" t="s">
        <v>62</v>
      </c>
      <c r="AA75" s="6"/>
      <c r="AB75" s="7"/>
    </row>
    <row r="76">
      <c r="A76" s="5">
        <v>46095.50144675926</v>
      </c>
      <c r="B76" s="1"/>
      <c r="C76" s="1" t="s">
        <v>344</v>
      </c>
      <c r="D76" s="1" t="s">
        <v>49</v>
      </c>
      <c r="E76" s="1" t="s">
        <v>65</v>
      </c>
      <c r="F76" s="1">
        <v>8.0</v>
      </c>
      <c r="G76" s="1" t="s">
        <v>66</v>
      </c>
      <c r="H76" s="1" t="s">
        <v>340</v>
      </c>
      <c r="I76" s="1">
        <v>3.0</v>
      </c>
      <c r="J76" s="1" t="s">
        <v>341</v>
      </c>
      <c r="K76" s="1">
        <v>8.698078511E9</v>
      </c>
      <c r="L76" s="1" t="s">
        <v>342</v>
      </c>
      <c r="M76" s="1" t="s">
        <v>345</v>
      </c>
      <c r="N76" s="1"/>
      <c r="O76" s="1" t="s">
        <v>57</v>
      </c>
      <c r="P76" s="1"/>
      <c r="Q76" s="2" t="s">
        <v>79</v>
      </c>
      <c r="R76" s="1" t="s">
        <v>59</v>
      </c>
      <c r="S76" s="3"/>
      <c r="T76" s="1"/>
      <c r="U76" s="1"/>
      <c r="V76" s="1"/>
      <c r="W76" s="1" t="s">
        <v>61</v>
      </c>
      <c r="X76" s="14" t="s">
        <v>136</v>
      </c>
      <c r="AA76" s="6"/>
      <c r="AB76" s="7"/>
    </row>
    <row r="77">
      <c r="A77" s="5">
        <v>46095.71923611111</v>
      </c>
      <c r="B77" s="1"/>
      <c r="C77" s="1" t="s">
        <v>346</v>
      </c>
      <c r="D77" s="1" t="s">
        <v>64</v>
      </c>
      <c r="E77" s="1" t="s">
        <v>50</v>
      </c>
      <c r="F77" s="1">
        <v>6.0</v>
      </c>
      <c r="G77" s="1" t="s">
        <v>66</v>
      </c>
      <c r="H77" s="1" t="s">
        <v>347</v>
      </c>
      <c r="I77" s="1">
        <v>1.0</v>
      </c>
      <c r="J77" s="1" t="s">
        <v>348</v>
      </c>
      <c r="K77" s="1">
        <v>7.76798338E9</v>
      </c>
      <c r="L77" s="1" t="s">
        <v>349</v>
      </c>
      <c r="M77" s="1" t="s">
        <v>350</v>
      </c>
      <c r="N77" s="1"/>
      <c r="O77" s="1" t="s">
        <v>57</v>
      </c>
      <c r="P77" s="1">
        <v>4500.0</v>
      </c>
      <c r="Q77" s="2" t="s">
        <v>58</v>
      </c>
      <c r="R77" s="1" t="s">
        <v>59</v>
      </c>
      <c r="S77" s="3">
        <v>46095.86033415509</v>
      </c>
      <c r="T77" s="1"/>
      <c r="U77" s="1"/>
      <c r="V77" s="1" t="s">
        <v>60</v>
      </c>
      <c r="W77" s="1" t="s">
        <v>61</v>
      </c>
      <c r="X77" s="14" t="s">
        <v>62</v>
      </c>
      <c r="AA77" s="6"/>
      <c r="AB77" s="7"/>
    </row>
    <row r="78">
      <c r="A78" s="5">
        <v>46095.78807870371</v>
      </c>
      <c r="B78" s="1"/>
      <c r="C78" s="1" t="s">
        <v>351</v>
      </c>
      <c r="D78" s="1" t="s">
        <v>49</v>
      </c>
      <c r="E78" s="1" t="s">
        <v>50</v>
      </c>
      <c r="F78" s="1">
        <v>5.0</v>
      </c>
      <c r="G78" s="1" t="s">
        <v>66</v>
      </c>
      <c r="H78" s="1" t="s">
        <v>304</v>
      </c>
      <c r="I78" s="1" t="s">
        <v>352</v>
      </c>
      <c r="J78" s="1" t="s">
        <v>353</v>
      </c>
      <c r="K78" s="1">
        <v>9.545219922E9</v>
      </c>
      <c r="L78" s="1" t="s">
        <v>354</v>
      </c>
      <c r="M78" s="1" t="s">
        <v>355</v>
      </c>
      <c r="N78" s="1"/>
      <c r="O78" s="1" t="s">
        <v>57</v>
      </c>
      <c r="P78" s="1">
        <v>4500.0</v>
      </c>
      <c r="Q78" s="2" t="s">
        <v>58</v>
      </c>
      <c r="R78" s="1" t="s">
        <v>59</v>
      </c>
      <c r="S78" s="3">
        <v>46095.86041594908</v>
      </c>
      <c r="T78" s="1"/>
      <c r="U78" s="1"/>
      <c r="V78" s="1" t="s">
        <v>60</v>
      </c>
      <c r="W78" s="1" t="s">
        <v>61</v>
      </c>
      <c r="X78" s="14" t="s">
        <v>62</v>
      </c>
      <c r="AA78" s="6"/>
      <c r="AB78" s="7"/>
    </row>
    <row r="79">
      <c r="A79" s="5">
        <v>46096.035891203705</v>
      </c>
      <c r="B79" s="1"/>
      <c r="C79" s="1" t="s">
        <v>356</v>
      </c>
      <c r="D79" s="1" t="s">
        <v>64</v>
      </c>
      <c r="E79" s="1" t="s">
        <v>65</v>
      </c>
      <c r="F79" s="1">
        <v>7.0</v>
      </c>
      <c r="G79" s="1" t="s">
        <v>66</v>
      </c>
      <c r="H79" s="1" t="s">
        <v>357</v>
      </c>
      <c r="I79" s="1">
        <v>1.0</v>
      </c>
      <c r="J79" s="1" t="s">
        <v>358</v>
      </c>
      <c r="K79" s="1">
        <v>8.591226626E9</v>
      </c>
      <c r="L79" s="1" t="s">
        <v>359</v>
      </c>
      <c r="M79" s="1" t="s">
        <v>360</v>
      </c>
      <c r="N79" s="1"/>
      <c r="O79" s="1" t="s">
        <v>57</v>
      </c>
      <c r="P79" s="1"/>
      <c r="Q79" s="2" t="s">
        <v>79</v>
      </c>
      <c r="R79" s="1" t="s">
        <v>59</v>
      </c>
      <c r="S79" s="3"/>
      <c r="T79" s="1"/>
      <c r="U79" s="1"/>
      <c r="V79" s="1"/>
      <c r="W79" s="1" t="s">
        <v>61</v>
      </c>
      <c r="X79" s="14" t="s">
        <v>62</v>
      </c>
      <c r="AA79" s="6"/>
      <c r="AB79" s="7"/>
    </row>
    <row r="80">
      <c r="A80" s="5">
        <v>46080.71623842593</v>
      </c>
      <c r="B80" s="1"/>
      <c r="C80" s="1" t="s">
        <v>164</v>
      </c>
      <c r="D80" s="1" t="s">
        <v>49</v>
      </c>
      <c r="E80" s="1" t="s">
        <v>50</v>
      </c>
      <c r="F80" s="1">
        <v>6.0</v>
      </c>
      <c r="G80" s="1" t="s">
        <v>51</v>
      </c>
      <c r="H80" s="1" t="s">
        <v>165</v>
      </c>
      <c r="I80" s="1">
        <v>1.0</v>
      </c>
      <c r="J80" s="1" t="s">
        <v>166</v>
      </c>
      <c r="K80" s="1">
        <v>9.818065684E9</v>
      </c>
      <c r="L80" s="1" t="s">
        <v>167</v>
      </c>
      <c r="M80" s="1" t="s">
        <v>168</v>
      </c>
      <c r="N80" s="1"/>
      <c r="O80" s="1" t="s">
        <v>57</v>
      </c>
      <c r="P80" s="1">
        <v>4500.0</v>
      </c>
      <c r="Q80" s="2" t="s">
        <v>79</v>
      </c>
      <c r="R80" s="1" t="s">
        <v>59</v>
      </c>
      <c r="S80" s="3">
        <v>46090.57201506944</v>
      </c>
      <c r="T80" s="1"/>
      <c r="U80" s="1"/>
      <c r="V80" s="1" t="s">
        <v>60</v>
      </c>
      <c r="W80" s="1" t="s">
        <v>61</v>
      </c>
      <c r="X80" s="14" t="s">
        <v>62</v>
      </c>
      <c r="AA80" s="6"/>
      <c r="AB80" s="7"/>
    </row>
    <row r="81">
      <c r="Q81" s="15"/>
      <c r="S81" s="6"/>
      <c r="AA81" s="6"/>
      <c r="AB81" s="7"/>
    </row>
    <row r="82">
      <c r="Q82" s="15"/>
      <c r="S82" s="6"/>
      <c r="AA82" s="6"/>
      <c r="AB82" s="7"/>
    </row>
    <row r="83">
      <c r="Q83" s="15"/>
      <c r="S83" s="6"/>
      <c r="AA83" s="6"/>
      <c r="AB83" s="7"/>
    </row>
    <row r="84">
      <c r="Q84" s="15"/>
      <c r="S84" s="6"/>
      <c r="AA84" s="6"/>
      <c r="AB84" s="7"/>
    </row>
    <row r="85">
      <c r="Q85" s="15"/>
      <c r="S85" s="6"/>
      <c r="AA85" s="6"/>
      <c r="AB85" s="7"/>
    </row>
    <row r="86">
      <c r="Q86" s="15"/>
      <c r="S86" s="6"/>
      <c r="AA86" s="6"/>
      <c r="AB86" s="7"/>
    </row>
    <row r="87">
      <c r="Q87" s="15"/>
      <c r="S87" s="6"/>
      <c r="AA87" s="6"/>
      <c r="AB87" s="7"/>
    </row>
    <row r="88">
      <c r="Q88" s="15"/>
      <c r="S88" s="6"/>
      <c r="AA88" s="6"/>
      <c r="AB88" s="7"/>
    </row>
    <row r="89">
      <c r="Q89" s="15"/>
      <c r="S89" s="6"/>
      <c r="AA89" s="6"/>
      <c r="AB89" s="7"/>
    </row>
    <row r="90">
      <c r="Q90" s="15"/>
      <c r="S90" s="6"/>
      <c r="AA90" s="6"/>
      <c r="AB90" s="7"/>
    </row>
    <row r="91">
      <c r="Q91" s="15"/>
      <c r="S91" s="6"/>
      <c r="AA91" s="6"/>
      <c r="AB91" s="7"/>
    </row>
    <row r="92">
      <c r="Q92" s="15"/>
      <c r="S92" s="6"/>
      <c r="AA92" s="6"/>
      <c r="AB92" s="7"/>
    </row>
    <row r="93">
      <c r="Q93" s="15"/>
      <c r="S93" s="6"/>
      <c r="AA93" s="6"/>
      <c r="AB93" s="7"/>
    </row>
    <row r="94">
      <c r="Q94" s="15"/>
      <c r="S94" s="6"/>
      <c r="AA94" s="6"/>
      <c r="AB94" s="7"/>
    </row>
    <row r="95">
      <c r="Q95" s="15"/>
      <c r="S95" s="6"/>
      <c r="AA95" s="6"/>
      <c r="AB95" s="7"/>
    </row>
    <row r="96">
      <c r="Q96" s="15"/>
      <c r="S96" s="6"/>
      <c r="AA96" s="6"/>
      <c r="AB96" s="7"/>
    </row>
    <row r="97">
      <c r="Q97" s="15"/>
      <c r="S97" s="6"/>
      <c r="AA97" s="6"/>
      <c r="AB97" s="7"/>
    </row>
    <row r="98">
      <c r="Q98" s="15"/>
      <c r="S98" s="6"/>
      <c r="AA98" s="6"/>
      <c r="AB98" s="7"/>
    </row>
    <row r="99">
      <c r="Q99" s="15"/>
      <c r="S99" s="6"/>
      <c r="AA99" s="6"/>
      <c r="AB99" s="7"/>
    </row>
    <row r="100">
      <c r="Q100" s="15"/>
      <c r="S100" s="6"/>
      <c r="AA100" s="6"/>
      <c r="AB100" s="7"/>
    </row>
    <row r="101">
      <c r="Q101" s="15"/>
      <c r="S101" s="6"/>
      <c r="AA101" s="6"/>
      <c r="AB101" s="7"/>
    </row>
    <row r="102">
      <c r="Q102" s="15"/>
      <c r="S102" s="6"/>
      <c r="AA102" s="6"/>
      <c r="AB102" s="7"/>
    </row>
    <row r="103">
      <c r="Q103" s="15"/>
      <c r="S103" s="6"/>
      <c r="AA103" s="6"/>
      <c r="AB103" s="7"/>
    </row>
    <row r="104">
      <c r="Q104" s="15"/>
      <c r="S104" s="6"/>
      <c r="AA104" s="6"/>
      <c r="AB104" s="7"/>
    </row>
    <row r="105">
      <c r="Q105" s="15"/>
      <c r="S105" s="6"/>
      <c r="AA105" s="6"/>
      <c r="AB105" s="7"/>
    </row>
    <row r="106">
      <c r="Q106" s="15"/>
      <c r="S106" s="6"/>
      <c r="AA106" s="6"/>
      <c r="AB106" s="7"/>
    </row>
    <row r="107">
      <c r="Q107" s="15"/>
      <c r="S107" s="6"/>
      <c r="AA107" s="6"/>
      <c r="AB107" s="7"/>
    </row>
    <row r="108">
      <c r="Q108" s="15"/>
      <c r="S108" s="6"/>
      <c r="AA108" s="6"/>
      <c r="AB108" s="7"/>
    </row>
    <row r="109">
      <c r="Q109" s="15"/>
      <c r="S109" s="6"/>
      <c r="AA109" s="6"/>
      <c r="AB109" s="7"/>
    </row>
    <row r="110">
      <c r="Q110" s="15"/>
      <c r="S110" s="6"/>
      <c r="AA110" s="6"/>
      <c r="AB110" s="7"/>
    </row>
    <row r="111">
      <c r="Q111" s="15"/>
      <c r="S111" s="6"/>
      <c r="AA111" s="6"/>
      <c r="AB111" s="7"/>
    </row>
    <row r="112">
      <c r="Q112" s="15"/>
      <c r="S112" s="6"/>
      <c r="AA112" s="6"/>
      <c r="AB112" s="7"/>
    </row>
    <row r="113">
      <c r="Q113" s="15"/>
      <c r="S113" s="6"/>
      <c r="AA113" s="6"/>
      <c r="AB113" s="7"/>
    </row>
    <row r="114">
      <c r="Q114" s="15"/>
      <c r="S114" s="6"/>
      <c r="AA114" s="6"/>
      <c r="AB114" s="7"/>
    </row>
    <row r="115">
      <c r="Q115" s="15"/>
      <c r="S115" s="6"/>
      <c r="AA115" s="6"/>
      <c r="AB115" s="7"/>
    </row>
    <row r="116">
      <c r="Q116" s="15"/>
      <c r="S116" s="6"/>
      <c r="AA116" s="6"/>
      <c r="AB116" s="7"/>
    </row>
    <row r="117">
      <c r="Q117" s="15"/>
      <c r="S117" s="6"/>
      <c r="AA117" s="6"/>
      <c r="AB117" s="7"/>
    </row>
    <row r="118">
      <c r="Q118" s="15"/>
      <c r="S118" s="6"/>
      <c r="AA118" s="6"/>
      <c r="AB118" s="7"/>
    </row>
    <row r="119">
      <c r="Q119" s="15"/>
      <c r="S119" s="6"/>
      <c r="AA119" s="6"/>
      <c r="AB119" s="7"/>
    </row>
    <row r="120">
      <c r="Q120" s="15"/>
      <c r="S120" s="6"/>
      <c r="AA120" s="6"/>
      <c r="AB120" s="7"/>
    </row>
    <row r="121">
      <c r="Q121" s="15"/>
      <c r="S121" s="6"/>
      <c r="AA121" s="6"/>
      <c r="AB121" s="7"/>
    </row>
    <row r="122">
      <c r="Q122" s="15"/>
      <c r="S122" s="6"/>
      <c r="AA122" s="6"/>
      <c r="AB122" s="7"/>
    </row>
    <row r="123">
      <c r="Q123" s="15"/>
      <c r="S123" s="6"/>
      <c r="AA123" s="6"/>
      <c r="AB123" s="7"/>
    </row>
    <row r="124">
      <c r="Q124" s="15"/>
      <c r="S124" s="6"/>
      <c r="AA124" s="6"/>
      <c r="AB124" s="7"/>
    </row>
    <row r="125">
      <c r="Q125" s="15"/>
      <c r="S125" s="6"/>
      <c r="AA125" s="6"/>
      <c r="AB125" s="7"/>
    </row>
    <row r="126">
      <c r="Q126" s="15"/>
      <c r="S126" s="6"/>
      <c r="AA126" s="6"/>
      <c r="AB126" s="7"/>
    </row>
    <row r="127">
      <c r="Q127" s="15"/>
      <c r="S127" s="6"/>
      <c r="AA127" s="6"/>
      <c r="AB127" s="7"/>
    </row>
    <row r="128">
      <c r="Q128" s="15"/>
      <c r="S128" s="6"/>
      <c r="AA128" s="6"/>
      <c r="AB128" s="7"/>
    </row>
    <row r="129">
      <c r="Q129" s="15"/>
      <c r="S129" s="6"/>
      <c r="AA129" s="6"/>
      <c r="AB129" s="7"/>
    </row>
    <row r="130">
      <c r="Q130" s="15"/>
      <c r="S130" s="6"/>
      <c r="AA130" s="6"/>
      <c r="AB130" s="7"/>
    </row>
    <row r="131">
      <c r="Q131" s="15"/>
      <c r="S131" s="6"/>
      <c r="AA131" s="6"/>
      <c r="AB131" s="7"/>
    </row>
    <row r="132">
      <c r="Q132" s="15"/>
      <c r="S132" s="6"/>
      <c r="AA132" s="6"/>
      <c r="AB132" s="7"/>
    </row>
    <row r="133">
      <c r="Q133" s="15"/>
      <c r="S133" s="6"/>
      <c r="AA133" s="6"/>
      <c r="AB133" s="7"/>
    </row>
    <row r="134">
      <c r="Q134" s="15"/>
      <c r="S134" s="6"/>
      <c r="AA134" s="6"/>
      <c r="AB134" s="7"/>
    </row>
    <row r="135">
      <c r="Q135" s="15"/>
      <c r="S135" s="6"/>
      <c r="AA135" s="6"/>
      <c r="AB135" s="7"/>
    </row>
    <row r="136">
      <c r="Q136" s="15"/>
      <c r="S136" s="6"/>
      <c r="AA136" s="6"/>
      <c r="AB136" s="7"/>
    </row>
    <row r="137">
      <c r="Q137" s="15"/>
      <c r="S137" s="6"/>
      <c r="AA137" s="6"/>
      <c r="AB137" s="7"/>
    </row>
    <row r="138">
      <c r="Q138" s="15"/>
      <c r="S138" s="6"/>
      <c r="AA138" s="6"/>
      <c r="AB138" s="7"/>
    </row>
    <row r="139">
      <c r="Q139" s="15"/>
      <c r="S139" s="6"/>
      <c r="AA139" s="6"/>
      <c r="AB139" s="7"/>
    </row>
    <row r="140">
      <c r="Q140" s="15"/>
      <c r="S140" s="6"/>
      <c r="AA140" s="6"/>
      <c r="AB140" s="7"/>
    </row>
    <row r="141">
      <c r="Q141" s="15"/>
      <c r="S141" s="6"/>
      <c r="AA141" s="6"/>
      <c r="AB141" s="7"/>
    </row>
    <row r="142">
      <c r="Q142" s="15"/>
      <c r="S142" s="6"/>
      <c r="AA142" s="6"/>
      <c r="AB142" s="7"/>
    </row>
    <row r="143">
      <c r="Q143" s="15"/>
      <c r="S143" s="6"/>
      <c r="AA143" s="6"/>
      <c r="AB143" s="7"/>
    </row>
    <row r="144">
      <c r="Q144" s="15"/>
      <c r="S144" s="6"/>
      <c r="AA144" s="6"/>
      <c r="AB144" s="7"/>
    </row>
    <row r="145">
      <c r="Q145" s="15"/>
      <c r="S145" s="6"/>
      <c r="AA145" s="6"/>
      <c r="AB145" s="7"/>
    </row>
    <row r="146">
      <c r="Q146" s="15"/>
      <c r="S146" s="6"/>
      <c r="AA146" s="6"/>
      <c r="AB146" s="7"/>
    </row>
    <row r="147">
      <c r="Q147" s="15"/>
      <c r="S147" s="6"/>
      <c r="AA147" s="6"/>
      <c r="AB147" s="7"/>
    </row>
    <row r="148">
      <c r="Q148" s="15"/>
      <c r="S148" s="6"/>
      <c r="AA148" s="6"/>
      <c r="AB148" s="7"/>
    </row>
    <row r="149">
      <c r="Q149" s="15"/>
      <c r="S149" s="6"/>
      <c r="AA149" s="6"/>
      <c r="AB149" s="7"/>
    </row>
    <row r="150">
      <c r="Q150" s="15"/>
      <c r="S150" s="6"/>
      <c r="AA150" s="6"/>
      <c r="AB150" s="7"/>
    </row>
    <row r="151">
      <c r="Q151" s="15"/>
      <c r="S151" s="6"/>
      <c r="AA151" s="6"/>
      <c r="AB151" s="7"/>
    </row>
    <row r="152">
      <c r="Q152" s="15"/>
      <c r="S152" s="6"/>
      <c r="AA152" s="6"/>
      <c r="AB152" s="7"/>
    </row>
    <row r="153">
      <c r="Q153" s="15"/>
      <c r="S153" s="6"/>
      <c r="AA153" s="6"/>
      <c r="AB153" s="7"/>
    </row>
    <row r="154">
      <c r="Q154" s="15"/>
      <c r="S154" s="6"/>
      <c r="AA154" s="6"/>
      <c r="AB154" s="7"/>
    </row>
    <row r="155">
      <c r="Q155" s="15"/>
      <c r="S155" s="6"/>
      <c r="AA155" s="6"/>
      <c r="AB155" s="7"/>
      <c r="AC155" s="7"/>
    </row>
    <row r="156">
      <c r="Q156" s="15"/>
      <c r="S156" s="6"/>
      <c r="AA156" s="6"/>
      <c r="AB156" s="7"/>
      <c r="AC156" s="7"/>
    </row>
    <row r="157">
      <c r="Q157" s="15"/>
      <c r="S157" s="6"/>
      <c r="AA157" s="6"/>
      <c r="AB157" s="7"/>
      <c r="AC157" s="7"/>
    </row>
    <row r="158">
      <c r="Q158" s="15"/>
      <c r="S158" s="6"/>
      <c r="AA158" s="6"/>
      <c r="AB158" s="7"/>
      <c r="AC158" s="7"/>
    </row>
    <row r="159">
      <c r="Q159" s="15"/>
      <c r="S159" s="6"/>
      <c r="AA159" s="6"/>
      <c r="AB159" s="7"/>
      <c r="AC159" s="7"/>
    </row>
    <row r="160">
      <c r="Q160" s="15"/>
      <c r="S160" s="6"/>
      <c r="AA160" s="6"/>
      <c r="AB160" s="7"/>
      <c r="AC160" s="7"/>
    </row>
    <row r="161">
      <c r="Q161" s="15"/>
      <c r="S161" s="6"/>
      <c r="AA161" s="6"/>
      <c r="AB161" s="7"/>
      <c r="AC161" s="7"/>
    </row>
    <row r="162">
      <c r="Q162" s="15"/>
      <c r="S162" s="6"/>
      <c r="AA162" s="6"/>
      <c r="AB162" s="7"/>
      <c r="AC162" s="7"/>
    </row>
    <row r="163">
      <c r="Q163" s="15"/>
      <c r="S163" s="6"/>
      <c r="AA163" s="6"/>
      <c r="AB163" s="7"/>
      <c r="AC163" s="7"/>
    </row>
    <row r="164">
      <c r="Q164" s="15"/>
      <c r="S164" s="6"/>
      <c r="AA164" s="6"/>
      <c r="AB164" s="7"/>
      <c r="AC164" s="7"/>
    </row>
    <row r="165">
      <c r="Q165" s="15"/>
      <c r="S165" s="6"/>
      <c r="AA165" s="6"/>
      <c r="AB165" s="7"/>
      <c r="AC165" s="7"/>
    </row>
    <row r="166">
      <c r="Q166" s="15"/>
      <c r="S166" s="6"/>
      <c r="AA166" s="6"/>
      <c r="AB166" s="7"/>
      <c r="AC166" s="7"/>
    </row>
    <row r="167">
      <c r="Q167" s="15"/>
      <c r="S167" s="6"/>
      <c r="AA167" s="6"/>
      <c r="AB167" s="7"/>
      <c r="AC167" s="7"/>
    </row>
    <row r="168">
      <c r="Q168" s="15"/>
      <c r="S168" s="6"/>
      <c r="AA168" s="6"/>
      <c r="AB168" s="7"/>
      <c r="AC168" s="7"/>
    </row>
    <row r="169">
      <c r="Q169" s="15"/>
      <c r="S169" s="6"/>
      <c r="AA169" s="6"/>
      <c r="AB169" s="7"/>
      <c r="AC169" s="7"/>
    </row>
    <row r="170">
      <c r="Q170" s="15"/>
      <c r="S170" s="6"/>
      <c r="AA170" s="6"/>
      <c r="AB170" s="7"/>
      <c r="AC170" s="7"/>
    </row>
    <row r="171">
      <c r="Q171" s="15"/>
      <c r="S171" s="6"/>
      <c r="AA171" s="6"/>
      <c r="AB171" s="7"/>
      <c r="AC171" s="7"/>
    </row>
    <row r="172">
      <c r="Q172" s="15"/>
      <c r="S172" s="6"/>
      <c r="AA172" s="6"/>
      <c r="AB172" s="7"/>
      <c r="AC172" s="7"/>
    </row>
    <row r="173">
      <c r="Q173" s="15"/>
      <c r="S173" s="6"/>
      <c r="AA173" s="6"/>
      <c r="AB173" s="7"/>
      <c r="AC173" s="7"/>
    </row>
    <row r="174">
      <c r="Q174" s="15"/>
      <c r="S174" s="6"/>
      <c r="AA174" s="6"/>
      <c r="AB174" s="7"/>
      <c r="AC174" s="7"/>
    </row>
    <row r="175">
      <c r="Q175" s="15"/>
      <c r="S175" s="6"/>
      <c r="AA175" s="6"/>
      <c r="AB175" s="7"/>
      <c r="AC175" s="7"/>
    </row>
    <row r="176">
      <c r="Q176" s="15"/>
      <c r="S176" s="6"/>
      <c r="AA176" s="6"/>
      <c r="AB176" s="7"/>
      <c r="AC176" s="7"/>
    </row>
    <row r="177">
      <c r="Q177" s="15"/>
      <c r="S177" s="6"/>
      <c r="AA177" s="6"/>
      <c r="AB177" s="7"/>
      <c r="AC177" s="7"/>
    </row>
    <row r="178">
      <c r="Q178" s="15"/>
      <c r="S178" s="6"/>
      <c r="AA178" s="6"/>
      <c r="AB178" s="7"/>
      <c r="AC178" s="7"/>
    </row>
    <row r="179">
      <c r="Q179" s="15"/>
      <c r="S179" s="6"/>
      <c r="AA179" s="6"/>
      <c r="AB179" s="7"/>
      <c r="AC179" s="7"/>
    </row>
    <row r="180">
      <c r="Q180" s="15"/>
      <c r="S180" s="6"/>
      <c r="AA180" s="6"/>
      <c r="AB180" s="7"/>
      <c r="AC180" s="7"/>
    </row>
    <row r="181">
      <c r="Q181" s="15"/>
      <c r="S181" s="6"/>
      <c r="AA181" s="6"/>
      <c r="AB181" s="7"/>
      <c r="AC181" s="7"/>
    </row>
    <row r="182">
      <c r="Q182" s="15"/>
      <c r="S182" s="6"/>
      <c r="AA182" s="6"/>
      <c r="AB182" s="7"/>
      <c r="AC182" s="7"/>
    </row>
    <row r="183">
      <c r="Q183" s="15"/>
      <c r="S183" s="6"/>
      <c r="AA183" s="6"/>
      <c r="AB183" s="7"/>
      <c r="AC183" s="7"/>
    </row>
    <row r="184">
      <c r="Q184" s="15"/>
      <c r="S184" s="6"/>
      <c r="AA184" s="6"/>
      <c r="AB184" s="7"/>
      <c r="AC184" s="7"/>
    </row>
    <row r="185">
      <c r="Q185" s="15"/>
      <c r="S185" s="6"/>
      <c r="AA185" s="6"/>
      <c r="AB185" s="7"/>
      <c r="AC185" s="7"/>
    </row>
    <row r="186">
      <c r="Q186" s="15"/>
      <c r="S186" s="6"/>
      <c r="AA186" s="6"/>
      <c r="AB186" s="7"/>
      <c r="AC186" s="7"/>
    </row>
    <row r="187">
      <c r="Q187" s="15"/>
      <c r="S187" s="6"/>
      <c r="AA187" s="6"/>
      <c r="AB187" s="7"/>
      <c r="AC187" s="7"/>
    </row>
    <row r="188">
      <c r="Q188" s="15"/>
      <c r="S188" s="6"/>
      <c r="AA188" s="6"/>
      <c r="AB188" s="7"/>
      <c r="AC188" s="7"/>
    </row>
    <row r="189">
      <c r="Q189" s="15"/>
      <c r="S189" s="6"/>
      <c r="AA189" s="6"/>
      <c r="AB189" s="7"/>
      <c r="AC189" s="7"/>
    </row>
    <row r="190">
      <c r="Q190" s="15"/>
      <c r="S190" s="6"/>
      <c r="AA190" s="6"/>
      <c r="AB190" s="7"/>
      <c r="AC190" s="7"/>
    </row>
    <row r="191">
      <c r="Q191" s="15"/>
      <c r="S191" s="6"/>
      <c r="AA191" s="6"/>
      <c r="AB191" s="7"/>
      <c r="AC191" s="7"/>
    </row>
    <row r="192">
      <c r="Q192" s="15"/>
      <c r="S192" s="6"/>
      <c r="AA192" s="6"/>
      <c r="AB192" s="7"/>
      <c r="AC192" s="7"/>
    </row>
    <row r="193">
      <c r="Q193" s="15"/>
      <c r="S193" s="6"/>
      <c r="AA193" s="6"/>
      <c r="AB193" s="7"/>
      <c r="AC193" s="7"/>
    </row>
    <row r="194">
      <c r="Q194" s="15"/>
      <c r="S194" s="6"/>
      <c r="AA194" s="6"/>
      <c r="AB194" s="7"/>
      <c r="AC194" s="7"/>
    </row>
    <row r="195">
      <c r="Q195" s="15"/>
      <c r="S195" s="6"/>
      <c r="AA195" s="6"/>
      <c r="AB195" s="7"/>
      <c r="AC195" s="7"/>
    </row>
    <row r="196">
      <c r="Q196" s="15"/>
      <c r="S196" s="6"/>
      <c r="AA196" s="6"/>
      <c r="AB196" s="7"/>
      <c r="AC196" s="7"/>
    </row>
    <row r="197">
      <c r="Q197" s="15"/>
      <c r="S197" s="6"/>
      <c r="AA197" s="6"/>
      <c r="AB197" s="7"/>
      <c r="AC197" s="7"/>
    </row>
    <row r="198">
      <c r="Q198" s="15"/>
      <c r="S198" s="6"/>
      <c r="AA198" s="6"/>
      <c r="AB198" s="7"/>
      <c r="AC198" s="7"/>
    </row>
    <row r="199">
      <c r="Q199" s="15"/>
      <c r="S199" s="6"/>
      <c r="AA199" s="6"/>
      <c r="AB199" s="7"/>
      <c r="AC199" s="7"/>
    </row>
    <row r="200">
      <c r="Q200" s="15"/>
      <c r="S200" s="6"/>
      <c r="AA200" s="6"/>
      <c r="AB200" s="7"/>
      <c r="AC200" s="7"/>
    </row>
    <row r="201">
      <c r="Q201" s="15"/>
      <c r="S201" s="6"/>
      <c r="AA201" s="6"/>
      <c r="AB201" s="7"/>
      <c r="AC201" s="7"/>
    </row>
    <row r="202">
      <c r="Q202" s="15"/>
      <c r="S202" s="6"/>
      <c r="AA202" s="6"/>
      <c r="AB202" s="7"/>
      <c r="AC202" s="7"/>
    </row>
    <row r="203">
      <c r="Q203" s="15"/>
      <c r="S203" s="6"/>
      <c r="AA203" s="6"/>
      <c r="AB203" s="7"/>
      <c r="AC203" s="7"/>
    </row>
    <row r="204">
      <c r="Q204" s="15"/>
      <c r="S204" s="6"/>
      <c r="AA204" s="6"/>
      <c r="AB204" s="7"/>
      <c r="AC204" s="7"/>
    </row>
    <row r="205">
      <c r="Q205" s="15"/>
      <c r="S205" s="6"/>
      <c r="AA205" s="6"/>
      <c r="AB205" s="7"/>
      <c r="AC205" s="7"/>
    </row>
    <row r="206">
      <c r="Q206" s="15"/>
      <c r="S206" s="6"/>
      <c r="AA206" s="6"/>
      <c r="AB206" s="7"/>
      <c r="AC206" s="7"/>
    </row>
    <row r="207">
      <c r="Q207" s="15"/>
      <c r="S207" s="6"/>
      <c r="AA207" s="6"/>
      <c r="AB207" s="7"/>
      <c r="AC207" s="7"/>
    </row>
    <row r="208">
      <c r="Q208" s="15"/>
      <c r="S208" s="6"/>
      <c r="AA208" s="6"/>
      <c r="AB208" s="7"/>
      <c r="AC208" s="7"/>
    </row>
    <row r="209">
      <c r="Q209" s="15"/>
      <c r="S209" s="6"/>
      <c r="AA209" s="6"/>
      <c r="AB209" s="7"/>
      <c r="AC209" s="7"/>
    </row>
    <row r="210">
      <c r="Q210" s="15"/>
      <c r="S210" s="6"/>
      <c r="AA210" s="6"/>
      <c r="AB210" s="7"/>
      <c r="AC210" s="7"/>
    </row>
    <row r="211">
      <c r="Q211" s="15"/>
      <c r="S211" s="6"/>
      <c r="AA211" s="6"/>
      <c r="AB211" s="7"/>
      <c r="AC211" s="7"/>
    </row>
    <row r="212">
      <c r="Q212" s="15"/>
      <c r="S212" s="6"/>
      <c r="AA212" s="6"/>
      <c r="AB212" s="7"/>
      <c r="AC212" s="7"/>
    </row>
    <row r="213">
      <c r="Q213" s="15"/>
      <c r="S213" s="6"/>
      <c r="AA213" s="6"/>
      <c r="AB213" s="7"/>
      <c r="AC213" s="7"/>
    </row>
    <row r="214">
      <c r="Q214" s="15"/>
      <c r="S214" s="6"/>
      <c r="AA214" s="6"/>
      <c r="AB214" s="7"/>
      <c r="AC214" s="7"/>
    </row>
    <row r="215">
      <c r="Q215" s="15"/>
      <c r="S215" s="6"/>
      <c r="AA215" s="6"/>
      <c r="AB215" s="7"/>
      <c r="AC215" s="7"/>
    </row>
    <row r="216">
      <c r="Q216" s="15"/>
      <c r="S216" s="6"/>
      <c r="AA216" s="6"/>
      <c r="AB216" s="7"/>
      <c r="AC216" s="7"/>
    </row>
    <row r="217">
      <c r="Q217" s="15"/>
      <c r="S217" s="6"/>
      <c r="AA217" s="6"/>
      <c r="AB217" s="7"/>
      <c r="AC217" s="7"/>
    </row>
    <row r="218">
      <c r="Q218" s="15"/>
      <c r="S218" s="6"/>
      <c r="AA218" s="6"/>
      <c r="AB218" s="7"/>
      <c r="AC218" s="7"/>
    </row>
    <row r="219">
      <c r="Q219" s="15"/>
      <c r="S219" s="6"/>
      <c r="AA219" s="6"/>
      <c r="AB219" s="7"/>
      <c r="AC219" s="7"/>
    </row>
    <row r="220">
      <c r="Q220" s="15"/>
      <c r="S220" s="6"/>
      <c r="AA220" s="6"/>
      <c r="AB220" s="7"/>
      <c r="AC220" s="7"/>
    </row>
    <row r="221">
      <c r="Q221" s="15"/>
      <c r="S221" s="6"/>
      <c r="AA221" s="6"/>
      <c r="AB221" s="7"/>
      <c r="AC221" s="7"/>
    </row>
    <row r="222">
      <c r="Q222" s="15"/>
      <c r="S222" s="6"/>
      <c r="AA222" s="6"/>
      <c r="AB222" s="7"/>
      <c r="AC222" s="7"/>
    </row>
    <row r="223">
      <c r="Q223" s="15"/>
      <c r="S223" s="6"/>
      <c r="AA223" s="6"/>
      <c r="AB223" s="7"/>
      <c r="AC223" s="7"/>
    </row>
    <row r="224">
      <c r="Q224" s="15"/>
      <c r="S224" s="6"/>
      <c r="AA224" s="6"/>
      <c r="AB224" s="7"/>
      <c r="AC224" s="7"/>
    </row>
    <row r="225">
      <c r="Q225" s="15"/>
      <c r="S225" s="6"/>
      <c r="AA225" s="6"/>
      <c r="AB225" s="7"/>
      <c r="AC225" s="7"/>
    </row>
    <row r="226">
      <c r="Q226" s="15"/>
      <c r="S226" s="6"/>
      <c r="AA226" s="6"/>
      <c r="AB226" s="7"/>
      <c r="AC226" s="7"/>
    </row>
    <row r="227">
      <c r="Q227" s="15"/>
      <c r="S227" s="6"/>
      <c r="AA227" s="6"/>
      <c r="AB227" s="7"/>
      <c r="AC227" s="7"/>
    </row>
    <row r="228">
      <c r="Q228" s="15"/>
      <c r="S228" s="6"/>
      <c r="AA228" s="6"/>
      <c r="AB228" s="7"/>
      <c r="AC228" s="7"/>
    </row>
    <row r="229">
      <c r="Q229" s="15"/>
      <c r="S229" s="6"/>
      <c r="AA229" s="6"/>
      <c r="AB229" s="7"/>
      <c r="AC229" s="7"/>
    </row>
    <row r="230">
      <c r="Q230" s="15"/>
      <c r="S230" s="6"/>
      <c r="AA230" s="6"/>
      <c r="AB230" s="7"/>
      <c r="AC230" s="7"/>
    </row>
    <row r="231">
      <c r="Q231" s="15"/>
      <c r="S231" s="6"/>
      <c r="AA231" s="6"/>
      <c r="AB231" s="7"/>
      <c r="AC231" s="7"/>
    </row>
    <row r="232">
      <c r="Q232" s="15"/>
      <c r="S232" s="6"/>
      <c r="AA232" s="6"/>
      <c r="AB232" s="7"/>
      <c r="AC232" s="7"/>
    </row>
    <row r="233">
      <c r="Q233" s="15"/>
      <c r="S233" s="6"/>
      <c r="AA233" s="6"/>
      <c r="AB233" s="7"/>
      <c r="AC233" s="7"/>
    </row>
    <row r="234">
      <c r="Q234" s="15"/>
      <c r="S234" s="6"/>
      <c r="AA234" s="6"/>
      <c r="AB234" s="7"/>
      <c r="AC234" s="7"/>
    </row>
    <row r="235">
      <c r="Q235" s="15"/>
      <c r="S235" s="6"/>
      <c r="AA235" s="6"/>
      <c r="AB235" s="7"/>
      <c r="AC235" s="7"/>
    </row>
    <row r="236">
      <c r="Q236" s="15"/>
      <c r="S236" s="6"/>
      <c r="AA236" s="6"/>
      <c r="AB236" s="7"/>
      <c r="AC236" s="7"/>
    </row>
    <row r="237">
      <c r="Q237" s="15"/>
      <c r="S237" s="6"/>
      <c r="AA237" s="6"/>
      <c r="AB237" s="7"/>
      <c r="AC237" s="7"/>
    </row>
    <row r="238">
      <c r="Q238" s="15"/>
      <c r="S238" s="6"/>
      <c r="AA238" s="6"/>
      <c r="AB238" s="7"/>
      <c r="AC238" s="7"/>
    </row>
    <row r="239">
      <c r="Q239" s="15"/>
      <c r="S239" s="6"/>
      <c r="AA239" s="6"/>
      <c r="AB239" s="7"/>
      <c r="AC239" s="7"/>
    </row>
    <row r="240">
      <c r="Q240" s="15"/>
      <c r="S240" s="6"/>
      <c r="AA240" s="6"/>
      <c r="AB240" s="7"/>
      <c r="AC240" s="7"/>
    </row>
    <row r="241">
      <c r="Q241" s="15"/>
      <c r="S241" s="6"/>
      <c r="AA241" s="6"/>
      <c r="AB241" s="7"/>
      <c r="AC241" s="7"/>
    </row>
    <row r="242">
      <c r="Q242" s="15"/>
      <c r="S242" s="6"/>
      <c r="AA242" s="6"/>
      <c r="AB242" s="7"/>
      <c r="AC242" s="7"/>
    </row>
    <row r="243">
      <c r="Q243" s="15"/>
      <c r="S243" s="6"/>
      <c r="AA243" s="6"/>
      <c r="AB243" s="7"/>
      <c r="AC243" s="7"/>
    </row>
    <row r="244">
      <c r="Q244" s="15"/>
      <c r="S244" s="6"/>
      <c r="AA244" s="6"/>
      <c r="AB244" s="7"/>
      <c r="AC244" s="7"/>
    </row>
    <row r="245">
      <c r="Q245" s="15"/>
      <c r="S245" s="6"/>
      <c r="AA245" s="6"/>
      <c r="AB245" s="7"/>
      <c r="AC245" s="7"/>
    </row>
    <row r="246">
      <c r="Q246" s="15"/>
      <c r="S246" s="6"/>
      <c r="AA246" s="6"/>
      <c r="AB246" s="7"/>
      <c r="AC246" s="7"/>
    </row>
    <row r="247">
      <c r="Q247" s="15"/>
      <c r="S247" s="6"/>
      <c r="AA247" s="6"/>
      <c r="AB247" s="7"/>
      <c r="AC247" s="7"/>
    </row>
    <row r="248">
      <c r="Q248" s="15"/>
      <c r="S248" s="6"/>
      <c r="AA248" s="6"/>
      <c r="AB248" s="7"/>
      <c r="AC248" s="7"/>
    </row>
    <row r="249">
      <c r="Q249" s="15"/>
      <c r="S249" s="6"/>
      <c r="AA249" s="6"/>
      <c r="AB249" s="7"/>
      <c r="AC249" s="7"/>
    </row>
    <row r="250">
      <c r="Q250" s="15"/>
      <c r="S250" s="6"/>
      <c r="AA250" s="6"/>
      <c r="AB250" s="7"/>
      <c r="AC250" s="7"/>
    </row>
    <row r="251">
      <c r="Q251" s="15"/>
      <c r="S251" s="6"/>
      <c r="AA251" s="6"/>
      <c r="AB251" s="7"/>
      <c r="AC251" s="7"/>
    </row>
    <row r="252">
      <c r="Q252" s="15"/>
      <c r="S252" s="6"/>
      <c r="AA252" s="6"/>
      <c r="AB252" s="7"/>
      <c r="AC252" s="7"/>
    </row>
    <row r="253">
      <c r="Q253" s="15"/>
      <c r="S253" s="6"/>
      <c r="AA253" s="6"/>
      <c r="AB253" s="7"/>
      <c r="AC253" s="7"/>
    </row>
    <row r="254">
      <c r="Q254" s="15"/>
      <c r="S254" s="6"/>
      <c r="AA254" s="6"/>
      <c r="AB254" s="7"/>
      <c r="AC254" s="7"/>
    </row>
    <row r="255">
      <c r="Q255" s="15"/>
      <c r="S255" s="6"/>
      <c r="AA255" s="6"/>
      <c r="AB255" s="7"/>
      <c r="AC255" s="7"/>
    </row>
    <row r="256">
      <c r="Q256" s="15"/>
      <c r="S256" s="6"/>
      <c r="AA256" s="6"/>
      <c r="AB256" s="7"/>
      <c r="AC256" s="7"/>
    </row>
    <row r="257">
      <c r="Q257" s="15"/>
      <c r="S257" s="6"/>
      <c r="AA257" s="6"/>
      <c r="AB257" s="7"/>
      <c r="AC257" s="7"/>
    </row>
    <row r="258">
      <c r="Q258" s="15"/>
      <c r="S258" s="6"/>
      <c r="AA258" s="6"/>
      <c r="AB258" s="7"/>
      <c r="AC258" s="7"/>
    </row>
    <row r="259">
      <c r="Q259" s="15"/>
      <c r="S259" s="6"/>
      <c r="AA259" s="6"/>
      <c r="AB259" s="7"/>
      <c r="AC259" s="7"/>
    </row>
    <row r="260">
      <c r="Q260" s="15"/>
      <c r="S260" s="6"/>
      <c r="AA260" s="6"/>
      <c r="AB260" s="7"/>
      <c r="AC260" s="7"/>
    </row>
    <row r="261">
      <c r="Q261" s="15"/>
      <c r="S261" s="6"/>
      <c r="AA261" s="6"/>
      <c r="AB261" s="7"/>
      <c r="AC261" s="7"/>
    </row>
    <row r="262">
      <c r="Q262" s="15"/>
      <c r="S262" s="6"/>
      <c r="AA262" s="6"/>
      <c r="AB262" s="7"/>
      <c r="AC262" s="7"/>
    </row>
    <row r="263">
      <c r="Q263" s="15"/>
      <c r="S263" s="6"/>
      <c r="AA263" s="6"/>
      <c r="AB263" s="7"/>
      <c r="AC263" s="7"/>
    </row>
    <row r="264">
      <c r="Q264" s="15"/>
      <c r="S264" s="6"/>
      <c r="AA264" s="6"/>
      <c r="AB264" s="7"/>
      <c r="AC264" s="7"/>
    </row>
    <row r="265">
      <c r="Q265" s="15"/>
      <c r="S265" s="6"/>
      <c r="AA265" s="6"/>
      <c r="AB265" s="7"/>
      <c r="AC265" s="7"/>
    </row>
    <row r="266">
      <c r="Q266" s="15"/>
      <c r="S266" s="6"/>
      <c r="AA266" s="6"/>
      <c r="AB266" s="7"/>
      <c r="AC266" s="7"/>
    </row>
    <row r="267">
      <c r="Q267" s="15"/>
      <c r="S267" s="6"/>
      <c r="AA267" s="6"/>
      <c r="AB267" s="7"/>
      <c r="AC267" s="7"/>
    </row>
    <row r="268">
      <c r="Q268" s="15"/>
      <c r="S268" s="6"/>
      <c r="AA268" s="6"/>
      <c r="AB268" s="7"/>
      <c r="AC268" s="7"/>
    </row>
    <row r="269">
      <c r="Q269" s="15"/>
      <c r="S269" s="6"/>
      <c r="AA269" s="6"/>
      <c r="AB269" s="7"/>
      <c r="AC269" s="7"/>
    </row>
    <row r="270">
      <c r="Q270" s="15"/>
      <c r="S270" s="6"/>
      <c r="AA270" s="6"/>
      <c r="AB270" s="7"/>
      <c r="AC270" s="7"/>
    </row>
    <row r="271">
      <c r="Q271" s="15"/>
      <c r="S271" s="6"/>
      <c r="AA271" s="6"/>
      <c r="AB271" s="7"/>
      <c r="AC271" s="7"/>
    </row>
    <row r="272">
      <c r="Q272" s="15"/>
      <c r="S272" s="6"/>
      <c r="AA272" s="6"/>
      <c r="AB272" s="7"/>
      <c r="AC272" s="7"/>
    </row>
    <row r="273">
      <c r="Q273" s="15"/>
      <c r="S273" s="6"/>
      <c r="AA273" s="6"/>
      <c r="AB273" s="7"/>
      <c r="AC273" s="7"/>
    </row>
    <row r="274">
      <c r="Q274" s="15"/>
      <c r="S274" s="6"/>
      <c r="AA274" s="6"/>
      <c r="AB274" s="7"/>
      <c r="AC274" s="7"/>
    </row>
    <row r="275">
      <c r="Q275" s="15"/>
      <c r="S275" s="6"/>
      <c r="AA275" s="6"/>
      <c r="AB275" s="7"/>
      <c r="AC275" s="7"/>
    </row>
    <row r="276">
      <c r="Q276" s="15"/>
      <c r="S276" s="6"/>
      <c r="AA276" s="6"/>
      <c r="AB276" s="7"/>
      <c r="AC276" s="7"/>
    </row>
    <row r="277">
      <c r="Q277" s="15"/>
      <c r="S277" s="6"/>
      <c r="AA277" s="6"/>
      <c r="AB277" s="7"/>
      <c r="AC277" s="7"/>
    </row>
    <row r="278">
      <c r="Q278" s="15"/>
      <c r="S278" s="6"/>
      <c r="AA278" s="6"/>
      <c r="AB278" s="7"/>
      <c r="AC278" s="7"/>
    </row>
    <row r="279">
      <c r="Q279" s="15"/>
      <c r="S279" s="6"/>
      <c r="AA279" s="6"/>
      <c r="AB279" s="7"/>
      <c r="AC279" s="7"/>
    </row>
    <row r="280">
      <c r="Q280" s="15"/>
      <c r="S280" s="6"/>
      <c r="AA280" s="6"/>
      <c r="AB280" s="7"/>
      <c r="AC280" s="7"/>
    </row>
    <row r="281">
      <c r="Q281" s="15"/>
      <c r="S281" s="6"/>
      <c r="AA281" s="6"/>
      <c r="AB281" s="7"/>
      <c r="AC281" s="7"/>
    </row>
    <row r="282">
      <c r="Q282" s="15"/>
      <c r="S282" s="6"/>
      <c r="AA282" s="6"/>
      <c r="AB282" s="7"/>
      <c r="AC282" s="7"/>
    </row>
    <row r="283">
      <c r="Q283" s="15"/>
      <c r="S283" s="6"/>
      <c r="AA283" s="6"/>
      <c r="AB283" s="7"/>
      <c r="AC283" s="7"/>
    </row>
    <row r="284">
      <c r="Q284" s="15"/>
      <c r="S284" s="6"/>
      <c r="AA284" s="6"/>
      <c r="AB284" s="7"/>
      <c r="AC284" s="7"/>
    </row>
    <row r="285">
      <c r="Q285" s="15"/>
      <c r="S285" s="6"/>
      <c r="AA285" s="6"/>
      <c r="AB285" s="7"/>
      <c r="AC285" s="7"/>
    </row>
    <row r="286">
      <c r="Q286" s="15"/>
      <c r="S286" s="6"/>
      <c r="AA286" s="6"/>
      <c r="AB286" s="7"/>
      <c r="AC286" s="7"/>
    </row>
    <row r="287">
      <c r="Q287" s="15"/>
      <c r="S287" s="6"/>
      <c r="AA287" s="6"/>
      <c r="AB287" s="7"/>
      <c r="AC287" s="7"/>
    </row>
    <row r="288">
      <c r="Q288" s="15"/>
      <c r="S288" s="6"/>
      <c r="AA288" s="6"/>
      <c r="AB288" s="7"/>
      <c r="AC288" s="7"/>
    </row>
    <row r="289">
      <c r="Q289" s="15"/>
      <c r="S289" s="6"/>
      <c r="AA289" s="6"/>
      <c r="AB289" s="7"/>
      <c r="AC289" s="7"/>
    </row>
    <row r="290">
      <c r="Q290" s="15"/>
      <c r="S290" s="6"/>
      <c r="AA290" s="6"/>
      <c r="AB290" s="7"/>
      <c r="AC290" s="7"/>
    </row>
    <row r="291">
      <c r="Q291" s="15"/>
      <c r="S291" s="6"/>
      <c r="AA291" s="6"/>
      <c r="AB291" s="7"/>
      <c r="AC291" s="7"/>
    </row>
    <row r="292">
      <c r="Q292" s="15"/>
      <c r="S292" s="6"/>
      <c r="AA292" s="6"/>
      <c r="AB292" s="7"/>
      <c r="AC292" s="7"/>
    </row>
    <row r="293">
      <c r="Q293" s="15"/>
      <c r="S293" s="6"/>
      <c r="AA293" s="6"/>
      <c r="AB293" s="7"/>
      <c r="AC293" s="7"/>
    </row>
    <row r="294">
      <c r="Q294" s="15"/>
      <c r="S294" s="6"/>
      <c r="AA294" s="6"/>
      <c r="AB294" s="7"/>
      <c r="AC294" s="7"/>
    </row>
    <row r="295">
      <c r="Q295" s="15"/>
      <c r="S295" s="6"/>
      <c r="AA295" s="6"/>
      <c r="AB295" s="7"/>
      <c r="AC295" s="7"/>
    </row>
    <row r="296">
      <c r="Q296" s="15"/>
      <c r="S296" s="6"/>
      <c r="AA296" s="6"/>
      <c r="AB296" s="7"/>
      <c r="AC296" s="7"/>
    </row>
    <row r="297">
      <c r="Q297" s="15"/>
      <c r="S297" s="6"/>
      <c r="AA297" s="6"/>
      <c r="AB297" s="7"/>
      <c r="AC297" s="7"/>
    </row>
    <row r="298">
      <c r="Q298" s="15"/>
      <c r="S298" s="6"/>
      <c r="AA298" s="6"/>
      <c r="AB298" s="7"/>
      <c r="AC298" s="7"/>
    </row>
    <row r="299">
      <c r="Q299" s="15"/>
      <c r="S299" s="6"/>
      <c r="AA299" s="6"/>
      <c r="AB299" s="7"/>
      <c r="AC299" s="7"/>
    </row>
    <row r="300">
      <c r="Q300" s="15"/>
      <c r="S300" s="6"/>
      <c r="AA300" s="6"/>
      <c r="AB300" s="7"/>
      <c r="AC300" s="7"/>
    </row>
    <row r="301">
      <c r="Q301" s="15"/>
      <c r="S301" s="6"/>
      <c r="AA301" s="6"/>
      <c r="AB301" s="7"/>
      <c r="AC301" s="7"/>
    </row>
    <row r="302">
      <c r="Q302" s="15"/>
      <c r="S302" s="6"/>
      <c r="AA302" s="6"/>
      <c r="AB302" s="7"/>
      <c r="AC302" s="7"/>
    </row>
    <row r="303">
      <c r="Q303" s="15"/>
      <c r="S303" s="6"/>
      <c r="AA303" s="6"/>
      <c r="AB303" s="7"/>
      <c r="AC303" s="7"/>
    </row>
    <row r="304">
      <c r="Q304" s="15"/>
      <c r="S304" s="6"/>
      <c r="AA304" s="6"/>
      <c r="AB304" s="7"/>
      <c r="AC304" s="7"/>
    </row>
    <row r="305">
      <c r="Q305" s="15"/>
      <c r="S305" s="6"/>
      <c r="AA305" s="6"/>
      <c r="AB305" s="7"/>
      <c r="AC305" s="7"/>
    </row>
    <row r="306">
      <c r="Q306" s="15"/>
      <c r="S306" s="6"/>
      <c r="AA306" s="6"/>
      <c r="AB306" s="7"/>
      <c r="AC306" s="7"/>
    </row>
    <row r="307">
      <c r="Q307" s="15"/>
      <c r="S307" s="6"/>
      <c r="AA307" s="6"/>
      <c r="AB307" s="7"/>
      <c r="AC307" s="7"/>
    </row>
    <row r="308">
      <c r="Q308" s="15"/>
      <c r="S308" s="6"/>
      <c r="AA308" s="6"/>
      <c r="AB308" s="7"/>
      <c r="AC308" s="7"/>
    </row>
    <row r="309">
      <c r="Q309" s="15"/>
      <c r="S309" s="6"/>
      <c r="AA309" s="6"/>
      <c r="AB309" s="7"/>
      <c r="AC309" s="7"/>
    </row>
    <row r="310">
      <c r="Q310" s="15"/>
      <c r="S310" s="6"/>
      <c r="AA310" s="6"/>
      <c r="AB310" s="7"/>
      <c r="AC310" s="7"/>
    </row>
    <row r="311">
      <c r="Q311" s="15"/>
      <c r="S311" s="6"/>
      <c r="AA311" s="6"/>
      <c r="AB311" s="7"/>
      <c r="AC311" s="7"/>
    </row>
    <row r="312">
      <c r="Q312" s="15"/>
      <c r="S312" s="6"/>
      <c r="AA312" s="6"/>
      <c r="AB312" s="7"/>
      <c r="AC312" s="7"/>
    </row>
    <row r="313">
      <c r="Q313" s="15"/>
      <c r="S313" s="6"/>
      <c r="AA313" s="6"/>
      <c r="AB313" s="7"/>
      <c r="AC313" s="7"/>
    </row>
    <row r="314">
      <c r="Q314" s="15"/>
      <c r="S314" s="6"/>
      <c r="AA314" s="6"/>
      <c r="AB314" s="7"/>
      <c r="AC314" s="7"/>
    </row>
    <row r="315">
      <c r="Q315" s="15"/>
      <c r="S315" s="6"/>
      <c r="AA315" s="6"/>
      <c r="AB315" s="7"/>
      <c r="AC315" s="7"/>
    </row>
    <row r="316">
      <c r="Q316" s="15"/>
      <c r="S316" s="6"/>
      <c r="AA316" s="6"/>
      <c r="AB316" s="7"/>
      <c r="AC316" s="7"/>
    </row>
    <row r="317">
      <c r="Q317" s="15"/>
      <c r="S317" s="6"/>
      <c r="AA317" s="6"/>
      <c r="AB317" s="7"/>
      <c r="AC317" s="7"/>
    </row>
    <row r="318">
      <c r="Q318" s="15"/>
      <c r="S318" s="6"/>
      <c r="AA318" s="6"/>
      <c r="AB318" s="7"/>
      <c r="AC318" s="7"/>
    </row>
    <row r="319">
      <c r="Q319" s="15"/>
      <c r="S319" s="6"/>
      <c r="AA319" s="6"/>
      <c r="AB319" s="7"/>
      <c r="AC319" s="7"/>
    </row>
    <row r="320">
      <c r="Q320" s="15"/>
      <c r="S320" s="6"/>
      <c r="AA320" s="6"/>
      <c r="AB320" s="7"/>
      <c r="AC320" s="7"/>
    </row>
    <row r="321">
      <c r="Q321" s="15"/>
      <c r="S321" s="6"/>
      <c r="AA321" s="6"/>
      <c r="AB321" s="7"/>
      <c r="AC321" s="7"/>
    </row>
    <row r="322">
      <c r="Q322" s="15"/>
      <c r="S322" s="6"/>
      <c r="AA322" s="6"/>
      <c r="AB322" s="7"/>
      <c r="AC322" s="7"/>
    </row>
    <row r="323">
      <c r="Q323" s="15"/>
      <c r="S323" s="6"/>
      <c r="AA323" s="6"/>
      <c r="AB323" s="7"/>
      <c r="AC323" s="7"/>
    </row>
    <row r="324">
      <c r="Q324" s="15"/>
      <c r="S324" s="6"/>
      <c r="AA324" s="6"/>
      <c r="AB324" s="7"/>
      <c r="AC324" s="7"/>
    </row>
    <row r="325">
      <c r="Q325" s="15"/>
      <c r="S325" s="6"/>
      <c r="AA325" s="6"/>
      <c r="AB325" s="7"/>
      <c r="AC325" s="7"/>
    </row>
    <row r="326">
      <c r="Q326" s="15"/>
      <c r="S326" s="6"/>
      <c r="AA326" s="6"/>
      <c r="AB326" s="7"/>
      <c r="AC326" s="7"/>
    </row>
    <row r="327">
      <c r="Q327" s="15"/>
      <c r="S327" s="6"/>
      <c r="AA327" s="6"/>
      <c r="AB327" s="7"/>
      <c r="AC327" s="7"/>
    </row>
    <row r="328">
      <c r="Q328" s="15"/>
      <c r="S328" s="6"/>
      <c r="AA328" s="6"/>
      <c r="AB328" s="7"/>
      <c r="AC328" s="7"/>
    </row>
    <row r="329">
      <c r="Q329" s="15"/>
      <c r="S329" s="6"/>
      <c r="AA329" s="6"/>
      <c r="AB329" s="7"/>
      <c r="AC329" s="7"/>
    </row>
    <row r="330">
      <c r="Q330" s="15"/>
      <c r="S330" s="6"/>
      <c r="AA330" s="6"/>
      <c r="AB330" s="7"/>
      <c r="AC330" s="7"/>
    </row>
    <row r="331">
      <c r="Q331" s="15"/>
      <c r="S331" s="6"/>
      <c r="AA331" s="6"/>
      <c r="AB331" s="7"/>
      <c r="AC331" s="7"/>
    </row>
    <row r="332">
      <c r="Q332" s="15"/>
      <c r="S332" s="6"/>
      <c r="AA332" s="6"/>
      <c r="AB332" s="7"/>
      <c r="AC332" s="7"/>
    </row>
    <row r="333">
      <c r="Q333" s="15"/>
      <c r="S333" s="6"/>
      <c r="AA333" s="6"/>
      <c r="AB333" s="7"/>
      <c r="AC333" s="7"/>
    </row>
    <row r="334">
      <c r="Q334" s="15"/>
      <c r="S334" s="6"/>
      <c r="AA334" s="6"/>
      <c r="AB334" s="7"/>
      <c r="AC334" s="7"/>
    </row>
    <row r="335">
      <c r="Q335" s="15"/>
      <c r="S335" s="6"/>
      <c r="AA335" s="6"/>
      <c r="AB335" s="7"/>
      <c r="AC335" s="7"/>
    </row>
    <row r="336">
      <c r="Q336" s="15"/>
      <c r="S336" s="6"/>
      <c r="AA336" s="6"/>
      <c r="AB336" s="7"/>
      <c r="AC336" s="7"/>
    </row>
    <row r="337">
      <c r="Q337" s="15"/>
      <c r="S337" s="6"/>
      <c r="AA337" s="6"/>
      <c r="AB337" s="7"/>
      <c r="AC337" s="7"/>
    </row>
    <row r="338">
      <c r="Q338" s="15"/>
      <c r="S338" s="6"/>
      <c r="AA338" s="6"/>
      <c r="AB338" s="7"/>
      <c r="AC338" s="7"/>
    </row>
    <row r="339">
      <c r="Q339" s="15"/>
      <c r="S339" s="6"/>
      <c r="AA339" s="6"/>
      <c r="AB339" s="7"/>
      <c r="AC339" s="7"/>
    </row>
    <row r="340">
      <c r="Q340" s="15"/>
      <c r="S340" s="6"/>
      <c r="AA340" s="6"/>
      <c r="AB340" s="7"/>
      <c r="AC340" s="7"/>
    </row>
    <row r="341">
      <c r="Q341" s="15"/>
      <c r="S341" s="6"/>
      <c r="AA341" s="6"/>
      <c r="AB341" s="7"/>
      <c r="AC341" s="7"/>
    </row>
    <row r="342">
      <c r="Q342" s="15"/>
      <c r="S342" s="6"/>
      <c r="AA342" s="6"/>
      <c r="AB342" s="7"/>
      <c r="AC342" s="7"/>
    </row>
    <row r="343">
      <c r="Q343" s="15"/>
      <c r="S343" s="6"/>
      <c r="AA343" s="6"/>
      <c r="AB343" s="7"/>
      <c r="AC343" s="7"/>
    </row>
    <row r="344">
      <c r="Q344" s="15"/>
      <c r="S344" s="6"/>
      <c r="AA344" s="6"/>
      <c r="AB344" s="7"/>
      <c r="AC344" s="7"/>
    </row>
    <row r="345">
      <c r="Q345" s="15"/>
      <c r="S345" s="6"/>
      <c r="AA345" s="6"/>
      <c r="AB345" s="7"/>
      <c r="AC345" s="7"/>
    </row>
    <row r="346">
      <c r="Q346" s="15"/>
      <c r="S346" s="6"/>
      <c r="AA346" s="6"/>
      <c r="AB346" s="7"/>
      <c r="AC346" s="7"/>
    </row>
    <row r="347">
      <c r="Q347" s="15"/>
      <c r="S347" s="6"/>
      <c r="AA347" s="6"/>
      <c r="AB347" s="7"/>
      <c r="AC347" s="7"/>
    </row>
    <row r="348">
      <c r="Q348" s="15"/>
      <c r="S348" s="6"/>
      <c r="AA348" s="6"/>
      <c r="AB348" s="7"/>
      <c r="AC348" s="7"/>
    </row>
    <row r="349">
      <c r="Q349" s="15"/>
      <c r="S349" s="6"/>
      <c r="AA349" s="6"/>
      <c r="AB349" s="7"/>
      <c r="AC349" s="7"/>
    </row>
    <row r="350">
      <c r="Q350" s="15"/>
      <c r="S350" s="6"/>
      <c r="AA350" s="6"/>
      <c r="AB350" s="7"/>
      <c r="AC350" s="7"/>
    </row>
    <row r="351">
      <c r="Q351" s="15"/>
      <c r="S351" s="6"/>
      <c r="AA351" s="6"/>
      <c r="AB351" s="7"/>
      <c r="AC351" s="7"/>
    </row>
    <row r="352">
      <c r="Q352" s="15"/>
      <c r="S352" s="6"/>
      <c r="AA352" s="6"/>
      <c r="AB352" s="7"/>
      <c r="AC352" s="7"/>
    </row>
    <row r="353">
      <c r="Q353" s="15"/>
      <c r="S353" s="6"/>
      <c r="AA353" s="6"/>
      <c r="AB353" s="7"/>
      <c r="AC353" s="7"/>
    </row>
    <row r="354">
      <c r="Q354" s="15"/>
      <c r="S354" s="6"/>
      <c r="AA354" s="6"/>
      <c r="AB354" s="7"/>
      <c r="AC354" s="7"/>
    </row>
    <row r="355">
      <c r="Q355" s="15"/>
      <c r="S355" s="6"/>
      <c r="AA355" s="6"/>
      <c r="AB355" s="7"/>
      <c r="AC355" s="7"/>
    </row>
    <row r="356">
      <c r="Q356" s="15"/>
      <c r="S356" s="6"/>
      <c r="AA356" s="6"/>
      <c r="AB356" s="7"/>
      <c r="AC356" s="7"/>
    </row>
    <row r="357">
      <c r="Q357" s="15"/>
      <c r="S357" s="6"/>
      <c r="AA357" s="6"/>
      <c r="AB357" s="7"/>
      <c r="AC357" s="7"/>
    </row>
    <row r="358">
      <c r="Q358" s="15"/>
      <c r="S358" s="6"/>
      <c r="AA358" s="6"/>
      <c r="AB358" s="7"/>
      <c r="AC358" s="7"/>
    </row>
    <row r="359">
      <c r="Q359" s="15"/>
      <c r="S359" s="6"/>
      <c r="AA359" s="6"/>
      <c r="AB359" s="7"/>
      <c r="AC359" s="7"/>
    </row>
    <row r="360">
      <c r="Q360" s="15"/>
      <c r="S360" s="6"/>
      <c r="AA360" s="6"/>
      <c r="AB360" s="7"/>
      <c r="AC360" s="7"/>
    </row>
    <row r="361">
      <c r="Q361" s="15"/>
      <c r="S361" s="6"/>
      <c r="AA361" s="6"/>
      <c r="AB361" s="7"/>
      <c r="AC361" s="7"/>
    </row>
    <row r="362">
      <c r="Q362" s="15"/>
      <c r="S362" s="6"/>
      <c r="AA362" s="6"/>
      <c r="AB362" s="7"/>
      <c r="AC362" s="7"/>
    </row>
    <row r="363">
      <c r="Q363" s="15"/>
      <c r="S363" s="6"/>
      <c r="AA363" s="6"/>
      <c r="AB363" s="7"/>
      <c r="AC363" s="7"/>
    </row>
    <row r="364">
      <c r="Q364" s="15"/>
      <c r="S364" s="6"/>
      <c r="AA364" s="6"/>
      <c r="AB364" s="7"/>
      <c r="AC364" s="7"/>
    </row>
    <row r="365">
      <c r="Q365" s="15"/>
      <c r="S365" s="6"/>
      <c r="AA365" s="6"/>
      <c r="AB365" s="7"/>
      <c r="AC365" s="7"/>
    </row>
    <row r="366">
      <c r="Q366" s="15"/>
      <c r="S366" s="6"/>
      <c r="AA366" s="6"/>
      <c r="AB366" s="7"/>
      <c r="AC366" s="7"/>
    </row>
    <row r="367">
      <c r="Q367" s="15"/>
      <c r="S367" s="6"/>
      <c r="AA367" s="6"/>
      <c r="AB367" s="7"/>
      <c r="AC367" s="7"/>
    </row>
    <row r="368">
      <c r="Q368" s="15"/>
      <c r="S368" s="6"/>
      <c r="AA368" s="6"/>
      <c r="AB368" s="7"/>
      <c r="AC368" s="7"/>
    </row>
    <row r="369">
      <c r="Q369" s="15"/>
      <c r="S369" s="6"/>
      <c r="AA369" s="6"/>
      <c r="AB369" s="7"/>
      <c r="AC369" s="7"/>
    </row>
    <row r="370">
      <c r="Q370" s="15"/>
      <c r="S370" s="6"/>
      <c r="AA370" s="6"/>
      <c r="AB370" s="7"/>
      <c r="AC370" s="7"/>
    </row>
    <row r="371">
      <c r="Q371" s="15"/>
      <c r="S371" s="6"/>
      <c r="AA371" s="6"/>
      <c r="AB371" s="7"/>
      <c r="AC371" s="7"/>
    </row>
    <row r="372">
      <c r="Q372" s="15"/>
      <c r="S372" s="6"/>
      <c r="AA372" s="6"/>
      <c r="AB372" s="7"/>
      <c r="AC372" s="7"/>
    </row>
    <row r="373">
      <c r="Q373" s="15"/>
      <c r="S373" s="6"/>
      <c r="AA373" s="6"/>
      <c r="AB373" s="7"/>
      <c r="AC373" s="7"/>
    </row>
    <row r="374">
      <c r="Q374" s="15"/>
      <c r="S374" s="6"/>
      <c r="AA374" s="6"/>
      <c r="AB374" s="7"/>
      <c r="AC374" s="7"/>
    </row>
    <row r="375">
      <c r="Q375" s="15"/>
      <c r="S375" s="6"/>
      <c r="AA375" s="6"/>
      <c r="AB375" s="7"/>
      <c r="AC375" s="7"/>
    </row>
    <row r="376">
      <c r="Q376" s="15"/>
      <c r="S376" s="6"/>
      <c r="AA376" s="6"/>
      <c r="AB376" s="7"/>
      <c r="AC376" s="7"/>
    </row>
    <row r="377">
      <c r="Q377" s="15"/>
      <c r="S377" s="6"/>
      <c r="AA377" s="6"/>
      <c r="AB377" s="7"/>
      <c r="AC377" s="7"/>
    </row>
    <row r="378">
      <c r="Q378" s="15"/>
      <c r="S378" s="6"/>
      <c r="AA378" s="6"/>
      <c r="AB378" s="7"/>
      <c r="AC378" s="7"/>
    </row>
    <row r="379">
      <c r="Q379" s="15"/>
      <c r="S379" s="6"/>
      <c r="AA379" s="6"/>
      <c r="AB379" s="7"/>
      <c r="AC379" s="7"/>
    </row>
    <row r="380">
      <c r="Q380" s="15"/>
      <c r="S380" s="6"/>
      <c r="AA380" s="6"/>
      <c r="AB380" s="7"/>
      <c r="AC380" s="7"/>
    </row>
    <row r="381">
      <c r="Q381" s="15"/>
      <c r="S381" s="6"/>
      <c r="AA381" s="6"/>
      <c r="AB381" s="7"/>
      <c r="AC381" s="7"/>
    </row>
    <row r="382">
      <c r="Q382" s="15"/>
      <c r="S382" s="6"/>
      <c r="AA382" s="6"/>
      <c r="AB382" s="7"/>
      <c r="AC382" s="7"/>
    </row>
    <row r="383">
      <c r="Q383" s="15"/>
      <c r="S383" s="6"/>
      <c r="AA383" s="6"/>
      <c r="AB383" s="7"/>
      <c r="AC383" s="7"/>
    </row>
    <row r="384">
      <c r="Q384" s="15"/>
      <c r="S384" s="6"/>
      <c r="AA384" s="6"/>
      <c r="AB384" s="7"/>
      <c r="AC384" s="7"/>
    </row>
    <row r="385">
      <c r="Q385" s="15"/>
      <c r="S385" s="6"/>
      <c r="AA385" s="6"/>
      <c r="AB385" s="7"/>
      <c r="AC385" s="7"/>
    </row>
    <row r="386">
      <c r="Q386" s="15"/>
      <c r="S386" s="6"/>
      <c r="AA386" s="6"/>
      <c r="AB386" s="7"/>
      <c r="AC386" s="7"/>
    </row>
    <row r="387">
      <c r="Q387" s="15"/>
      <c r="S387" s="6"/>
      <c r="AA387" s="6"/>
      <c r="AB387" s="7"/>
      <c r="AC387" s="7"/>
    </row>
    <row r="388">
      <c r="Q388" s="15"/>
      <c r="S388" s="6"/>
      <c r="AA388" s="6"/>
      <c r="AB388" s="7"/>
      <c r="AC388" s="7"/>
    </row>
    <row r="389">
      <c r="Q389" s="15"/>
      <c r="S389" s="6"/>
      <c r="AA389" s="6"/>
      <c r="AB389" s="7"/>
      <c r="AC389" s="7"/>
    </row>
    <row r="390">
      <c r="Q390" s="15"/>
      <c r="S390" s="6"/>
      <c r="AA390" s="6"/>
      <c r="AB390" s="7"/>
      <c r="AC390" s="7"/>
    </row>
    <row r="391">
      <c r="Q391" s="15"/>
      <c r="S391" s="6"/>
      <c r="AA391" s="6"/>
      <c r="AB391" s="7"/>
      <c r="AC391" s="7"/>
    </row>
    <row r="392">
      <c r="Q392" s="15"/>
      <c r="S392" s="6"/>
      <c r="AA392" s="6"/>
      <c r="AB392" s="7"/>
      <c r="AC392" s="7"/>
    </row>
    <row r="393">
      <c r="Q393" s="15"/>
      <c r="S393" s="6"/>
      <c r="AA393" s="6"/>
      <c r="AB393" s="7"/>
      <c r="AC393" s="7"/>
    </row>
    <row r="394">
      <c r="Q394" s="15"/>
      <c r="S394" s="6"/>
      <c r="AA394" s="6"/>
      <c r="AB394" s="7"/>
      <c r="AC394" s="7"/>
    </row>
    <row r="395">
      <c r="Q395" s="15"/>
      <c r="S395" s="6"/>
      <c r="AA395" s="6"/>
      <c r="AB395" s="7"/>
      <c r="AC395" s="7"/>
    </row>
    <row r="396">
      <c r="Q396" s="15"/>
      <c r="S396" s="6"/>
      <c r="AA396" s="6"/>
      <c r="AB396" s="7"/>
      <c r="AC396" s="7"/>
    </row>
    <row r="397">
      <c r="Q397" s="15"/>
      <c r="S397" s="6"/>
      <c r="AA397" s="6"/>
      <c r="AB397" s="7"/>
      <c r="AC397" s="7"/>
    </row>
    <row r="398">
      <c r="Q398" s="15"/>
      <c r="S398" s="6"/>
      <c r="AA398" s="6"/>
      <c r="AB398" s="7"/>
      <c r="AC398" s="7"/>
    </row>
    <row r="399">
      <c r="Q399" s="15"/>
      <c r="S399" s="6"/>
      <c r="AA399" s="6"/>
      <c r="AB399" s="7"/>
      <c r="AC399" s="7"/>
    </row>
    <row r="400">
      <c r="Q400" s="15"/>
      <c r="S400" s="6"/>
      <c r="AA400" s="6"/>
      <c r="AB400" s="7"/>
      <c r="AC400" s="7"/>
    </row>
    <row r="401">
      <c r="Q401" s="15"/>
      <c r="S401" s="6"/>
      <c r="AA401" s="6"/>
      <c r="AB401" s="7"/>
      <c r="AC401" s="7"/>
    </row>
    <row r="402">
      <c r="Q402" s="15"/>
      <c r="S402" s="6"/>
      <c r="AA402" s="6"/>
      <c r="AB402" s="7"/>
      <c r="AC402" s="7"/>
    </row>
    <row r="403">
      <c r="Q403" s="15"/>
      <c r="S403" s="6"/>
      <c r="AA403" s="6"/>
      <c r="AB403" s="7"/>
      <c r="AC403" s="7"/>
    </row>
    <row r="404">
      <c r="Q404" s="15"/>
      <c r="S404" s="6"/>
      <c r="AA404" s="6"/>
      <c r="AB404" s="7"/>
      <c r="AC404" s="7"/>
    </row>
    <row r="405">
      <c r="Q405" s="15"/>
      <c r="S405" s="6"/>
      <c r="AA405" s="6"/>
      <c r="AB405" s="7"/>
      <c r="AC405" s="7"/>
    </row>
    <row r="406">
      <c r="Q406" s="15"/>
      <c r="S406" s="6"/>
      <c r="AA406" s="6"/>
      <c r="AB406" s="7"/>
      <c r="AC406" s="7"/>
    </row>
    <row r="407">
      <c r="Q407" s="15"/>
      <c r="S407" s="6"/>
      <c r="AA407" s="6"/>
      <c r="AB407" s="7"/>
      <c r="AC407" s="7"/>
    </row>
    <row r="408">
      <c r="Q408" s="15"/>
      <c r="S408" s="6"/>
      <c r="AA408" s="6"/>
      <c r="AB408" s="7"/>
      <c r="AC408" s="7"/>
    </row>
    <row r="409">
      <c r="Q409" s="15"/>
      <c r="S409" s="6"/>
      <c r="AA409" s="6"/>
      <c r="AB409" s="7"/>
      <c r="AC409" s="7"/>
    </row>
    <row r="410">
      <c r="Q410" s="15"/>
      <c r="S410" s="6"/>
      <c r="AA410" s="6"/>
      <c r="AB410" s="7"/>
      <c r="AC410" s="7"/>
    </row>
    <row r="411">
      <c r="Q411" s="15"/>
      <c r="S411" s="6"/>
      <c r="AA411" s="6"/>
      <c r="AB411" s="7"/>
      <c r="AC411" s="7"/>
    </row>
    <row r="412">
      <c r="Q412" s="15"/>
      <c r="S412" s="6"/>
      <c r="AA412" s="6"/>
      <c r="AB412" s="7"/>
      <c r="AC412" s="7"/>
    </row>
    <row r="413">
      <c r="Q413" s="15"/>
      <c r="S413" s="6"/>
      <c r="AA413" s="6"/>
      <c r="AB413" s="7"/>
      <c r="AC413" s="7"/>
    </row>
    <row r="414">
      <c r="Q414" s="15"/>
      <c r="S414" s="6"/>
      <c r="AA414" s="6"/>
      <c r="AB414" s="7"/>
      <c r="AC414" s="7"/>
    </row>
    <row r="415">
      <c r="Q415" s="15"/>
      <c r="S415" s="6"/>
      <c r="AA415" s="6"/>
      <c r="AB415" s="7"/>
      <c r="AC415" s="7"/>
    </row>
    <row r="416">
      <c r="Q416" s="15"/>
      <c r="S416" s="6"/>
      <c r="AA416" s="6"/>
      <c r="AB416" s="7"/>
      <c r="AC416" s="7"/>
    </row>
    <row r="417">
      <c r="Q417" s="15"/>
      <c r="S417" s="6"/>
      <c r="AA417" s="6"/>
      <c r="AB417" s="7"/>
      <c r="AC417" s="7"/>
    </row>
    <row r="418">
      <c r="Q418" s="15"/>
      <c r="S418" s="6"/>
      <c r="AA418" s="6"/>
      <c r="AB418" s="7"/>
      <c r="AC418" s="7"/>
    </row>
    <row r="419">
      <c r="Q419" s="15"/>
      <c r="S419" s="6"/>
      <c r="AA419" s="6"/>
      <c r="AB419" s="7"/>
      <c r="AC419" s="7"/>
    </row>
    <row r="420">
      <c r="Q420" s="15"/>
      <c r="S420" s="6"/>
      <c r="AA420" s="6"/>
      <c r="AB420" s="7"/>
      <c r="AC420" s="7"/>
    </row>
    <row r="421">
      <c r="Q421" s="15"/>
      <c r="S421" s="6"/>
      <c r="AA421" s="6"/>
      <c r="AB421" s="7"/>
      <c r="AC421" s="7"/>
    </row>
    <row r="422">
      <c r="Q422" s="15"/>
      <c r="S422" s="6"/>
      <c r="AA422" s="6"/>
      <c r="AB422" s="7"/>
      <c r="AC422" s="7"/>
    </row>
    <row r="423">
      <c r="Q423" s="15"/>
      <c r="S423" s="6"/>
      <c r="AA423" s="6"/>
      <c r="AB423" s="7"/>
      <c r="AC423" s="7"/>
    </row>
    <row r="424">
      <c r="Q424" s="15"/>
      <c r="S424" s="6"/>
      <c r="AA424" s="6"/>
      <c r="AB424" s="7"/>
      <c r="AC424" s="7"/>
    </row>
    <row r="425">
      <c r="Q425" s="15"/>
      <c r="S425" s="6"/>
      <c r="AA425" s="6"/>
      <c r="AB425" s="7"/>
      <c r="AC425" s="7"/>
    </row>
    <row r="426">
      <c r="Q426" s="15"/>
      <c r="S426" s="6"/>
      <c r="AA426" s="6"/>
      <c r="AB426" s="7"/>
      <c r="AC426" s="7"/>
    </row>
    <row r="427">
      <c r="Q427" s="15"/>
      <c r="S427" s="6"/>
      <c r="AA427" s="6"/>
      <c r="AB427" s="7"/>
      <c r="AC427" s="7"/>
    </row>
    <row r="428">
      <c r="Q428" s="15"/>
      <c r="S428" s="6"/>
      <c r="AA428" s="6"/>
      <c r="AB428" s="7"/>
      <c r="AC428" s="7"/>
    </row>
    <row r="429">
      <c r="Q429" s="15"/>
      <c r="S429" s="6"/>
      <c r="AA429" s="6"/>
      <c r="AB429" s="7"/>
      <c r="AC429" s="7"/>
    </row>
    <row r="430">
      <c r="Q430" s="15"/>
      <c r="S430" s="6"/>
      <c r="AA430" s="6"/>
      <c r="AB430" s="7"/>
      <c r="AC430" s="7"/>
    </row>
    <row r="431">
      <c r="Q431" s="15"/>
      <c r="S431" s="6"/>
      <c r="AA431" s="6"/>
      <c r="AB431" s="7"/>
      <c r="AC431" s="7"/>
    </row>
    <row r="432">
      <c r="Q432" s="15"/>
      <c r="S432" s="6"/>
      <c r="AA432" s="6"/>
      <c r="AB432" s="7"/>
      <c r="AC432" s="7"/>
    </row>
    <row r="433">
      <c r="Q433" s="15"/>
      <c r="S433" s="6"/>
      <c r="AA433" s="6"/>
      <c r="AB433" s="7"/>
      <c r="AC433" s="7"/>
    </row>
    <row r="434">
      <c r="Q434" s="15"/>
      <c r="S434" s="6"/>
      <c r="AA434" s="6"/>
      <c r="AB434" s="7"/>
      <c r="AC434" s="7"/>
    </row>
    <row r="435">
      <c r="Q435" s="15"/>
      <c r="S435" s="6"/>
      <c r="AA435" s="6"/>
      <c r="AB435" s="7"/>
      <c r="AC435" s="7"/>
    </row>
    <row r="436">
      <c r="Q436" s="15"/>
      <c r="S436" s="6"/>
      <c r="AA436" s="6"/>
      <c r="AB436" s="7"/>
      <c r="AC436" s="7"/>
    </row>
    <row r="437">
      <c r="Q437" s="15"/>
      <c r="S437" s="6"/>
      <c r="AA437" s="6"/>
      <c r="AB437" s="7"/>
      <c r="AC437" s="7"/>
    </row>
    <row r="438">
      <c r="Q438" s="15"/>
      <c r="S438" s="6"/>
      <c r="AA438" s="6"/>
      <c r="AB438" s="7"/>
      <c r="AC438" s="7"/>
    </row>
    <row r="439">
      <c r="Q439" s="15"/>
      <c r="S439" s="6"/>
      <c r="AA439" s="6"/>
      <c r="AB439" s="7"/>
      <c r="AC439" s="7"/>
    </row>
    <row r="440">
      <c r="Q440" s="15"/>
      <c r="S440" s="6"/>
      <c r="AA440" s="6"/>
      <c r="AB440" s="7"/>
      <c r="AC440" s="7"/>
    </row>
    <row r="441">
      <c r="Q441" s="15"/>
      <c r="S441" s="6"/>
      <c r="AA441" s="6"/>
      <c r="AB441" s="7"/>
      <c r="AC441" s="7"/>
    </row>
    <row r="442">
      <c r="Q442" s="15"/>
      <c r="S442" s="6"/>
      <c r="AA442" s="6"/>
      <c r="AB442" s="7"/>
      <c r="AC442" s="7"/>
    </row>
    <row r="443">
      <c r="Q443" s="15"/>
      <c r="S443" s="6"/>
      <c r="AA443" s="6"/>
      <c r="AB443" s="7"/>
      <c r="AC443" s="7"/>
    </row>
    <row r="444">
      <c r="Q444" s="15"/>
      <c r="S444" s="6"/>
      <c r="AA444" s="6"/>
      <c r="AB444" s="7"/>
      <c r="AC444" s="7"/>
    </row>
    <row r="445">
      <c r="Q445" s="15"/>
      <c r="S445" s="6"/>
      <c r="AA445" s="6"/>
      <c r="AB445" s="7"/>
      <c r="AC445" s="7"/>
    </row>
    <row r="446">
      <c r="Q446" s="15"/>
      <c r="S446" s="6"/>
      <c r="AA446" s="6"/>
      <c r="AB446" s="7"/>
      <c r="AC446" s="7"/>
    </row>
    <row r="447">
      <c r="Q447" s="15"/>
      <c r="S447" s="6"/>
      <c r="AA447" s="6"/>
      <c r="AB447" s="7"/>
      <c r="AC447" s="7"/>
    </row>
    <row r="448">
      <c r="Q448" s="15"/>
      <c r="S448" s="6"/>
      <c r="AA448" s="6"/>
      <c r="AB448" s="7"/>
      <c r="AC448" s="7"/>
    </row>
    <row r="449">
      <c r="Q449" s="15"/>
      <c r="S449" s="6"/>
      <c r="AA449" s="6"/>
      <c r="AB449" s="7"/>
      <c r="AC449" s="7"/>
    </row>
    <row r="450">
      <c r="Q450" s="15"/>
      <c r="S450" s="6"/>
      <c r="AA450" s="6"/>
      <c r="AB450" s="7"/>
      <c r="AC450" s="7"/>
    </row>
    <row r="451">
      <c r="Q451" s="15"/>
      <c r="S451" s="6"/>
      <c r="AA451" s="6"/>
      <c r="AB451" s="7"/>
      <c r="AC451" s="7"/>
    </row>
    <row r="452">
      <c r="Q452" s="15"/>
      <c r="S452" s="6"/>
      <c r="AA452" s="6"/>
      <c r="AB452" s="7"/>
      <c r="AC452" s="7"/>
    </row>
    <row r="453">
      <c r="Q453" s="15"/>
      <c r="S453" s="6"/>
      <c r="AA453" s="6"/>
      <c r="AB453" s="7"/>
      <c r="AC453" s="7"/>
    </row>
    <row r="454">
      <c r="Q454" s="15"/>
      <c r="S454" s="6"/>
      <c r="AA454" s="6"/>
      <c r="AB454" s="7"/>
      <c r="AC454" s="7"/>
    </row>
    <row r="455">
      <c r="Q455" s="15"/>
      <c r="S455" s="6"/>
      <c r="AA455" s="6"/>
      <c r="AB455" s="7"/>
      <c r="AC455" s="7"/>
    </row>
    <row r="456">
      <c r="Q456" s="15"/>
      <c r="S456" s="6"/>
      <c r="AA456" s="6"/>
      <c r="AB456" s="7"/>
      <c r="AC456" s="7"/>
    </row>
    <row r="457">
      <c r="Q457" s="15"/>
      <c r="S457" s="6"/>
      <c r="AA457" s="6"/>
      <c r="AB457" s="7"/>
      <c r="AC457" s="7"/>
    </row>
    <row r="458">
      <c r="Q458" s="15"/>
      <c r="S458" s="6"/>
      <c r="AA458" s="6"/>
      <c r="AB458" s="7"/>
      <c r="AC458" s="7"/>
    </row>
    <row r="459">
      <c r="Q459" s="15"/>
      <c r="S459" s="6"/>
      <c r="AA459" s="6"/>
      <c r="AB459" s="7"/>
      <c r="AC459" s="7"/>
    </row>
    <row r="460">
      <c r="Q460" s="15"/>
      <c r="S460" s="6"/>
      <c r="AA460" s="6"/>
      <c r="AB460" s="7"/>
      <c r="AC460" s="7"/>
    </row>
    <row r="461">
      <c r="Q461" s="15"/>
      <c r="S461" s="6"/>
      <c r="AA461" s="6"/>
      <c r="AB461" s="7"/>
      <c r="AC461" s="7"/>
    </row>
    <row r="462">
      <c r="Q462" s="15"/>
      <c r="S462" s="6"/>
      <c r="AA462" s="6"/>
      <c r="AB462" s="7"/>
      <c r="AC462" s="7"/>
    </row>
    <row r="463">
      <c r="Q463" s="15"/>
      <c r="S463" s="6"/>
      <c r="AA463" s="6"/>
      <c r="AB463" s="7"/>
      <c r="AC463" s="7"/>
    </row>
    <row r="464">
      <c r="Q464" s="15"/>
      <c r="S464" s="6"/>
      <c r="AA464" s="6"/>
      <c r="AB464" s="7"/>
      <c r="AC464" s="7"/>
    </row>
    <row r="465">
      <c r="Q465" s="15"/>
      <c r="S465" s="6"/>
      <c r="AA465" s="6"/>
      <c r="AB465" s="7"/>
      <c r="AC465" s="7"/>
    </row>
    <row r="466">
      <c r="Q466" s="15"/>
      <c r="S466" s="6"/>
      <c r="AA466" s="6"/>
      <c r="AB466" s="7"/>
      <c r="AC466" s="7"/>
    </row>
    <row r="467">
      <c r="Q467" s="15"/>
      <c r="S467" s="6"/>
      <c r="AA467" s="6"/>
      <c r="AB467" s="7"/>
      <c r="AC467" s="7"/>
    </row>
    <row r="468">
      <c r="Q468" s="15"/>
      <c r="S468" s="6"/>
      <c r="AA468" s="6"/>
      <c r="AB468" s="7"/>
      <c r="AC468" s="7"/>
    </row>
    <row r="469">
      <c r="Q469" s="15"/>
      <c r="S469" s="6"/>
      <c r="AA469" s="6"/>
      <c r="AB469" s="7"/>
      <c r="AC469" s="7"/>
    </row>
    <row r="470">
      <c r="Q470" s="15"/>
      <c r="S470" s="6"/>
      <c r="AA470" s="6"/>
      <c r="AB470" s="7"/>
      <c r="AC470" s="7"/>
    </row>
    <row r="471">
      <c r="Q471" s="15"/>
      <c r="S471" s="6"/>
      <c r="AA471" s="6"/>
      <c r="AB471" s="7"/>
      <c r="AC471" s="7"/>
    </row>
    <row r="472">
      <c r="Q472" s="15"/>
      <c r="S472" s="6"/>
      <c r="AA472" s="6"/>
      <c r="AB472" s="7"/>
      <c r="AC472" s="7"/>
    </row>
    <row r="473">
      <c r="Q473" s="15"/>
      <c r="S473" s="6"/>
      <c r="AA473" s="6"/>
      <c r="AB473" s="7"/>
      <c r="AC473" s="7"/>
    </row>
    <row r="474">
      <c r="Q474" s="15"/>
      <c r="S474" s="6"/>
      <c r="AA474" s="6"/>
      <c r="AB474" s="7"/>
      <c r="AC474" s="7"/>
    </row>
    <row r="475">
      <c r="Q475" s="15"/>
      <c r="S475" s="6"/>
      <c r="AA475" s="6"/>
      <c r="AB475" s="7"/>
      <c r="AC475" s="7"/>
    </row>
    <row r="476">
      <c r="Q476" s="15"/>
      <c r="S476" s="6"/>
      <c r="AA476" s="6"/>
      <c r="AB476" s="7"/>
      <c r="AC476" s="7"/>
    </row>
    <row r="477">
      <c r="Q477" s="15"/>
      <c r="S477" s="6"/>
      <c r="AA477" s="6"/>
      <c r="AB477" s="7"/>
      <c r="AC477" s="7"/>
    </row>
    <row r="478">
      <c r="Q478" s="15"/>
      <c r="S478" s="6"/>
      <c r="AA478" s="6"/>
      <c r="AB478" s="7"/>
      <c r="AC478" s="7"/>
    </row>
    <row r="479">
      <c r="Q479" s="15"/>
      <c r="S479" s="6"/>
      <c r="AA479" s="6"/>
      <c r="AB479" s="7"/>
      <c r="AC479" s="7"/>
    </row>
    <row r="480">
      <c r="Q480" s="15"/>
      <c r="S480" s="6"/>
      <c r="AA480" s="6"/>
      <c r="AB480" s="7"/>
      <c r="AC480" s="7"/>
    </row>
    <row r="481">
      <c r="Q481" s="15"/>
      <c r="S481" s="6"/>
      <c r="AA481" s="6"/>
      <c r="AB481" s="7"/>
      <c r="AC481" s="7"/>
    </row>
    <row r="482">
      <c r="Q482" s="15"/>
      <c r="S482" s="6"/>
      <c r="AA482" s="6"/>
      <c r="AB482" s="7"/>
      <c r="AC482" s="7"/>
    </row>
    <row r="483">
      <c r="Q483" s="15"/>
      <c r="S483" s="6"/>
      <c r="AA483" s="6"/>
      <c r="AB483" s="7"/>
      <c r="AC483" s="7"/>
    </row>
    <row r="484">
      <c r="Q484" s="15"/>
      <c r="S484" s="6"/>
      <c r="AA484" s="6"/>
      <c r="AB484" s="7"/>
      <c r="AC484" s="7"/>
    </row>
    <row r="485">
      <c r="Q485" s="15"/>
      <c r="S485" s="6"/>
      <c r="AA485" s="6"/>
      <c r="AB485" s="7"/>
      <c r="AC485" s="7"/>
    </row>
    <row r="486">
      <c r="Q486" s="15"/>
      <c r="S486" s="6"/>
      <c r="AA486" s="6"/>
      <c r="AB486" s="7"/>
      <c r="AC486" s="7"/>
    </row>
    <row r="487">
      <c r="Q487" s="15"/>
      <c r="S487" s="6"/>
      <c r="AA487" s="6"/>
      <c r="AB487" s="7"/>
      <c r="AC487" s="7"/>
    </row>
    <row r="488">
      <c r="Q488" s="15"/>
      <c r="S488" s="6"/>
      <c r="AA488" s="6"/>
      <c r="AB488" s="7"/>
      <c r="AC488" s="7"/>
    </row>
    <row r="489">
      <c r="Q489" s="15"/>
      <c r="S489" s="6"/>
      <c r="AA489" s="6"/>
      <c r="AB489" s="7"/>
      <c r="AC489" s="7"/>
    </row>
    <row r="490">
      <c r="Q490" s="15"/>
      <c r="S490" s="6"/>
      <c r="AA490" s="6"/>
      <c r="AB490" s="7"/>
      <c r="AC490" s="7"/>
    </row>
    <row r="491">
      <c r="Q491" s="15"/>
      <c r="S491" s="6"/>
      <c r="AA491" s="6"/>
      <c r="AB491" s="7"/>
      <c r="AC491" s="7"/>
    </row>
    <row r="492">
      <c r="Q492" s="15"/>
      <c r="S492" s="6"/>
      <c r="AA492" s="6"/>
      <c r="AB492" s="7"/>
      <c r="AC492" s="7"/>
    </row>
    <row r="493">
      <c r="Q493" s="15"/>
      <c r="S493" s="6"/>
      <c r="AA493" s="6"/>
      <c r="AB493" s="7"/>
      <c r="AC493" s="7"/>
    </row>
    <row r="494">
      <c r="Q494" s="15"/>
      <c r="S494" s="6"/>
      <c r="AA494" s="6"/>
      <c r="AB494" s="7"/>
      <c r="AC494" s="7"/>
    </row>
    <row r="495">
      <c r="Q495" s="15"/>
      <c r="S495" s="6"/>
      <c r="AA495" s="6"/>
      <c r="AB495" s="7"/>
      <c r="AC495" s="7"/>
    </row>
    <row r="496">
      <c r="Q496" s="15"/>
      <c r="S496" s="6"/>
      <c r="AA496" s="6"/>
      <c r="AB496" s="7"/>
      <c r="AC496" s="7"/>
    </row>
    <row r="497">
      <c r="Q497" s="15"/>
      <c r="S497" s="6"/>
      <c r="AA497" s="6"/>
      <c r="AB497" s="7"/>
      <c r="AC497" s="7"/>
    </row>
    <row r="498">
      <c r="Q498" s="15"/>
      <c r="S498" s="6"/>
      <c r="AA498" s="6"/>
      <c r="AB498" s="7"/>
      <c r="AC498" s="7"/>
    </row>
    <row r="499">
      <c r="Q499" s="15"/>
      <c r="S499" s="6"/>
      <c r="AA499" s="6"/>
      <c r="AB499" s="7"/>
      <c r="AC499" s="7"/>
    </row>
    <row r="500">
      <c r="Q500" s="15"/>
      <c r="S500" s="6"/>
      <c r="AA500" s="6"/>
      <c r="AB500" s="7"/>
      <c r="AC500" s="7"/>
    </row>
    <row r="501">
      <c r="Q501" s="15"/>
      <c r="S501" s="6"/>
      <c r="AA501" s="6"/>
      <c r="AB501" s="7"/>
      <c r="AC501" s="7"/>
    </row>
    <row r="502">
      <c r="Q502" s="15"/>
      <c r="S502" s="6"/>
      <c r="AA502" s="6"/>
      <c r="AB502" s="7"/>
      <c r="AC502" s="7"/>
    </row>
    <row r="503">
      <c r="Q503" s="15"/>
      <c r="S503" s="6"/>
      <c r="AA503" s="6"/>
      <c r="AB503" s="7"/>
      <c r="AC503" s="7"/>
    </row>
    <row r="504">
      <c r="Q504" s="15"/>
      <c r="S504" s="6"/>
      <c r="AA504" s="6"/>
      <c r="AB504" s="7"/>
      <c r="AC504" s="7"/>
    </row>
    <row r="505">
      <c r="Q505" s="15"/>
      <c r="S505" s="6"/>
      <c r="AA505" s="6"/>
      <c r="AB505" s="7"/>
      <c r="AC505" s="7"/>
    </row>
    <row r="506">
      <c r="Q506" s="15"/>
      <c r="S506" s="6"/>
      <c r="AA506" s="6"/>
      <c r="AB506" s="7"/>
      <c r="AC506" s="7"/>
    </row>
    <row r="507">
      <c r="Q507" s="15"/>
      <c r="S507" s="6"/>
      <c r="AA507" s="6"/>
      <c r="AB507" s="7"/>
      <c r="AC507" s="7"/>
    </row>
    <row r="508">
      <c r="Q508" s="15"/>
      <c r="S508" s="6"/>
      <c r="AA508" s="6"/>
      <c r="AB508" s="7"/>
      <c r="AC508" s="7"/>
    </row>
    <row r="509">
      <c r="Q509" s="15"/>
      <c r="S509" s="6"/>
      <c r="AA509" s="6"/>
      <c r="AB509" s="7"/>
      <c r="AC509" s="7"/>
    </row>
    <row r="510">
      <c r="Q510" s="15"/>
      <c r="S510" s="6"/>
      <c r="AA510" s="6"/>
      <c r="AB510" s="7"/>
      <c r="AC510" s="7"/>
    </row>
    <row r="511">
      <c r="Q511" s="15"/>
      <c r="S511" s="6"/>
      <c r="AA511" s="6"/>
      <c r="AB511" s="7"/>
      <c r="AC511" s="7"/>
    </row>
    <row r="512">
      <c r="Q512" s="15"/>
      <c r="S512" s="6"/>
      <c r="AA512" s="6"/>
      <c r="AB512" s="7"/>
      <c r="AC512" s="7"/>
    </row>
    <row r="513">
      <c r="Q513" s="15"/>
      <c r="S513" s="6"/>
      <c r="AA513" s="6"/>
      <c r="AB513" s="7"/>
      <c r="AC513" s="7"/>
    </row>
    <row r="514">
      <c r="Q514" s="15"/>
      <c r="S514" s="6"/>
      <c r="AA514" s="6"/>
      <c r="AB514" s="7"/>
      <c r="AC514" s="7"/>
    </row>
    <row r="515">
      <c r="Q515" s="15"/>
      <c r="S515" s="6"/>
      <c r="AA515" s="6"/>
      <c r="AB515" s="7"/>
      <c r="AC515" s="7"/>
    </row>
    <row r="516">
      <c r="Q516" s="15"/>
      <c r="S516" s="6"/>
      <c r="AA516" s="6"/>
      <c r="AB516" s="7"/>
      <c r="AC516" s="7"/>
    </row>
    <row r="517">
      <c r="Q517" s="15"/>
      <c r="S517" s="6"/>
      <c r="AA517" s="6"/>
      <c r="AB517" s="7"/>
      <c r="AC517" s="7"/>
    </row>
    <row r="518">
      <c r="Q518" s="15"/>
      <c r="S518" s="6"/>
      <c r="AA518" s="6"/>
      <c r="AB518" s="7"/>
      <c r="AC518" s="7"/>
    </row>
    <row r="519">
      <c r="Q519" s="15"/>
      <c r="S519" s="6"/>
      <c r="AA519" s="6"/>
      <c r="AB519" s="7"/>
      <c r="AC519" s="7"/>
    </row>
    <row r="520">
      <c r="Q520" s="15"/>
      <c r="S520" s="6"/>
      <c r="AA520" s="6"/>
      <c r="AB520" s="7"/>
      <c r="AC520" s="7"/>
    </row>
    <row r="521">
      <c r="Q521" s="15"/>
      <c r="S521" s="6"/>
      <c r="AA521" s="6"/>
      <c r="AB521" s="7"/>
      <c r="AC521" s="7"/>
    </row>
    <row r="522">
      <c r="Q522" s="15"/>
      <c r="S522" s="6"/>
      <c r="AA522" s="6"/>
      <c r="AB522" s="7"/>
      <c r="AC522" s="7"/>
    </row>
    <row r="523">
      <c r="Q523" s="15"/>
      <c r="S523" s="6"/>
      <c r="AA523" s="6"/>
      <c r="AB523" s="7"/>
      <c r="AC523" s="7"/>
    </row>
    <row r="524">
      <c r="Q524" s="15"/>
      <c r="S524" s="6"/>
      <c r="AA524" s="6"/>
      <c r="AB524" s="7"/>
      <c r="AC524" s="7"/>
    </row>
    <row r="525">
      <c r="Q525" s="15"/>
      <c r="S525" s="6"/>
      <c r="AA525" s="6"/>
      <c r="AB525" s="7"/>
      <c r="AC525" s="7"/>
    </row>
    <row r="526">
      <c r="Q526" s="15"/>
      <c r="S526" s="6"/>
      <c r="AA526" s="6"/>
      <c r="AB526" s="7"/>
      <c r="AC526" s="7"/>
    </row>
    <row r="527">
      <c r="Q527" s="15"/>
      <c r="S527" s="6"/>
      <c r="AA527" s="6"/>
      <c r="AB527" s="7"/>
      <c r="AC527" s="7"/>
    </row>
    <row r="528">
      <c r="Q528" s="15"/>
      <c r="S528" s="6"/>
      <c r="AA528" s="6"/>
      <c r="AB528" s="7"/>
      <c r="AC528" s="7"/>
    </row>
    <row r="529">
      <c r="Q529" s="15"/>
      <c r="S529" s="6"/>
      <c r="AA529" s="6"/>
      <c r="AB529" s="7"/>
      <c r="AC529" s="7"/>
    </row>
    <row r="530">
      <c r="Q530" s="15"/>
      <c r="S530" s="6"/>
      <c r="AA530" s="6"/>
      <c r="AB530" s="7"/>
      <c r="AC530" s="7"/>
    </row>
    <row r="531">
      <c r="Q531" s="15"/>
      <c r="S531" s="6"/>
      <c r="AA531" s="6"/>
      <c r="AB531" s="7"/>
      <c r="AC531" s="7"/>
    </row>
    <row r="532">
      <c r="Q532" s="15"/>
      <c r="S532" s="6"/>
      <c r="AA532" s="6"/>
      <c r="AB532" s="7"/>
      <c r="AC532" s="7"/>
    </row>
    <row r="533">
      <c r="Q533" s="15"/>
      <c r="S533" s="6"/>
      <c r="AA533" s="6"/>
      <c r="AB533" s="7"/>
      <c r="AC533" s="7"/>
    </row>
    <row r="534">
      <c r="Q534" s="15"/>
      <c r="S534" s="6"/>
      <c r="AA534" s="6"/>
      <c r="AB534" s="7"/>
      <c r="AC534" s="7"/>
    </row>
    <row r="535">
      <c r="Q535" s="15"/>
      <c r="S535" s="6"/>
      <c r="AA535" s="6"/>
      <c r="AB535" s="7"/>
      <c r="AC535" s="7"/>
    </row>
    <row r="536">
      <c r="Q536" s="15"/>
      <c r="S536" s="6"/>
      <c r="AA536" s="6"/>
      <c r="AB536" s="7"/>
      <c r="AC536" s="7"/>
    </row>
    <row r="537">
      <c r="Q537" s="15"/>
      <c r="S537" s="6"/>
      <c r="AA537" s="6"/>
      <c r="AB537" s="7"/>
      <c r="AC537" s="7"/>
    </row>
    <row r="538">
      <c r="Q538" s="15"/>
      <c r="S538" s="6"/>
      <c r="AA538" s="6"/>
      <c r="AB538" s="7"/>
      <c r="AC538" s="7"/>
    </row>
    <row r="539">
      <c r="Q539" s="15"/>
      <c r="S539" s="6"/>
      <c r="AA539" s="6"/>
      <c r="AB539" s="7"/>
      <c r="AC539" s="7"/>
    </row>
    <row r="540">
      <c r="Q540" s="15"/>
      <c r="S540" s="6"/>
      <c r="AA540" s="6"/>
      <c r="AB540" s="7"/>
      <c r="AC540" s="7"/>
    </row>
    <row r="541">
      <c r="Q541" s="15"/>
      <c r="S541" s="6"/>
      <c r="AA541" s="6"/>
      <c r="AB541" s="7"/>
      <c r="AC541" s="7"/>
    </row>
    <row r="542">
      <c r="Q542" s="15"/>
      <c r="S542" s="6"/>
      <c r="AA542" s="6"/>
      <c r="AB542" s="7"/>
      <c r="AC542" s="7"/>
    </row>
    <row r="543">
      <c r="Q543" s="15"/>
      <c r="S543" s="6"/>
      <c r="AA543" s="6"/>
      <c r="AB543" s="7"/>
      <c r="AC543" s="7"/>
    </row>
    <row r="544">
      <c r="Q544" s="15"/>
      <c r="S544" s="6"/>
      <c r="AA544" s="6"/>
      <c r="AB544" s="7"/>
      <c r="AC544" s="7"/>
    </row>
    <row r="545">
      <c r="Q545" s="15"/>
      <c r="S545" s="6"/>
      <c r="AA545" s="6"/>
      <c r="AB545" s="7"/>
      <c r="AC545" s="7"/>
    </row>
    <row r="546">
      <c r="Q546" s="15"/>
      <c r="S546" s="6"/>
      <c r="AA546" s="6"/>
      <c r="AB546" s="7"/>
      <c r="AC546" s="7"/>
    </row>
    <row r="547">
      <c r="Q547" s="15"/>
      <c r="S547" s="6"/>
      <c r="AA547" s="6"/>
      <c r="AB547" s="7"/>
      <c r="AC547" s="7"/>
    </row>
    <row r="548">
      <c r="Q548" s="15"/>
      <c r="S548" s="6"/>
      <c r="AA548" s="6"/>
      <c r="AB548" s="7"/>
      <c r="AC548" s="7"/>
    </row>
    <row r="549">
      <c r="Q549" s="15"/>
      <c r="S549" s="6"/>
      <c r="AA549" s="6"/>
      <c r="AB549" s="7"/>
      <c r="AC549" s="7"/>
    </row>
    <row r="550">
      <c r="Q550" s="15"/>
      <c r="S550" s="6"/>
      <c r="AA550" s="6"/>
      <c r="AB550" s="7"/>
      <c r="AC550" s="7"/>
    </row>
    <row r="551">
      <c r="Q551" s="15"/>
      <c r="S551" s="6"/>
      <c r="AA551" s="6"/>
      <c r="AB551" s="7"/>
      <c r="AC551" s="7"/>
    </row>
    <row r="552">
      <c r="Q552" s="15"/>
      <c r="S552" s="6"/>
      <c r="AA552" s="6"/>
      <c r="AB552" s="7"/>
      <c r="AC552" s="7"/>
    </row>
    <row r="553">
      <c r="Q553" s="15"/>
      <c r="S553" s="6"/>
      <c r="AA553" s="6"/>
      <c r="AB553" s="7"/>
      <c r="AC553" s="7"/>
    </row>
    <row r="554">
      <c r="Q554" s="15"/>
      <c r="S554" s="6"/>
      <c r="AA554" s="6"/>
      <c r="AB554" s="7"/>
      <c r="AC554" s="7"/>
    </row>
    <row r="555">
      <c r="Q555" s="15"/>
      <c r="S555" s="6"/>
      <c r="AA555" s="6"/>
      <c r="AB555" s="7"/>
      <c r="AC555" s="7"/>
    </row>
    <row r="556">
      <c r="Q556" s="15"/>
      <c r="S556" s="6"/>
      <c r="AA556" s="6"/>
      <c r="AB556" s="7"/>
      <c r="AC556" s="7"/>
    </row>
    <row r="557">
      <c r="Q557" s="15"/>
      <c r="S557" s="6"/>
      <c r="AA557" s="6"/>
      <c r="AB557" s="7"/>
      <c r="AC557" s="7"/>
    </row>
    <row r="558">
      <c r="Q558" s="15"/>
      <c r="S558" s="6"/>
      <c r="AA558" s="6"/>
      <c r="AB558" s="7"/>
      <c r="AC558" s="7"/>
    </row>
    <row r="559">
      <c r="Q559" s="15"/>
      <c r="S559" s="6"/>
      <c r="AA559" s="6"/>
      <c r="AB559" s="7"/>
      <c r="AC559" s="7"/>
    </row>
    <row r="560">
      <c r="Q560" s="15"/>
      <c r="S560" s="6"/>
      <c r="AA560" s="6"/>
      <c r="AB560" s="7"/>
      <c r="AC560" s="7"/>
    </row>
    <row r="561">
      <c r="Q561" s="15"/>
      <c r="S561" s="6"/>
      <c r="AA561" s="6"/>
      <c r="AB561" s="7"/>
      <c r="AC561" s="7"/>
    </row>
    <row r="562">
      <c r="Q562" s="15"/>
      <c r="S562" s="6"/>
      <c r="AA562" s="6"/>
      <c r="AB562" s="7"/>
      <c r="AC562" s="7"/>
    </row>
    <row r="563">
      <c r="Q563" s="15"/>
      <c r="S563" s="6"/>
      <c r="AA563" s="6"/>
      <c r="AB563" s="7"/>
      <c r="AC563" s="7"/>
    </row>
    <row r="564">
      <c r="Q564" s="15"/>
      <c r="S564" s="6"/>
      <c r="AA564" s="6"/>
      <c r="AB564" s="7"/>
      <c r="AC564" s="7"/>
    </row>
    <row r="565">
      <c r="Q565" s="15"/>
      <c r="S565" s="6"/>
      <c r="AA565" s="6"/>
      <c r="AB565" s="7"/>
      <c r="AC565" s="7"/>
    </row>
    <row r="566">
      <c r="Q566" s="15"/>
      <c r="S566" s="6"/>
      <c r="AA566" s="6"/>
      <c r="AB566" s="7"/>
      <c r="AC566" s="7"/>
    </row>
    <row r="567">
      <c r="Q567" s="15"/>
      <c r="S567" s="6"/>
      <c r="AA567" s="6"/>
      <c r="AB567" s="7"/>
      <c r="AC567" s="7"/>
    </row>
    <row r="568">
      <c r="Q568" s="15"/>
      <c r="S568" s="6"/>
      <c r="AA568" s="6"/>
      <c r="AB568" s="7"/>
      <c r="AC568" s="7"/>
    </row>
    <row r="569">
      <c r="Q569" s="15"/>
      <c r="S569" s="6"/>
      <c r="AA569" s="6"/>
      <c r="AB569" s="7"/>
      <c r="AC569" s="7"/>
    </row>
    <row r="570">
      <c r="Q570" s="15"/>
      <c r="S570" s="6"/>
      <c r="AA570" s="6"/>
      <c r="AB570" s="7"/>
      <c r="AC570" s="7"/>
    </row>
    <row r="571">
      <c r="Q571" s="15"/>
      <c r="S571" s="6"/>
      <c r="AA571" s="6"/>
      <c r="AB571" s="7"/>
      <c r="AC571" s="7"/>
    </row>
    <row r="572">
      <c r="Q572" s="15"/>
      <c r="S572" s="6"/>
      <c r="AA572" s="6"/>
      <c r="AB572" s="7"/>
      <c r="AC572" s="7"/>
    </row>
    <row r="573">
      <c r="Q573" s="15"/>
      <c r="S573" s="6"/>
      <c r="AA573" s="6"/>
      <c r="AB573" s="7"/>
      <c r="AC573" s="7"/>
    </row>
    <row r="574">
      <c r="Q574" s="15"/>
      <c r="S574" s="6"/>
      <c r="AA574" s="6"/>
      <c r="AB574" s="7"/>
      <c r="AC574" s="7"/>
    </row>
    <row r="575">
      <c r="Q575" s="15"/>
      <c r="S575" s="6"/>
      <c r="AA575" s="6"/>
      <c r="AB575" s="7"/>
      <c r="AC575" s="7"/>
    </row>
    <row r="576">
      <c r="Q576" s="15"/>
      <c r="S576" s="6"/>
      <c r="AA576" s="6"/>
      <c r="AB576" s="7"/>
      <c r="AC576" s="7"/>
    </row>
    <row r="577">
      <c r="Q577" s="15"/>
      <c r="S577" s="6"/>
      <c r="AA577" s="6"/>
      <c r="AB577" s="7"/>
      <c r="AC577" s="7"/>
    </row>
    <row r="578">
      <c r="Q578" s="15"/>
      <c r="S578" s="6"/>
      <c r="AA578" s="6"/>
      <c r="AB578" s="7"/>
      <c r="AC578" s="7"/>
    </row>
    <row r="579">
      <c r="Q579" s="15"/>
      <c r="S579" s="6"/>
      <c r="AA579" s="6"/>
      <c r="AB579" s="7"/>
      <c r="AC579" s="7"/>
    </row>
    <row r="580">
      <c r="Q580" s="15"/>
      <c r="S580" s="6"/>
      <c r="AA580" s="6"/>
      <c r="AB580" s="7"/>
      <c r="AC580" s="7"/>
    </row>
    <row r="581">
      <c r="Q581" s="15"/>
      <c r="S581" s="6"/>
      <c r="AA581" s="6"/>
      <c r="AB581" s="7"/>
      <c r="AC581" s="7"/>
    </row>
    <row r="582">
      <c r="Q582" s="15"/>
      <c r="S582" s="6"/>
      <c r="AA582" s="6"/>
      <c r="AB582" s="7"/>
      <c r="AC582" s="7"/>
    </row>
    <row r="583">
      <c r="Q583" s="15"/>
      <c r="S583" s="6"/>
      <c r="AA583" s="6"/>
      <c r="AB583" s="7"/>
      <c r="AC583" s="7"/>
    </row>
    <row r="584">
      <c r="Q584" s="15"/>
      <c r="S584" s="6"/>
      <c r="AA584" s="6"/>
      <c r="AB584" s="7"/>
      <c r="AC584" s="7"/>
    </row>
    <row r="585">
      <c r="Q585" s="15"/>
      <c r="S585" s="6"/>
      <c r="AA585" s="6"/>
      <c r="AB585" s="7"/>
      <c r="AC585" s="7"/>
    </row>
    <row r="586">
      <c r="Q586" s="15"/>
      <c r="S586" s="6"/>
      <c r="AA586" s="6"/>
      <c r="AB586" s="7"/>
      <c r="AC586" s="7"/>
    </row>
    <row r="587">
      <c r="Q587" s="15"/>
      <c r="S587" s="6"/>
      <c r="AA587" s="6"/>
      <c r="AB587" s="7"/>
      <c r="AC587" s="7"/>
    </row>
    <row r="588">
      <c r="Q588" s="15"/>
      <c r="S588" s="6"/>
      <c r="AA588" s="6"/>
      <c r="AB588" s="7"/>
      <c r="AC588" s="7"/>
    </row>
    <row r="589">
      <c r="Q589" s="15"/>
      <c r="S589" s="6"/>
      <c r="AA589" s="6"/>
      <c r="AB589" s="7"/>
      <c r="AC589" s="7"/>
    </row>
    <row r="590">
      <c r="Q590" s="15"/>
      <c r="S590" s="6"/>
      <c r="AA590" s="6"/>
      <c r="AB590" s="7"/>
      <c r="AC590" s="7"/>
    </row>
    <row r="591">
      <c r="Q591" s="15"/>
      <c r="S591" s="6"/>
      <c r="AA591" s="6"/>
      <c r="AB591" s="7"/>
      <c r="AC591" s="7"/>
    </row>
    <row r="592">
      <c r="Q592" s="15"/>
      <c r="S592" s="6"/>
      <c r="AA592" s="6"/>
      <c r="AB592" s="7"/>
      <c r="AC592" s="7"/>
    </row>
    <row r="593">
      <c r="Q593" s="15"/>
      <c r="S593" s="6"/>
      <c r="AA593" s="6"/>
      <c r="AB593" s="7"/>
      <c r="AC593" s="7"/>
    </row>
    <row r="594">
      <c r="Q594" s="15"/>
      <c r="S594" s="6"/>
      <c r="AA594" s="6"/>
      <c r="AB594" s="7"/>
      <c r="AC594" s="7"/>
    </row>
    <row r="595">
      <c r="Q595" s="15"/>
      <c r="S595" s="6"/>
      <c r="AA595" s="6"/>
      <c r="AB595" s="7"/>
      <c r="AC595" s="7"/>
    </row>
    <row r="596">
      <c r="Q596" s="15"/>
      <c r="S596" s="6"/>
      <c r="AA596" s="6"/>
      <c r="AB596" s="7"/>
      <c r="AC596" s="7"/>
    </row>
    <row r="597">
      <c r="Q597" s="15"/>
      <c r="S597" s="6"/>
      <c r="AA597" s="6"/>
      <c r="AB597" s="7"/>
      <c r="AC597" s="7"/>
    </row>
    <row r="598">
      <c r="Q598" s="15"/>
      <c r="S598" s="6"/>
      <c r="AA598" s="6"/>
      <c r="AB598" s="7"/>
      <c r="AC598" s="7"/>
    </row>
    <row r="599">
      <c r="Q599" s="15"/>
      <c r="S599" s="6"/>
      <c r="AA599" s="6"/>
      <c r="AB599" s="7"/>
      <c r="AC599" s="7"/>
    </row>
    <row r="600">
      <c r="Q600" s="15"/>
      <c r="S600" s="6"/>
      <c r="AA600" s="6"/>
      <c r="AB600" s="7"/>
      <c r="AC600" s="7"/>
    </row>
    <row r="601">
      <c r="Q601" s="15"/>
      <c r="S601" s="6"/>
      <c r="AA601" s="6"/>
      <c r="AB601" s="7"/>
      <c r="AC601" s="7"/>
    </row>
    <row r="602">
      <c r="Q602" s="15"/>
      <c r="S602" s="6"/>
      <c r="AA602" s="6"/>
      <c r="AB602" s="7"/>
      <c r="AC602" s="7"/>
    </row>
    <row r="603">
      <c r="Q603" s="15"/>
      <c r="S603" s="6"/>
      <c r="AA603" s="6"/>
      <c r="AB603" s="7"/>
      <c r="AC603" s="7"/>
    </row>
    <row r="604">
      <c r="Q604" s="15"/>
      <c r="S604" s="6"/>
      <c r="AA604" s="6"/>
      <c r="AB604" s="7"/>
      <c r="AC604" s="7"/>
    </row>
    <row r="605">
      <c r="Q605" s="15"/>
      <c r="S605" s="6"/>
      <c r="AA605" s="6"/>
      <c r="AB605" s="7"/>
      <c r="AC605" s="7"/>
    </row>
    <row r="606">
      <c r="Q606" s="15"/>
      <c r="S606" s="6"/>
      <c r="AA606" s="6"/>
      <c r="AB606" s="7"/>
      <c r="AC606" s="7"/>
    </row>
    <row r="607">
      <c r="Q607" s="15"/>
      <c r="S607" s="6"/>
      <c r="AA607" s="6"/>
      <c r="AB607" s="7"/>
      <c r="AC607" s="7"/>
    </row>
    <row r="608">
      <c r="Q608" s="15"/>
      <c r="S608" s="6"/>
      <c r="AA608" s="6"/>
      <c r="AB608" s="7"/>
      <c r="AC608" s="7"/>
    </row>
    <row r="609">
      <c r="Q609" s="15"/>
      <c r="S609" s="6"/>
      <c r="AA609" s="6"/>
      <c r="AB609" s="7"/>
      <c r="AC609" s="7"/>
    </row>
    <row r="610">
      <c r="Q610" s="15"/>
      <c r="S610" s="6"/>
      <c r="AA610" s="6"/>
      <c r="AB610" s="7"/>
      <c r="AC610" s="7"/>
    </row>
    <row r="611">
      <c r="Q611" s="15"/>
      <c r="S611" s="6"/>
      <c r="AA611" s="6"/>
      <c r="AB611" s="7"/>
      <c r="AC611" s="7"/>
    </row>
    <row r="612">
      <c r="Q612" s="15"/>
      <c r="S612" s="6"/>
      <c r="AA612" s="6"/>
      <c r="AB612" s="7"/>
      <c r="AC612" s="7"/>
    </row>
    <row r="613">
      <c r="Q613" s="15"/>
      <c r="S613" s="6"/>
      <c r="AA613" s="6"/>
      <c r="AB613" s="7"/>
      <c r="AC613" s="7"/>
    </row>
    <row r="614">
      <c r="Q614" s="15"/>
      <c r="S614" s="6"/>
      <c r="AA614" s="6"/>
      <c r="AB614" s="7"/>
      <c r="AC614" s="7"/>
    </row>
    <row r="615">
      <c r="Q615" s="15"/>
      <c r="S615" s="6"/>
      <c r="AA615" s="6"/>
      <c r="AB615" s="7"/>
      <c r="AC615" s="7"/>
    </row>
    <row r="616">
      <c r="Q616" s="15"/>
      <c r="S616" s="6"/>
      <c r="AA616" s="6"/>
      <c r="AB616" s="7"/>
      <c r="AC616" s="7"/>
    </row>
    <row r="617">
      <c r="Q617" s="15"/>
      <c r="S617" s="6"/>
      <c r="AA617" s="6"/>
      <c r="AB617" s="7"/>
      <c r="AC617" s="7"/>
    </row>
    <row r="618">
      <c r="Q618" s="15"/>
      <c r="S618" s="6"/>
      <c r="AA618" s="6"/>
      <c r="AB618" s="7"/>
      <c r="AC618" s="7"/>
    </row>
    <row r="619">
      <c r="Q619" s="15"/>
      <c r="S619" s="6"/>
      <c r="AA619" s="6"/>
      <c r="AB619" s="7"/>
      <c r="AC619" s="7"/>
    </row>
    <row r="620">
      <c r="Q620" s="15"/>
      <c r="S620" s="6"/>
      <c r="AA620" s="6"/>
      <c r="AB620" s="7"/>
      <c r="AC620" s="7"/>
    </row>
    <row r="621">
      <c r="Q621" s="15"/>
      <c r="S621" s="6"/>
      <c r="AA621" s="6"/>
      <c r="AB621" s="7"/>
      <c r="AC621" s="7"/>
    </row>
    <row r="622">
      <c r="Q622" s="15"/>
      <c r="S622" s="6"/>
      <c r="AA622" s="6"/>
      <c r="AB622" s="7"/>
      <c r="AC622" s="7"/>
    </row>
    <row r="623">
      <c r="Q623" s="15"/>
      <c r="S623" s="6"/>
      <c r="AA623" s="6"/>
      <c r="AB623" s="7"/>
      <c r="AC623" s="7"/>
    </row>
    <row r="624">
      <c r="Q624" s="15"/>
      <c r="S624" s="6"/>
      <c r="AA624" s="6"/>
      <c r="AB624" s="7"/>
      <c r="AC624" s="7"/>
    </row>
    <row r="625">
      <c r="Q625" s="15"/>
      <c r="S625" s="6"/>
      <c r="AA625" s="6"/>
      <c r="AB625" s="7"/>
      <c r="AC625" s="7"/>
    </row>
    <row r="626">
      <c r="Q626" s="15"/>
      <c r="S626" s="6"/>
      <c r="AA626" s="6"/>
      <c r="AB626" s="7"/>
      <c r="AC626" s="7"/>
    </row>
    <row r="627">
      <c r="Q627" s="15"/>
      <c r="S627" s="6"/>
      <c r="AA627" s="6"/>
      <c r="AB627" s="7"/>
      <c r="AC627" s="7"/>
    </row>
    <row r="628">
      <c r="Q628" s="15"/>
      <c r="S628" s="6"/>
      <c r="AA628" s="6"/>
      <c r="AB628" s="7"/>
      <c r="AC628" s="7"/>
    </row>
    <row r="629">
      <c r="Q629" s="15"/>
      <c r="S629" s="6"/>
      <c r="AA629" s="6"/>
      <c r="AB629" s="7"/>
      <c r="AC629" s="7"/>
    </row>
    <row r="630">
      <c r="Q630" s="15"/>
      <c r="S630" s="6"/>
      <c r="AA630" s="6"/>
      <c r="AB630" s="7"/>
      <c r="AC630" s="7"/>
    </row>
    <row r="631">
      <c r="Q631" s="15"/>
      <c r="S631" s="6"/>
      <c r="AA631" s="6"/>
      <c r="AB631" s="7"/>
      <c r="AC631" s="7"/>
    </row>
    <row r="632">
      <c r="Q632" s="15"/>
      <c r="S632" s="6"/>
      <c r="AA632" s="6"/>
      <c r="AB632" s="7"/>
      <c r="AC632" s="7"/>
    </row>
    <row r="633">
      <c r="Q633" s="15"/>
      <c r="S633" s="6"/>
      <c r="AA633" s="6"/>
      <c r="AB633" s="7"/>
      <c r="AC633" s="7"/>
    </row>
    <row r="634">
      <c r="Q634" s="15"/>
      <c r="S634" s="6"/>
      <c r="AA634" s="6"/>
      <c r="AB634" s="7"/>
      <c r="AC634" s="7"/>
    </row>
    <row r="635">
      <c r="Q635" s="15"/>
      <c r="S635" s="6"/>
      <c r="AA635" s="6"/>
      <c r="AB635" s="7"/>
      <c r="AC635" s="7"/>
    </row>
    <row r="636">
      <c r="Q636" s="15"/>
      <c r="S636" s="6"/>
      <c r="AA636" s="6"/>
      <c r="AB636" s="7"/>
      <c r="AC636" s="7"/>
    </row>
    <row r="637">
      <c r="Q637" s="15"/>
      <c r="S637" s="6"/>
      <c r="AA637" s="6"/>
      <c r="AB637" s="7"/>
      <c r="AC637" s="7"/>
    </row>
    <row r="638">
      <c r="Q638" s="15"/>
      <c r="S638" s="6"/>
      <c r="AA638" s="6"/>
      <c r="AB638" s="7"/>
      <c r="AC638" s="7"/>
    </row>
    <row r="639">
      <c r="Q639" s="15"/>
      <c r="S639" s="6"/>
      <c r="AA639" s="6"/>
      <c r="AB639" s="7"/>
      <c r="AC639" s="7"/>
    </row>
    <row r="640">
      <c r="Q640" s="15"/>
      <c r="S640" s="6"/>
      <c r="AA640" s="6"/>
      <c r="AB640" s="7"/>
      <c r="AC640" s="7"/>
    </row>
    <row r="641">
      <c r="Q641" s="15"/>
      <c r="S641" s="6"/>
      <c r="AA641" s="6"/>
      <c r="AB641" s="7"/>
      <c r="AC641" s="7"/>
    </row>
    <row r="642">
      <c r="Q642" s="15"/>
      <c r="S642" s="6"/>
      <c r="AA642" s="6"/>
      <c r="AB642" s="7"/>
      <c r="AC642" s="7"/>
    </row>
    <row r="643">
      <c r="Q643" s="15"/>
      <c r="S643" s="6"/>
      <c r="AA643" s="6"/>
      <c r="AB643" s="7"/>
      <c r="AC643" s="7"/>
    </row>
    <row r="644">
      <c r="Q644" s="15"/>
      <c r="S644" s="6"/>
      <c r="AA644" s="6"/>
      <c r="AB644" s="7"/>
      <c r="AC644" s="7"/>
    </row>
    <row r="645">
      <c r="Q645" s="15"/>
      <c r="S645" s="6"/>
      <c r="AA645" s="6"/>
      <c r="AB645" s="7"/>
      <c r="AC645" s="7"/>
    </row>
    <row r="646">
      <c r="Q646" s="15"/>
      <c r="S646" s="6"/>
      <c r="AA646" s="6"/>
      <c r="AB646" s="7"/>
      <c r="AC646" s="7"/>
    </row>
    <row r="647">
      <c r="Q647" s="15"/>
      <c r="S647" s="6"/>
      <c r="AA647" s="6"/>
      <c r="AB647" s="7"/>
      <c r="AC647" s="7"/>
    </row>
    <row r="648">
      <c r="Q648" s="15"/>
      <c r="S648" s="6"/>
      <c r="AA648" s="6"/>
      <c r="AB648" s="7"/>
      <c r="AC648" s="7"/>
    </row>
    <row r="649">
      <c r="Q649" s="15"/>
      <c r="S649" s="6"/>
      <c r="AA649" s="6"/>
      <c r="AB649" s="7"/>
      <c r="AC649" s="7"/>
    </row>
    <row r="650">
      <c r="Q650" s="15"/>
      <c r="S650" s="6"/>
      <c r="AA650" s="6"/>
      <c r="AB650" s="7"/>
      <c r="AC650" s="7"/>
    </row>
    <row r="651">
      <c r="Q651" s="15"/>
      <c r="S651" s="6"/>
      <c r="AA651" s="6"/>
      <c r="AB651" s="7"/>
      <c r="AC651" s="7"/>
    </row>
    <row r="652">
      <c r="Q652" s="15"/>
      <c r="S652" s="6"/>
      <c r="AA652" s="6"/>
      <c r="AB652" s="7"/>
      <c r="AC652" s="7"/>
    </row>
    <row r="653">
      <c r="Q653" s="15"/>
      <c r="S653" s="6"/>
      <c r="AA653" s="6"/>
      <c r="AB653" s="7"/>
      <c r="AC653" s="7"/>
    </row>
    <row r="654">
      <c r="Q654" s="15"/>
      <c r="S654" s="6"/>
      <c r="AA654" s="6"/>
      <c r="AB654" s="7"/>
      <c r="AC654" s="7"/>
    </row>
    <row r="655">
      <c r="Q655" s="15"/>
      <c r="S655" s="6"/>
      <c r="AA655" s="6"/>
      <c r="AB655" s="7"/>
      <c r="AC655" s="7"/>
    </row>
    <row r="656">
      <c r="Q656" s="15"/>
      <c r="S656" s="6"/>
      <c r="AA656" s="6"/>
      <c r="AB656" s="7"/>
      <c r="AC656" s="7"/>
    </row>
    <row r="657">
      <c r="Q657" s="15"/>
      <c r="S657" s="6"/>
      <c r="AA657" s="6"/>
      <c r="AB657" s="7"/>
      <c r="AC657" s="7"/>
    </row>
    <row r="658">
      <c r="Q658" s="15"/>
      <c r="S658" s="6"/>
      <c r="AA658" s="6"/>
      <c r="AB658" s="7"/>
      <c r="AC658" s="7"/>
    </row>
    <row r="659">
      <c r="Q659" s="15"/>
      <c r="S659" s="6"/>
      <c r="AA659" s="6"/>
      <c r="AB659" s="7"/>
      <c r="AC659" s="7"/>
    </row>
    <row r="660">
      <c r="Q660" s="15"/>
      <c r="S660" s="6"/>
      <c r="AA660" s="6"/>
      <c r="AB660" s="7"/>
      <c r="AC660" s="7"/>
    </row>
    <row r="661">
      <c r="Q661" s="15"/>
      <c r="S661" s="6"/>
      <c r="AA661" s="6"/>
      <c r="AB661" s="7"/>
      <c r="AC661" s="7"/>
    </row>
    <row r="662">
      <c r="Q662" s="15"/>
      <c r="S662" s="6"/>
      <c r="AA662" s="6"/>
      <c r="AB662" s="7"/>
      <c r="AC662" s="7"/>
    </row>
    <row r="663">
      <c r="Q663" s="15"/>
      <c r="S663" s="6"/>
      <c r="AA663" s="6"/>
      <c r="AB663" s="7"/>
      <c r="AC663" s="7"/>
    </row>
    <row r="664">
      <c r="Q664" s="15"/>
      <c r="S664" s="6"/>
      <c r="AA664" s="6"/>
      <c r="AB664" s="7"/>
      <c r="AC664" s="7"/>
    </row>
    <row r="665">
      <c r="Q665" s="15"/>
      <c r="S665" s="6"/>
      <c r="AA665" s="6"/>
      <c r="AB665" s="7"/>
      <c r="AC665" s="7"/>
    </row>
    <row r="666">
      <c r="Q666" s="15"/>
      <c r="S666" s="6"/>
      <c r="AA666" s="6"/>
      <c r="AB666" s="7"/>
      <c r="AC666" s="7"/>
    </row>
    <row r="667">
      <c r="Q667" s="15"/>
      <c r="S667" s="6"/>
      <c r="AA667" s="6"/>
      <c r="AB667" s="7"/>
      <c r="AC667" s="7"/>
    </row>
    <row r="668">
      <c r="Q668" s="15"/>
      <c r="S668" s="6"/>
      <c r="AA668" s="6"/>
      <c r="AB668" s="7"/>
      <c r="AC668" s="7"/>
    </row>
    <row r="669">
      <c r="Q669" s="15"/>
      <c r="S669" s="6"/>
      <c r="AA669" s="6"/>
      <c r="AB669" s="7"/>
      <c r="AC669" s="7"/>
    </row>
    <row r="670">
      <c r="Q670" s="15"/>
      <c r="S670" s="6"/>
      <c r="AA670" s="6"/>
      <c r="AB670" s="7"/>
      <c r="AC670" s="7"/>
    </row>
    <row r="671">
      <c r="Q671" s="15"/>
      <c r="S671" s="6"/>
      <c r="AA671" s="6"/>
      <c r="AB671" s="7"/>
      <c r="AC671" s="7"/>
    </row>
    <row r="672">
      <c r="Q672" s="15"/>
      <c r="S672" s="6"/>
      <c r="AA672" s="6"/>
      <c r="AB672" s="7"/>
      <c r="AC672" s="7"/>
    </row>
    <row r="673">
      <c r="Q673" s="15"/>
      <c r="S673" s="6"/>
      <c r="AA673" s="6"/>
      <c r="AB673" s="7"/>
      <c r="AC673" s="7"/>
    </row>
    <row r="674">
      <c r="Q674" s="15"/>
      <c r="S674" s="6"/>
      <c r="AA674" s="6"/>
      <c r="AB674" s="7"/>
      <c r="AC674" s="7"/>
    </row>
    <row r="675">
      <c r="Q675" s="15"/>
      <c r="S675" s="6"/>
      <c r="AA675" s="6"/>
      <c r="AB675" s="7"/>
      <c r="AC675" s="7"/>
    </row>
    <row r="676">
      <c r="Q676" s="15"/>
      <c r="S676" s="6"/>
      <c r="AA676" s="6"/>
      <c r="AB676" s="7"/>
      <c r="AC676" s="7"/>
    </row>
    <row r="677">
      <c r="Q677" s="15"/>
      <c r="S677" s="6"/>
      <c r="AA677" s="6"/>
      <c r="AB677" s="7"/>
      <c r="AC677" s="7"/>
    </row>
    <row r="678">
      <c r="Q678" s="15"/>
      <c r="S678" s="6"/>
      <c r="AA678" s="6"/>
      <c r="AB678" s="7"/>
      <c r="AC678" s="7"/>
    </row>
    <row r="679">
      <c r="Q679" s="15"/>
      <c r="S679" s="6"/>
      <c r="AA679" s="6"/>
      <c r="AB679" s="7"/>
      <c r="AC679" s="7"/>
    </row>
    <row r="680">
      <c r="Q680" s="15"/>
      <c r="S680" s="6"/>
      <c r="AA680" s="6"/>
      <c r="AB680" s="7"/>
      <c r="AC680" s="7"/>
    </row>
    <row r="681">
      <c r="Q681" s="15"/>
      <c r="S681" s="6"/>
      <c r="AA681" s="6"/>
      <c r="AB681" s="7"/>
      <c r="AC681" s="7"/>
    </row>
    <row r="682">
      <c r="Q682" s="15"/>
      <c r="S682" s="6"/>
      <c r="AA682" s="6"/>
      <c r="AB682" s="7"/>
      <c r="AC682" s="7"/>
    </row>
    <row r="683">
      <c r="Q683" s="15"/>
      <c r="S683" s="6"/>
      <c r="AA683" s="6"/>
      <c r="AB683" s="7"/>
      <c r="AC683" s="7"/>
    </row>
    <row r="684">
      <c r="Q684" s="15"/>
      <c r="S684" s="6"/>
      <c r="AA684" s="6"/>
      <c r="AB684" s="7"/>
      <c r="AC684" s="7"/>
    </row>
    <row r="685">
      <c r="Q685" s="15"/>
      <c r="S685" s="6"/>
      <c r="AA685" s="6"/>
      <c r="AB685" s="7"/>
      <c r="AC685" s="7"/>
    </row>
    <row r="686">
      <c r="Q686" s="15"/>
      <c r="S686" s="6"/>
      <c r="AA686" s="6"/>
      <c r="AB686" s="7"/>
      <c r="AC686" s="7"/>
    </row>
    <row r="687">
      <c r="Q687" s="15"/>
      <c r="S687" s="6"/>
      <c r="AA687" s="6"/>
      <c r="AB687" s="7"/>
      <c r="AC687" s="7"/>
    </row>
    <row r="688">
      <c r="Q688" s="15"/>
      <c r="S688" s="6"/>
      <c r="AA688" s="6"/>
      <c r="AB688" s="7"/>
      <c r="AC688" s="7"/>
    </row>
    <row r="689">
      <c r="Q689" s="15"/>
      <c r="S689" s="6"/>
      <c r="AA689" s="6"/>
      <c r="AB689" s="7"/>
      <c r="AC689" s="7"/>
    </row>
    <row r="690">
      <c r="Q690" s="15"/>
      <c r="S690" s="6"/>
      <c r="AA690" s="6"/>
      <c r="AB690" s="7"/>
      <c r="AC690" s="7"/>
    </row>
    <row r="691">
      <c r="Q691" s="15"/>
      <c r="S691" s="6"/>
      <c r="AA691" s="6"/>
      <c r="AB691" s="7"/>
      <c r="AC691" s="7"/>
    </row>
    <row r="692">
      <c r="Q692" s="15"/>
      <c r="S692" s="6"/>
      <c r="AA692" s="6"/>
      <c r="AB692" s="7"/>
      <c r="AC692" s="7"/>
    </row>
    <row r="693">
      <c r="Q693" s="15"/>
      <c r="S693" s="6"/>
      <c r="AA693" s="6"/>
      <c r="AB693" s="7"/>
      <c r="AC693" s="7"/>
    </row>
    <row r="694">
      <c r="Q694" s="15"/>
      <c r="S694" s="6"/>
      <c r="AA694" s="6"/>
      <c r="AB694" s="7"/>
      <c r="AC694" s="7"/>
    </row>
    <row r="695">
      <c r="Q695" s="15"/>
      <c r="S695" s="6"/>
      <c r="AA695" s="6"/>
      <c r="AB695" s="7"/>
      <c r="AC695" s="7"/>
    </row>
    <row r="696">
      <c r="Q696" s="15"/>
      <c r="S696" s="6"/>
      <c r="AA696" s="6"/>
      <c r="AB696" s="7"/>
      <c r="AC696" s="7"/>
    </row>
    <row r="697">
      <c r="Q697" s="15"/>
      <c r="S697" s="6"/>
      <c r="AA697" s="6"/>
      <c r="AB697" s="7"/>
      <c r="AC697" s="7"/>
    </row>
    <row r="698">
      <c r="Q698" s="15"/>
      <c r="S698" s="6"/>
      <c r="AA698" s="6"/>
      <c r="AB698" s="7"/>
      <c r="AC698" s="7"/>
    </row>
    <row r="699">
      <c r="Q699" s="15"/>
      <c r="S699" s="6"/>
      <c r="AA699" s="6"/>
      <c r="AB699" s="7"/>
      <c r="AC699" s="7"/>
    </row>
    <row r="700">
      <c r="Q700" s="15"/>
      <c r="S700" s="6"/>
      <c r="AA700" s="6"/>
      <c r="AB700" s="7"/>
      <c r="AC700" s="7"/>
    </row>
    <row r="701">
      <c r="Q701" s="15"/>
      <c r="S701" s="6"/>
      <c r="AA701" s="6"/>
      <c r="AB701" s="7"/>
      <c r="AC701" s="7"/>
    </row>
    <row r="702">
      <c r="Q702" s="15"/>
      <c r="S702" s="6"/>
      <c r="AA702" s="6"/>
      <c r="AB702" s="7"/>
      <c r="AC702" s="7"/>
    </row>
    <row r="703">
      <c r="Q703" s="15"/>
      <c r="S703" s="6"/>
      <c r="AA703" s="6"/>
      <c r="AB703" s="7"/>
      <c r="AC703" s="7"/>
    </row>
    <row r="704">
      <c r="Q704" s="15"/>
      <c r="S704" s="6"/>
      <c r="AA704" s="6"/>
      <c r="AB704" s="7"/>
      <c r="AC704" s="7"/>
    </row>
    <row r="705">
      <c r="Q705" s="15"/>
      <c r="S705" s="6"/>
      <c r="AA705" s="6"/>
      <c r="AB705" s="7"/>
      <c r="AC705" s="7"/>
    </row>
    <row r="706">
      <c r="Q706" s="15"/>
      <c r="S706" s="6"/>
      <c r="AA706" s="6"/>
      <c r="AB706" s="7"/>
      <c r="AC706" s="7"/>
    </row>
    <row r="707">
      <c r="Q707" s="15"/>
      <c r="S707" s="6"/>
      <c r="AA707" s="6"/>
      <c r="AB707" s="7"/>
      <c r="AC707" s="7"/>
    </row>
    <row r="708">
      <c r="Q708" s="15"/>
      <c r="S708" s="6"/>
      <c r="AA708" s="6"/>
      <c r="AB708" s="7"/>
      <c r="AC708" s="7"/>
    </row>
    <row r="709">
      <c r="Q709" s="15"/>
      <c r="S709" s="6"/>
      <c r="AA709" s="6"/>
      <c r="AB709" s="7"/>
      <c r="AC709" s="7"/>
    </row>
    <row r="710">
      <c r="Q710" s="15"/>
      <c r="S710" s="6"/>
      <c r="AA710" s="6"/>
      <c r="AB710" s="7"/>
      <c r="AC710" s="7"/>
    </row>
    <row r="711">
      <c r="Q711" s="15"/>
      <c r="S711" s="6"/>
      <c r="AA711" s="6"/>
      <c r="AB711" s="7"/>
      <c r="AC711" s="7"/>
    </row>
    <row r="712">
      <c r="Q712" s="15"/>
      <c r="S712" s="6"/>
      <c r="AA712" s="6"/>
      <c r="AB712" s="7"/>
      <c r="AC712" s="7"/>
    </row>
    <row r="713">
      <c r="Q713" s="15"/>
      <c r="S713" s="6"/>
      <c r="AA713" s="6"/>
      <c r="AB713" s="7"/>
      <c r="AC713" s="7"/>
    </row>
    <row r="714">
      <c r="Q714" s="15"/>
      <c r="S714" s="6"/>
      <c r="AA714" s="6"/>
      <c r="AB714" s="7"/>
      <c r="AC714" s="7"/>
    </row>
    <row r="715">
      <c r="Q715" s="15"/>
      <c r="S715" s="6"/>
      <c r="AA715" s="6"/>
      <c r="AB715" s="7"/>
      <c r="AC715" s="7"/>
    </row>
    <row r="716">
      <c r="Q716" s="15"/>
      <c r="S716" s="6"/>
      <c r="AA716" s="6"/>
      <c r="AB716" s="7"/>
      <c r="AC716" s="7"/>
    </row>
    <row r="717">
      <c r="Q717" s="15"/>
      <c r="S717" s="6"/>
      <c r="AA717" s="6"/>
      <c r="AB717" s="7"/>
      <c r="AC717" s="7"/>
    </row>
    <row r="718">
      <c r="Q718" s="15"/>
      <c r="S718" s="6"/>
      <c r="AA718" s="6"/>
      <c r="AB718" s="7"/>
      <c r="AC718" s="7"/>
    </row>
    <row r="719">
      <c r="Q719" s="15"/>
      <c r="S719" s="6"/>
      <c r="AA719" s="6"/>
      <c r="AB719" s="7"/>
      <c r="AC719" s="7"/>
    </row>
    <row r="720">
      <c r="Q720" s="15"/>
      <c r="S720" s="6"/>
      <c r="AA720" s="6"/>
      <c r="AB720" s="7"/>
      <c r="AC720" s="7"/>
    </row>
    <row r="721">
      <c r="Q721" s="15"/>
      <c r="S721" s="6"/>
      <c r="AA721" s="6"/>
      <c r="AB721" s="7"/>
      <c r="AC721" s="7"/>
    </row>
    <row r="722">
      <c r="Q722" s="15"/>
      <c r="S722" s="6"/>
      <c r="AA722" s="6"/>
      <c r="AB722" s="7"/>
      <c r="AC722" s="7"/>
    </row>
    <row r="723">
      <c r="Q723" s="15"/>
      <c r="S723" s="6"/>
      <c r="AA723" s="6"/>
      <c r="AB723" s="7"/>
      <c r="AC723" s="7"/>
    </row>
    <row r="724">
      <c r="Q724" s="15"/>
      <c r="S724" s="6"/>
      <c r="AA724" s="6"/>
      <c r="AB724" s="7"/>
      <c r="AC724" s="7"/>
    </row>
    <row r="725">
      <c r="Q725" s="15"/>
      <c r="S725" s="6"/>
      <c r="AA725" s="6"/>
      <c r="AB725" s="7"/>
      <c r="AC725" s="7"/>
    </row>
    <row r="726">
      <c r="Q726" s="15"/>
      <c r="S726" s="6"/>
      <c r="AA726" s="6"/>
      <c r="AB726" s="7"/>
      <c r="AC726" s="7"/>
    </row>
    <row r="727">
      <c r="Q727" s="15"/>
      <c r="S727" s="6"/>
      <c r="AA727" s="6"/>
      <c r="AB727" s="7"/>
      <c r="AC727" s="7"/>
    </row>
    <row r="728">
      <c r="Q728" s="15"/>
      <c r="S728" s="6"/>
      <c r="AA728" s="6"/>
      <c r="AB728" s="7"/>
      <c r="AC728" s="7"/>
    </row>
    <row r="729">
      <c r="Q729" s="15"/>
      <c r="S729" s="6"/>
      <c r="AA729" s="6"/>
      <c r="AB729" s="7"/>
      <c r="AC729" s="7"/>
    </row>
    <row r="730">
      <c r="Q730" s="15"/>
      <c r="S730" s="6"/>
      <c r="AA730" s="6"/>
      <c r="AB730" s="7"/>
      <c r="AC730" s="7"/>
    </row>
    <row r="731">
      <c r="Q731" s="15"/>
      <c r="S731" s="6"/>
      <c r="AA731" s="6"/>
      <c r="AB731" s="7"/>
      <c r="AC731" s="7"/>
    </row>
    <row r="732">
      <c r="Q732" s="15"/>
      <c r="S732" s="6"/>
      <c r="AA732" s="6"/>
      <c r="AB732" s="7"/>
      <c r="AC732" s="7"/>
    </row>
    <row r="733">
      <c r="Q733" s="15"/>
      <c r="S733" s="6"/>
      <c r="AA733" s="6"/>
      <c r="AB733" s="7"/>
      <c r="AC733" s="7"/>
    </row>
    <row r="734">
      <c r="Q734" s="15"/>
      <c r="S734" s="6"/>
      <c r="AA734" s="6"/>
      <c r="AB734" s="7"/>
      <c r="AC734" s="7"/>
    </row>
    <row r="735">
      <c r="Q735" s="15"/>
      <c r="S735" s="6"/>
      <c r="AA735" s="6"/>
      <c r="AB735" s="7"/>
      <c r="AC735" s="7"/>
    </row>
    <row r="736">
      <c r="Q736" s="15"/>
      <c r="S736" s="6"/>
      <c r="AA736" s="6"/>
      <c r="AB736" s="7"/>
      <c r="AC736" s="7"/>
    </row>
    <row r="737">
      <c r="Q737" s="15"/>
      <c r="S737" s="6"/>
      <c r="AA737" s="6"/>
      <c r="AB737" s="7"/>
      <c r="AC737" s="7"/>
    </row>
    <row r="738">
      <c r="Q738" s="15"/>
      <c r="S738" s="6"/>
      <c r="AA738" s="6"/>
      <c r="AB738" s="7"/>
      <c r="AC738" s="7"/>
    </row>
    <row r="739">
      <c r="Q739" s="15"/>
      <c r="S739" s="6"/>
      <c r="AA739" s="6"/>
      <c r="AB739" s="7"/>
      <c r="AC739" s="7"/>
    </row>
    <row r="740">
      <c r="Q740" s="15"/>
      <c r="S740" s="6"/>
      <c r="AA740" s="6"/>
      <c r="AB740" s="7"/>
      <c r="AC740" s="7"/>
    </row>
    <row r="741">
      <c r="Q741" s="15"/>
      <c r="S741" s="6"/>
      <c r="AA741" s="6"/>
      <c r="AB741" s="7"/>
      <c r="AC741" s="7"/>
    </row>
    <row r="742">
      <c r="Q742" s="15"/>
      <c r="S742" s="6"/>
      <c r="AA742" s="6"/>
      <c r="AB742" s="7"/>
      <c r="AC742" s="7"/>
    </row>
    <row r="743">
      <c r="Q743" s="15"/>
      <c r="S743" s="6"/>
      <c r="AA743" s="6"/>
      <c r="AB743" s="7"/>
      <c r="AC743" s="7"/>
    </row>
    <row r="744">
      <c r="Q744" s="15"/>
      <c r="S744" s="6"/>
      <c r="AA744" s="6"/>
      <c r="AB744" s="7"/>
      <c r="AC744" s="7"/>
    </row>
    <row r="745">
      <c r="Q745" s="15"/>
      <c r="S745" s="6"/>
      <c r="AA745" s="6"/>
      <c r="AB745" s="7"/>
      <c r="AC745" s="7"/>
    </row>
    <row r="746">
      <c r="Q746" s="15"/>
      <c r="S746" s="6"/>
      <c r="AA746" s="6"/>
      <c r="AB746" s="7"/>
      <c r="AC746" s="7"/>
    </row>
    <row r="747">
      <c r="Q747" s="15"/>
      <c r="S747" s="6"/>
      <c r="AA747" s="6"/>
      <c r="AB747" s="7"/>
      <c r="AC747" s="7"/>
    </row>
    <row r="748">
      <c r="Q748" s="15"/>
      <c r="S748" s="6"/>
      <c r="AA748" s="6"/>
      <c r="AB748" s="7"/>
      <c r="AC748" s="7"/>
    </row>
    <row r="749">
      <c r="Q749" s="15"/>
      <c r="S749" s="6"/>
      <c r="AA749" s="6"/>
      <c r="AB749" s="7"/>
      <c r="AC749" s="7"/>
    </row>
    <row r="750">
      <c r="Q750" s="15"/>
      <c r="S750" s="6"/>
      <c r="AA750" s="6"/>
      <c r="AB750" s="7"/>
      <c r="AC750" s="7"/>
    </row>
    <row r="751">
      <c r="Q751" s="15"/>
      <c r="S751" s="6"/>
      <c r="AA751" s="6"/>
      <c r="AB751" s="7"/>
      <c r="AC751" s="7"/>
    </row>
    <row r="752">
      <c r="Q752" s="15"/>
      <c r="S752" s="6"/>
      <c r="AA752" s="6"/>
      <c r="AB752" s="7"/>
      <c r="AC752" s="7"/>
    </row>
    <row r="753">
      <c r="Q753" s="15"/>
      <c r="S753" s="6"/>
      <c r="AA753" s="6"/>
      <c r="AB753" s="7"/>
      <c r="AC753" s="7"/>
    </row>
    <row r="754">
      <c r="Q754" s="15"/>
      <c r="S754" s="6"/>
      <c r="AA754" s="6"/>
      <c r="AB754" s="7"/>
      <c r="AC754" s="7"/>
    </row>
    <row r="755">
      <c r="Q755" s="15"/>
      <c r="S755" s="6"/>
      <c r="AA755" s="6"/>
      <c r="AB755" s="7"/>
      <c r="AC755" s="7"/>
    </row>
    <row r="756">
      <c r="Q756" s="15"/>
      <c r="S756" s="6"/>
      <c r="AA756" s="6"/>
      <c r="AB756" s="7"/>
      <c r="AC756" s="7"/>
    </row>
    <row r="757">
      <c r="Q757" s="15"/>
      <c r="S757" s="6"/>
      <c r="AA757" s="6"/>
      <c r="AB757" s="7"/>
      <c r="AC757" s="7"/>
    </row>
    <row r="758">
      <c r="Q758" s="15"/>
      <c r="S758" s="6"/>
      <c r="AA758" s="6"/>
      <c r="AB758" s="7"/>
      <c r="AC758" s="7"/>
    </row>
    <row r="759">
      <c r="Q759" s="15"/>
      <c r="S759" s="6"/>
      <c r="AA759" s="6"/>
      <c r="AB759" s="7"/>
      <c r="AC759" s="7"/>
    </row>
    <row r="760">
      <c r="Q760" s="15"/>
      <c r="S760" s="6"/>
      <c r="AA760" s="6"/>
      <c r="AB760" s="7"/>
      <c r="AC760" s="7"/>
    </row>
    <row r="761">
      <c r="Q761" s="15"/>
      <c r="S761" s="6"/>
      <c r="AA761" s="6"/>
      <c r="AB761" s="7"/>
      <c r="AC761" s="7"/>
    </row>
    <row r="762">
      <c r="Q762" s="15"/>
      <c r="S762" s="6"/>
      <c r="AA762" s="6"/>
      <c r="AB762" s="7"/>
      <c r="AC762" s="7"/>
    </row>
    <row r="763">
      <c r="Q763" s="15"/>
      <c r="S763" s="6"/>
      <c r="AA763" s="6"/>
      <c r="AB763" s="7"/>
      <c r="AC763" s="7"/>
    </row>
    <row r="764">
      <c r="Q764" s="15"/>
      <c r="S764" s="6"/>
      <c r="AA764" s="6"/>
      <c r="AB764" s="7"/>
      <c r="AC764" s="7"/>
    </row>
    <row r="765">
      <c r="Q765" s="15"/>
      <c r="S765" s="6"/>
      <c r="AA765" s="6"/>
      <c r="AB765" s="7"/>
      <c r="AC765" s="7"/>
    </row>
    <row r="766">
      <c r="Q766" s="15"/>
      <c r="S766" s="6"/>
      <c r="AA766" s="6"/>
      <c r="AB766" s="7"/>
      <c r="AC766" s="7"/>
    </row>
    <row r="767">
      <c r="Q767" s="15"/>
      <c r="S767" s="6"/>
      <c r="AA767" s="6"/>
      <c r="AB767" s="7"/>
      <c r="AC767" s="7"/>
    </row>
    <row r="768">
      <c r="Q768" s="15"/>
      <c r="S768" s="6"/>
      <c r="AA768" s="6"/>
      <c r="AB768" s="7"/>
      <c r="AC768" s="7"/>
    </row>
    <row r="769">
      <c r="Q769" s="15"/>
      <c r="S769" s="6"/>
      <c r="AA769" s="6"/>
      <c r="AB769" s="7"/>
      <c r="AC769" s="7"/>
    </row>
    <row r="770">
      <c r="Q770" s="15"/>
      <c r="S770" s="6"/>
      <c r="AA770" s="6"/>
      <c r="AB770" s="7"/>
      <c r="AC770" s="7"/>
    </row>
    <row r="771">
      <c r="Q771" s="15"/>
      <c r="S771" s="6"/>
      <c r="AA771" s="6"/>
      <c r="AB771" s="7"/>
      <c r="AC771" s="7"/>
    </row>
    <row r="772">
      <c r="Q772" s="15"/>
      <c r="S772" s="6"/>
      <c r="AA772" s="6"/>
      <c r="AB772" s="7"/>
      <c r="AC772" s="7"/>
    </row>
    <row r="773">
      <c r="Q773" s="15"/>
      <c r="S773" s="6"/>
      <c r="AA773" s="6"/>
      <c r="AB773" s="7"/>
      <c r="AC773" s="7"/>
    </row>
    <row r="774">
      <c r="Q774" s="15"/>
      <c r="S774" s="6"/>
      <c r="AA774" s="6"/>
      <c r="AB774" s="7"/>
      <c r="AC774" s="7"/>
    </row>
    <row r="775">
      <c r="Q775" s="15"/>
      <c r="S775" s="6"/>
      <c r="AA775" s="6"/>
      <c r="AB775" s="7"/>
      <c r="AC775" s="7"/>
    </row>
    <row r="776">
      <c r="Q776" s="15"/>
      <c r="S776" s="6"/>
      <c r="AA776" s="6"/>
      <c r="AB776" s="7"/>
      <c r="AC776" s="7"/>
    </row>
    <row r="777">
      <c r="Q777" s="15"/>
      <c r="S777" s="6"/>
      <c r="AA777" s="6"/>
      <c r="AB777" s="7"/>
      <c r="AC777" s="7"/>
    </row>
    <row r="778">
      <c r="Q778" s="15"/>
      <c r="S778" s="6"/>
      <c r="AA778" s="6"/>
      <c r="AB778" s="7"/>
      <c r="AC778" s="7"/>
    </row>
    <row r="779">
      <c r="Q779" s="15"/>
      <c r="S779" s="6"/>
      <c r="AA779" s="6"/>
      <c r="AB779" s="7"/>
      <c r="AC779" s="7"/>
    </row>
    <row r="780">
      <c r="Q780" s="15"/>
      <c r="S780" s="6"/>
      <c r="AA780" s="6"/>
      <c r="AB780" s="7"/>
      <c r="AC780" s="7"/>
    </row>
    <row r="781">
      <c r="Q781" s="15"/>
      <c r="S781" s="6"/>
      <c r="AA781" s="6"/>
      <c r="AB781" s="7"/>
      <c r="AC781" s="7"/>
    </row>
    <row r="782">
      <c r="Q782" s="15"/>
      <c r="S782" s="6"/>
      <c r="AA782" s="6"/>
      <c r="AB782" s="7"/>
      <c r="AC782" s="7"/>
    </row>
    <row r="783">
      <c r="Q783" s="15"/>
      <c r="S783" s="6"/>
      <c r="AA783" s="6"/>
      <c r="AB783" s="7"/>
      <c r="AC783" s="7"/>
    </row>
    <row r="784">
      <c r="Q784" s="15"/>
      <c r="S784" s="6"/>
      <c r="AA784" s="6"/>
      <c r="AB784" s="7"/>
      <c r="AC784" s="7"/>
    </row>
    <row r="785">
      <c r="Q785" s="15"/>
      <c r="S785" s="6"/>
      <c r="AA785" s="6"/>
      <c r="AB785" s="7"/>
      <c r="AC785" s="7"/>
    </row>
    <row r="786">
      <c r="Q786" s="15"/>
      <c r="S786" s="6"/>
      <c r="AA786" s="6"/>
      <c r="AB786" s="7"/>
      <c r="AC786" s="7"/>
    </row>
    <row r="787">
      <c r="Q787" s="15"/>
      <c r="S787" s="6"/>
      <c r="AA787" s="6"/>
      <c r="AB787" s="7"/>
      <c r="AC787" s="7"/>
    </row>
    <row r="788">
      <c r="Q788" s="15"/>
      <c r="S788" s="6"/>
      <c r="AA788" s="6"/>
      <c r="AB788" s="7"/>
      <c r="AC788" s="7"/>
    </row>
    <row r="789">
      <c r="Q789" s="15"/>
      <c r="S789" s="6"/>
      <c r="AA789" s="6"/>
      <c r="AB789" s="7"/>
      <c r="AC789" s="7"/>
    </row>
    <row r="790">
      <c r="Q790" s="15"/>
      <c r="S790" s="6"/>
      <c r="AA790" s="6"/>
      <c r="AB790" s="7"/>
      <c r="AC790" s="7"/>
    </row>
    <row r="791">
      <c r="Q791" s="15"/>
      <c r="S791" s="6"/>
      <c r="AA791" s="6"/>
      <c r="AB791" s="7"/>
      <c r="AC791" s="7"/>
    </row>
    <row r="792">
      <c r="Q792" s="15"/>
      <c r="S792" s="6"/>
      <c r="AA792" s="6"/>
      <c r="AB792" s="7"/>
      <c r="AC792" s="7"/>
    </row>
    <row r="793">
      <c r="Q793" s="15"/>
      <c r="S793" s="6"/>
      <c r="AA793" s="6"/>
      <c r="AB793" s="7"/>
      <c r="AC793" s="7"/>
    </row>
    <row r="794">
      <c r="Q794" s="15"/>
      <c r="S794" s="6"/>
      <c r="AA794" s="6"/>
      <c r="AB794" s="7"/>
      <c r="AC794" s="7"/>
    </row>
    <row r="795">
      <c r="Q795" s="15"/>
      <c r="S795" s="6"/>
      <c r="AA795" s="6"/>
      <c r="AB795" s="7"/>
      <c r="AC795" s="7"/>
    </row>
    <row r="796">
      <c r="Q796" s="15"/>
      <c r="S796" s="6"/>
      <c r="AA796" s="6"/>
      <c r="AB796" s="7"/>
      <c r="AC796" s="7"/>
    </row>
    <row r="797">
      <c r="Q797" s="15"/>
      <c r="S797" s="6"/>
      <c r="AA797" s="6"/>
      <c r="AB797" s="7"/>
      <c r="AC797" s="7"/>
    </row>
    <row r="798">
      <c r="Q798" s="15"/>
      <c r="S798" s="6"/>
      <c r="AA798" s="6"/>
      <c r="AB798" s="7"/>
      <c r="AC798" s="7"/>
    </row>
    <row r="799">
      <c r="Q799" s="15"/>
      <c r="S799" s="6"/>
      <c r="AA799" s="6"/>
      <c r="AB799" s="7"/>
      <c r="AC799" s="7"/>
    </row>
    <row r="800">
      <c r="Q800" s="15"/>
      <c r="S800" s="6"/>
      <c r="AA800" s="6"/>
      <c r="AB800" s="7"/>
      <c r="AC800" s="7"/>
    </row>
    <row r="801">
      <c r="Q801" s="15"/>
      <c r="S801" s="6"/>
      <c r="AA801" s="6"/>
      <c r="AB801" s="7"/>
      <c r="AC801" s="7"/>
    </row>
    <row r="802">
      <c r="Q802" s="15"/>
      <c r="S802" s="6"/>
      <c r="AA802" s="6"/>
      <c r="AB802" s="7"/>
      <c r="AC802" s="7"/>
    </row>
    <row r="803">
      <c r="Q803" s="15"/>
      <c r="S803" s="6"/>
      <c r="AA803" s="6"/>
      <c r="AB803" s="7"/>
      <c r="AC803" s="7"/>
    </row>
    <row r="804">
      <c r="Q804" s="15"/>
      <c r="S804" s="6"/>
      <c r="AA804" s="6"/>
      <c r="AB804" s="7"/>
      <c r="AC804" s="7"/>
    </row>
    <row r="805">
      <c r="Q805" s="15"/>
      <c r="S805" s="6"/>
      <c r="AA805" s="6"/>
      <c r="AB805" s="7"/>
      <c r="AC805" s="7"/>
    </row>
    <row r="806">
      <c r="Q806" s="15"/>
      <c r="S806" s="6"/>
      <c r="AA806" s="6"/>
      <c r="AB806" s="7"/>
      <c r="AC806" s="7"/>
    </row>
    <row r="807">
      <c r="Q807" s="15"/>
      <c r="S807" s="6"/>
      <c r="AA807" s="6"/>
      <c r="AB807" s="7"/>
      <c r="AC807" s="7"/>
    </row>
    <row r="808">
      <c r="Q808" s="15"/>
      <c r="S808" s="6"/>
      <c r="AA808" s="6"/>
      <c r="AB808" s="7"/>
      <c r="AC808" s="7"/>
    </row>
    <row r="809">
      <c r="Q809" s="15"/>
      <c r="S809" s="6"/>
      <c r="AA809" s="6"/>
      <c r="AB809" s="7"/>
      <c r="AC809" s="7"/>
    </row>
    <row r="810">
      <c r="Q810" s="15"/>
      <c r="S810" s="6"/>
      <c r="AA810" s="6"/>
      <c r="AB810" s="7"/>
      <c r="AC810" s="7"/>
    </row>
    <row r="811">
      <c r="Q811" s="15"/>
      <c r="S811" s="6"/>
      <c r="AA811" s="6"/>
      <c r="AB811" s="7"/>
      <c r="AC811" s="7"/>
    </row>
    <row r="812">
      <c r="Q812" s="15"/>
      <c r="S812" s="6"/>
      <c r="AA812" s="6"/>
      <c r="AB812" s="7"/>
      <c r="AC812" s="7"/>
    </row>
    <row r="813">
      <c r="Q813" s="15"/>
      <c r="S813" s="6"/>
      <c r="AA813" s="6"/>
      <c r="AB813" s="7"/>
      <c r="AC813" s="7"/>
    </row>
    <row r="814">
      <c r="Q814" s="15"/>
      <c r="S814" s="6"/>
      <c r="AA814" s="6"/>
      <c r="AB814" s="7"/>
      <c r="AC814" s="7"/>
    </row>
    <row r="815">
      <c r="Q815" s="15"/>
      <c r="S815" s="6"/>
      <c r="AA815" s="6"/>
      <c r="AB815" s="7"/>
      <c r="AC815" s="7"/>
    </row>
    <row r="816">
      <c r="Q816" s="15"/>
      <c r="S816" s="6"/>
      <c r="AA816" s="6"/>
      <c r="AB816" s="7"/>
      <c r="AC816" s="7"/>
    </row>
    <row r="817">
      <c r="Q817" s="15"/>
      <c r="S817" s="6"/>
      <c r="AA817" s="6"/>
      <c r="AB817" s="7"/>
      <c r="AC817" s="7"/>
    </row>
    <row r="818">
      <c r="Q818" s="15"/>
      <c r="S818" s="6"/>
      <c r="AA818" s="6"/>
      <c r="AB818" s="7"/>
      <c r="AC818" s="7"/>
    </row>
    <row r="819">
      <c r="Q819" s="15"/>
      <c r="S819" s="6"/>
      <c r="AA819" s="6"/>
      <c r="AB819" s="7"/>
      <c r="AC819" s="7"/>
    </row>
    <row r="820">
      <c r="Q820" s="15"/>
      <c r="S820" s="6"/>
      <c r="AA820" s="6"/>
      <c r="AB820" s="7"/>
      <c r="AC820" s="7"/>
    </row>
    <row r="821">
      <c r="Q821" s="15"/>
      <c r="S821" s="6"/>
      <c r="AA821" s="6"/>
      <c r="AB821" s="7"/>
      <c r="AC821" s="7"/>
    </row>
    <row r="822">
      <c r="Q822" s="15"/>
      <c r="S822" s="6"/>
      <c r="AA822" s="6"/>
      <c r="AB822" s="7"/>
      <c r="AC822" s="7"/>
    </row>
    <row r="823">
      <c r="Q823" s="15"/>
      <c r="S823" s="6"/>
      <c r="AA823" s="6"/>
      <c r="AB823" s="7"/>
      <c r="AC823" s="7"/>
    </row>
    <row r="824">
      <c r="Q824" s="15"/>
      <c r="S824" s="6"/>
      <c r="AA824" s="6"/>
      <c r="AB824" s="7"/>
      <c r="AC824" s="7"/>
    </row>
    <row r="825">
      <c r="Q825" s="15"/>
      <c r="S825" s="6"/>
      <c r="AA825" s="6"/>
      <c r="AB825" s="7"/>
      <c r="AC825" s="7"/>
    </row>
    <row r="826">
      <c r="Q826" s="15"/>
      <c r="S826" s="6"/>
      <c r="AA826" s="6"/>
      <c r="AB826" s="7"/>
      <c r="AC826" s="7"/>
    </row>
    <row r="827">
      <c r="Q827" s="15"/>
      <c r="S827" s="6"/>
      <c r="AA827" s="6"/>
      <c r="AB827" s="7"/>
      <c r="AC827" s="7"/>
    </row>
    <row r="828">
      <c r="Q828" s="15"/>
      <c r="S828" s="6"/>
      <c r="AA828" s="6"/>
      <c r="AB828" s="7"/>
      <c r="AC828" s="7"/>
    </row>
    <row r="829">
      <c r="Q829" s="15"/>
      <c r="S829" s="6"/>
      <c r="AA829" s="6"/>
      <c r="AB829" s="7"/>
      <c r="AC829" s="7"/>
    </row>
    <row r="830">
      <c r="Q830" s="15"/>
      <c r="S830" s="6"/>
      <c r="AA830" s="6"/>
      <c r="AB830" s="7"/>
      <c r="AC830" s="7"/>
    </row>
    <row r="831">
      <c r="Q831" s="15"/>
      <c r="S831" s="6"/>
      <c r="AA831" s="6"/>
      <c r="AB831" s="7"/>
      <c r="AC831" s="7"/>
    </row>
    <row r="832">
      <c r="Q832" s="15"/>
      <c r="S832" s="6"/>
      <c r="AA832" s="6"/>
      <c r="AB832" s="7"/>
      <c r="AC832" s="7"/>
    </row>
    <row r="833">
      <c r="Q833" s="15"/>
      <c r="S833" s="6"/>
      <c r="AA833" s="6"/>
      <c r="AB833" s="7"/>
      <c r="AC833" s="7"/>
    </row>
    <row r="834">
      <c r="Q834" s="15"/>
      <c r="S834" s="6"/>
      <c r="AA834" s="6"/>
      <c r="AB834" s="7"/>
      <c r="AC834" s="7"/>
    </row>
    <row r="835">
      <c r="Q835" s="15"/>
      <c r="S835" s="6"/>
      <c r="AA835" s="6"/>
      <c r="AB835" s="7"/>
      <c r="AC835" s="7"/>
    </row>
    <row r="836">
      <c r="Q836" s="15"/>
      <c r="S836" s="6"/>
      <c r="AA836" s="6"/>
      <c r="AB836" s="7"/>
      <c r="AC836" s="7"/>
    </row>
    <row r="837">
      <c r="Q837" s="15"/>
      <c r="S837" s="6"/>
      <c r="AA837" s="6"/>
      <c r="AB837" s="7"/>
      <c r="AC837" s="7"/>
    </row>
    <row r="838">
      <c r="Q838" s="15"/>
      <c r="S838" s="6"/>
      <c r="AA838" s="6"/>
      <c r="AB838" s="7"/>
      <c r="AC838" s="7"/>
    </row>
    <row r="839">
      <c r="Q839" s="15"/>
      <c r="S839" s="6"/>
      <c r="AA839" s="6"/>
      <c r="AB839" s="7"/>
      <c r="AC839" s="7"/>
    </row>
    <row r="840">
      <c r="Q840" s="15"/>
      <c r="S840" s="6"/>
      <c r="AA840" s="6"/>
      <c r="AB840" s="7"/>
      <c r="AC840" s="7"/>
    </row>
    <row r="841">
      <c r="Q841" s="15"/>
      <c r="S841" s="6"/>
      <c r="AA841" s="6"/>
      <c r="AB841" s="7"/>
      <c r="AC841" s="7"/>
    </row>
    <row r="842">
      <c r="Q842" s="15"/>
      <c r="S842" s="6"/>
      <c r="AA842" s="6"/>
      <c r="AB842" s="7"/>
      <c r="AC842" s="7"/>
    </row>
    <row r="843">
      <c r="Q843" s="15"/>
      <c r="S843" s="6"/>
      <c r="AA843" s="6"/>
      <c r="AB843" s="7"/>
      <c r="AC843" s="7"/>
    </row>
    <row r="844">
      <c r="Q844" s="15"/>
      <c r="S844" s="6"/>
      <c r="AA844" s="6"/>
      <c r="AB844" s="7"/>
      <c r="AC844" s="7"/>
    </row>
    <row r="845">
      <c r="Q845" s="15"/>
      <c r="S845" s="6"/>
      <c r="AA845" s="6"/>
      <c r="AB845" s="7"/>
      <c r="AC845" s="7"/>
    </row>
    <row r="846">
      <c r="Q846" s="15"/>
      <c r="S846" s="6"/>
      <c r="AA846" s="6"/>
      <c r="AB846" s="7"/>
      <c r="AC846" s="7"/>
    </row>
    <row r="847">
      <c r="Q847" s="15"/>
      <c r="S847" s="6"/>
      <c r="AA847" s="6"/>
      <c r="AB847" s="7"/>
      <c r="AC847" s="7"/>
    </row>
    <row r="848">
      <c r="Q848" s="15"/>
      <c r="S848" s="6"/>
      <c r="AA848" s="6"/>
      <c r="AB848" s="7"/>
      <c r="AC848" s="7"/>
    </row>
    <row r="849">
      <c r="Q849" s="15"/>
      <c r="S849" s="6"/>
      <c r="AA849" s="6"/>
      <c r="AB849" s="7"/>
      <c r="AC849" s="7"/>
    </row>
    <row r="850">
      <c r="Q850" s="15"/>
      <c r="S850" s="6"/>
      <c r="AA850" s="6"/>
      <c r="AB850" s="7"/>
      <c r="AC850" s="7"/>
    </row>
    <row r="851">
      <c r="Q851" s="15"/>
      <c r="S851" s="6"/>
      <c r="AA851" s="6"/>
      <c r="AB851" s="7"/>
      <c r="AC851" s="7"/>
    </row>
    <row r="852">
      <c r="Q852" s="15"/>
      <c r="S852" s="6"/>
      <c r="AA852" s="6"/>
      <c r="AB852" s="7"/>
      <c r="AC852" s="7"/>
    </row>
    <row r="853">
      <c r="Q853" s="15"/>
      <c r="S853" s="6"/>
      <c r="AA853" s="6"/>
      <c r="AB853" s="7"/>
      <c r="AC853" s="7"/>
    </row>
    <row r="854">
      <c r="Q854" s="15"/>
      <c r="S854" s="6"/>
      <c r="AA854" s="6"/>
      <c r="AB854" s="7"/>
      <c r="AC854" s="7"/>
    </row>
    <row r="855">
      <c r="Q855" s="15"/>
      <c r="S855" s="6"/>
      <c r="AA855" s="6"/>
      <c r="AB855" s="7"/>
      <c r="AC855" s="7"/>
    </row>
    <row r="856">
      <c r="Q856" s="15"/>
      <c r="S856" s="6"/>
      <c r="AA856" s="6"/>
      <c r="AB856" s="7"/>
      <c r="AC856" s="7"/>
    </row>
    <row r="857">
      <c r="Q857" s="15"/>
      <c r="S857" s="6"/>
      <c r="AA857" s="6"/>
      <c r="AB857" s="7"/>
      <c r="AC857" s="7"/>
    </row>
    <row r="858">
      <c r="Q858" s="15"/>
      <c r="S858" s="6"/>
      <c r="AA858" s="6"/>
      <c r="AB858" s="7"/>
      <c r="AC858" s="7"/>
    </row>
    <row r="859">
      <c r="Q859" s="15"/>
      <c r="S859" s="6"/>
      <c r="AA859" s="6"/>
      <c r="AB859" s="7"/>
      <c r="AC859" s="7"/>
    </row>
    <row r="860">
      <c r="Q860" s="15"/>
      <c r="S860" s="6"/>
      <c r="AA860" s="6"/>
      <c r="AB860" s="7"/>
      <c r="AC860" s="7"/>
    </row>
    <row r="861">
      <c r="Q861" s="15"/>
      <c r="S861" s="6"/>
      <c r="AA861" s="6"/>
      <c r="AB861" s="7"/>
      <c r="AC861" s="7"/>
    </row>
    <row r="862">
      <c r="Q862" s="15"/>
      <c r="S862" s="6"/>
      <c r="AA862" s="6"/>
      <c r="AB862" s="7"/>
      <c r="AC862" s="7"/>
    </row>
    <row r="863">
      <c r="Q863" s="15"/>
      <c r="S863" s="6"/>
      <c r="AA863" s="6"/>
      <c r="AB863" s="7"/>
      <c r="AC863" s="7"/>
    </row>
    <row r="864">
      <c r="Q864" s="15"/>
      <c r="S864" s="6"/>
      <c r="AA864" s="6"/>
      <c r="AB864" s="7"/>
      <c r="AC864" s="7"/>
    </row>
    <row r="865">
      <c r="Q865" s="15"/>
      <c r="S865" s="6"/>
      <c r="AA865" s="6"/>
      <c r="AB865" s="7"/>
      <c r="AC865" s="7"/>
    </row>
    <row r="866">
      <c r="Q866" s="15"/>
      <c r="S866" s="6"/>
      <c r="AA866" s="6"/>
      <c r="AB866" s="7"/>
      <c r="AC866" s="7"/>
    </row>
    <row r="867">
      <c r="Q867" s="15"/>
      <c r="S867" s="6"/>
      <c r="AA867" s="6"/>
      <c r="AB867" s="7"/>
      <c r="AC867" s="7"/>
    </row>
    <row r="868">
      <c r="Q868" s="15"/>
      <c r="S868" s="6"/>
      <c r="AA868" s="6"/>
      <c r="AB868" s="7"/>
      <c r="AC868" s="7"/>
    </row>
    <row r="869">
      <c r="Q869" s="15"/>
      <c r="S869" s="6"/>
      <c r="AA869" s="6"/>
      <c r="AB869" s="7"/>
      <c r="AC869" s="7"/>
    </row>
    <row r="870">
      <c r="Q870" s="15"/>
      <c r="S870" s="6"/>
      <c r="AA870" s="6"/>
      <c r="AB870" s="7"/>
      <c r="AC870" s="7"/>
    </row>
    <row r="871">
      <c r="Q871" s="15"/>
      <c r="S871" s="6"/>
      <c r="AA871" s="6"/>
      <c r="AB871" s="7"/>
      <c r="AC871" s="7"/>
    </row>
    <row r="872">
      <c r="Q872" s="15"/>
      <c r="S872" s="6"/>
      <c r="AA872" s="6"/>
      <c r="AB872" s="7"/>
      <c r="AC872" s="7"/>
    </row>
    <row r="873">
      <c r="Q873" s="15"/>
      <c r="S873" s="6"/>
      <c r="AA873" s="6"/>
      <c r="AB873" s="7"/>
      <c r="AC873" s="7"/>
    </row>
    <row r="874">
      <c r="Q874" s="15"/>
      <c r="S874" s="6"/>
      <c r="AA874" s="6"/>
      <c r="AB874" s="7"/>
      <c r="AC874" s="7"/>
    </row>
    <row r="875">
      <c r="Q875" s="15"/>
      <c r="S875" s="6"/>
      <c r="AA875" s="6"/>
      <c r="AB875" s="7"/>
      <c r="AC875" s="7"/>
    </row>
    <row r="876">
      <c r="Q876" s="15"/>
      <c r="S876" s="6"/>
      <c r="AA876" s="6"/>
      <c r="AB876" s="7"/>
      <c r="AC876" s="7"/>
    </row>
    <row r="877">
      <c r="Q877" s="15"/>
      <c r="S877" s="6"/>
      <c r="AA877" s="6"/>
      <c r="AB877" s="7"/>
      <c r="AC877" s="7"/>
    </row>
    <row r="878">
      <c r="Q878" s="15"/>
      <c r="S878" s="6"/>
      <c r="AA878" s="6"/>
      <c r="AB878" s="7"/>
      <c r="AC878" s="7"/>
    </row>
    <row r="879">
      <c r="Q879" s="15"/>
      <c r="S879" s="6"/>
      <c r="AA879" s="6"/>
      <c r="AB879" s="7"/>
      <c r="AC879" s="7"/>
    </row>
    <row r="880">
      <c r="Q880" s="15"/>
      <c r="S880" s="6"/>
      <c r="AA880" s="6"/>
      <c r="AB880" s="7"/>
      <c r="AC880" s="7"/>
    </row>
    <row r="881">
      <c r="Q881" s="15"/>
      <c r="S881" s="6"/>
      <c r="AA881" s="6"/>
      <c r="AB881" s="7"/>
      <c r="AC881" s="7"/>
    </row>
    <row r="882">
      <c r="Q882" s="15"/>
      <c r="S882" s="6"/>
      <c r="AA882" s="6"/>
      <c r="AB882" s="7"/>
      <c r="AC882" s="7"/>
    </row>
    <row r="883">
      <c r="Q883" s="15"/>
      <c r="S883" s="6"/>
      <c r="AA883" s="6"/>
      <c r="AB883" s="7"/>
      <c r="AC883" s="7"/>
    </row>
    <row r="884">
      <c r="Q884" s="15"/>
      <c r="S884" s="6"/>
      <c r="AA884" s="6"/>
      <c r="AB884" s="7"/>
      <c r="AC884" s="7"/>
    </row>
    <row r="885">
      <c r="Q885" s="15"/>
      <c r="S885" s="6"/>
      <c r="AA885" s="6"/>
      <c r="AB885" s="7"/>
      <c r="AC885" s="7"/>
    </row>
    <row r="886">
      <c r="Q886" s="15"/>
      <c r="S886" s="6"/>
      <c r="AA886" s="6"/>
      <c r="AB886" s="7"/>
      <c r="AC886" s="7"/>
    </row>
    <row r="887">
      <c r="Q887" s="15"/>
      <c r="S887" s="6"/>
      <c r="AA887" s="6"/>
      <c r="AB887" s="7"/>
      <c r="AC887" s="7"/>
    </row>
    <row r="888">
      <c r="Q888" s="15"/>
      <c r="S888" s="6"/>
      <c r="AA888" s="6"/>
      <c r="AB888" s="7"/>
      <c r="AC888" s="7"/>
    </row>
    <row r="889">
      <c r="Q889" s="15"/>
      <c r="S889" s="6"/>
      <c r="AA889" s="6"/>
      <c r="AB889" s="7"/>
      <c r="AC889" s="7"/>
    </row>
    <row r="890">
      <c r="Q890" s="15"/>
      <c r="S890" s="6"/>
      <c r="AA890" s="6"/>
      <c r="AB890" s="7"/>
      <c r="AC890" s="7"/>
    </row>
    <row r="891">
      <c r="Q891" s="15"/>
      <c r="S891" s="6"/>
      <c r="AA891" s="6"/>
      <c r="AB891" s="7"/>
      <c r="AC891" s="7"/>
    </row>
    <row r="892">
      <c r="Q892" s="15"/>
      <c r="S892" s="6"/>
      <c r="AA892" s="6"/>
      <c r="AB892" s="7"/>
      <c r="AC892" s="7"/>
    </row>
    <row r="893">
      <c r="Q893" s="15"/>
      <c r="S893" s="6"/>
      <c r="AA893" s="6"/>
      <c r="AB893" s="7"/>
      <c r="AC893" s="7"/>
    </row>
    <row r="894">
      <c r="Q894" s="15"/>
      <c r="S894" s="6"/>
      <c r="AA894" s="6"/>
      <c r="AB894" s="7"/>
      <c r="AC894" s="7"/>
    </row>
    <row r="895">
      <c r="Q895" s="15"/>
      <c r="S895" s="6"/>
      <c r="AA895" s="6"/>
      <c r="AB895" s="7"/>
      <c r="AC895" s="7"/>
    </row>
    <row r="896">
      <c r="Q896" s="15"/>
      <c r="S896" s="6"/>
      <c r="AA896" s="6"/>
      <c r="AB896" s="7"/>
      <c r="AC896" s="7"/>
    </row>
    <row r="897">
      <c r="Q897" s="15"/>
      <c r="S897" s="6"/>
      <c r="AA897" s="6"/>
      <c r="AB897" s="7"/>
      <c r="AC897" s="7"/>
    </row>
    <row r="898">
      <c r="Q898" s="15"/>
      <c r="S898" s="6"/>
      <c r="AA898" s="6"/>
      <c r="AB898" s="7"/>
      <c r="AC898" s="7"/>
    </row>
    <row r="899">
      <c r="Q899" s="15"/>
      <c r="S899" s="6"/>
      <c r="AA899" s="6"/>
      <c r="AB899" s="7"/>
      <c r="AC899" s="7"/>
    </row>
    <row r="900">
      <c r="Q900" s="15"/>
      <c r="S900" s="6"/>
      <c r="AA900" s="6"/>
      <c r="AB900" s="7"/>
      <c r="AC900" s="7"/>
    </row>
    <row r="901">
      <c r="Q901" s="15"/>
      <c r="S901" s="6"/>
      <c r="AA901" s="6"/>
      <c r="AB901" s="7"/>
      <c r="AC901" s="7"/>
    </row>
    <row r="902">
      <c r="Q902" s="15"/>
      <c r="S902" s="6"/>
      <c r="AA902" s="6"/>
      <c r="AB902" s="7"/>
      <c r="AC902" s="7"/>
    </row>
    <row r="903">
      <c r="Q903" s="15"/>
      <c r="S903" s="6"/>
      <c r="AA903" s="6"/>
      <c r="AB903" s="7"/>
      <c r="AC903" s="7"/>
    </row>
    <row r="904">
      <c r="Q904" s="15"/>
      <c r="S904" s="6"/>
      <c r="AA904" s="6"/>
      <c r="AB904" s="7"/>
      <c r="AC904" s="7"/>
    </row>
    <row r="905">
      <c r="Q905" s="15"/>
      <c r="S905" s="6"/>
      <c r="AA905" s="6"/>
      <c r="AB905" s="7"/>
      <c r="AC905" s="7"/>
    </row>
    <row r="906">
      <c r="Q906" s="15"/>
      <c r="S906" s="6"/>
      <c r="AA906" s="6"/>
      <c r="AB906" s="7"/>
      <c r="AC906" s="7"/>
    </row>
    <row r="907">
      <c r="Q907" s="15"/>
      <c r="S907" s="6"/>
      <c r="AA907" s="6"/>
      <c r="AB907" s="7"/>
      <c r="AC907" s="7"/>
    </row>
    <row r="908">
      <c r="Q908" s="15"/>
      <c r="S908" s="6"/>
      <c r="AA908" s="6"/>
      <c r="AB908" s="7"/>
      <c r="AC908" s="7"/>
    </row>
    <row r="909">
      <c r="Q909" s="15"/>
      <c r="S909" s="6"/>
      <c r="AA909" s="6"/>
      <c r="AB909" s="7"/>
      <c r="AC909" s="7"/>
    </row>
    <row r="910">
      <c r="Q910" s="15"/>
      <c r="S910" s="6"/>
      <c r="AA910" s="6"/>
      <c r="AB910" s="7"/>
      <c r="AC910" s="7"/>
    </row>
    <row r="911">
      <c r="Q911" s="15"/>
      <c r="S911" s="6"/>
      <c r="AA911" s="6"/>
      <c r="AB911" s="7"/>
      <c r="AC911" s="7"/>
    </row>
    <row r="912">
      <c r="Q912" s="15"/>
      <c r="S912" s="6"/>
      <c r="AA912" s="6"/>
      <c r="AB912" s="7"/>
      <c r="AC912" s="7"/>
    </row>
    <row r="913">
      <c r="Q913" s="15"/>
      <c r="S913" s="6"/>
      <c r="AA913" s="6"/>
      <c r="AB913" s="7"/>
      <c r="AC913" s="7"/>
    </row>
    <row r="914">
      <c r="Q914" s="15"/>
      <c r="S914" s="6"/>
      <c r="AA914" s="6"/>
      <c r="AB914" s="7"/>
      <c r="AC914" s="7"/>
    </row>
    <row r="915">
      <c r="Q915" s="15"/>
      <c r="S915" s="6"/>
      <c r="AA915" s="6"/>
      <c r="AB915" s="7"/>
      <c r="AC915" s="7"/>
    </row>
    <row r="916">
      <c r="Q916" s="15"/>
      <c r="S916" s="6"/>
      <c r="AA916" s="6"/>
      <c r="AB916" s="7"/>
      <c r="AC916" s="7"/>
    </row>
    <row r="917">
      <c r="Q917" s="15"/>
      <c r="S917" s="6"/>
      <c r="AA917" s="6"/>
      <c r="AB917" s="7"/>
      <c r="AC917" s="7"/>
    </row>
    <row r="918">
      <c r="Q918" s="15"/>
      <c r="S918" s="6"/>
      <c r="AA918" s="6"/>
      <c r="AB918" s="7"/>
      <c r="AC918" s="7"/>
    </row>
    <row r="919">
      <c r="Q919" s="15"/>
      <c r="S919" s="6"/>
      <c r="AA919" s="6"/>
      <c r="AB919" s="7"/>
      <c r="AC919" s="7"/>
    </row>
    <row r="920">
      <c r="Q920" s="15"/>
      <c r="S920" s="6"/>
      <c r="AA920" s="6"/>
      <c r="AB920" s="7"/>
      <c r="AC920" s="7"/>
    </row>
    <row r="921">
      <c r="Q921" s="15"/>
      <c r="S921" s="6"/>
      <c r="AA921" s="6"/>
      <c r="AB921" s="7"/>
      <c r="AC921" s="7"/>
    </row>
    <row r="922">
      <c r="Q922" s="15"/>
      <c r="S922" s="6"/>
      <c r="AA922" s="6"/>
      <c r="AB922" s="7"/>
      <c r="AC922" s="7"/>
    </row>
    <row r="923">
      <c r="Q923" s="15"/>
      <c r="S923" s="6"/>
      <c r="AA923" s="6"/>
      <c r="AB923" s="7"/>
      <c r="AC923" s="7"/>
    </row>
    <row r="924">
      <c r="Q924" s="15"/>
      <c r="S924" s="6"/>
      <c r="AA924" s="6"/>
      <c r="AB924" s="7"/>
      <c r="AC924" s="7"/>
    </row>
    <row r="925">
      <c r="Q925" s="15"/>
      <c r="S925" s="6"/>
      <c r="AA925" s="6"/>
      <c r="AB925" s="7"/>
      <c r="AC925" s="7"/>
    </row>
    <row r="926">
      <c r="Q926" s="15"/>
      <c r="S926" s="6"/>
      <c r="AA926" s="6"/>
      <c r="AB926" s="7"/>
      <c r="AC926" s="7"/>
    </row>
    <row r="927">
      <c r="Q927" s="15"/>
      <c r="S927" s="6"/>
      <c r="AA927" s="6"/>
      <c r="AB927" s="7"/>
      <c r="AC927" s="7"/>
    </row>
    <row r="928">
      <c r="Q928" s="15"/>
      <c r="S928" s="6"/>
      <c r="AA928" s="6"/>
      <c r="AB928" s="7"/>
      <c r="AC928" s="7"/>
    </row>
    <row r="929">
      <c r="Q929" s="15"/>
      <c r="S929" s="6"/>
      <c r="AA929" s="6"/>
      <c r="AB929" s="7"/>
      <c r="AC929" s="7"/>
    </row>
    <row r="930">
      <c r="Q930" s="15"/>
      <c r="S930" s="6"/>
      <c r="AA930" s="6"/>
      <c r="AB930" s="7"/>
      <c r="AC930" s="7"/>
    </row>
    <row r="931">
      <c r="Q931" s="15"/>
      <c r="S931" s="6"/>
      <c r="AA931" s="6"/>
      <c r="AB931" s="7"/>
      <c r="AC931" s="7"/>
    </row>
    <row r="932">
      <c r="Q932" s="15"/>
      <c r="S932" s="6"/>
      <c r="AA932" s="6"/>
      <c r="AB932" s="7"/>
      <c r="AC932" s="7"/>
    </row>
    <row r="933">
      <c r="Q933" s="15"/>
      <c r="S933" s="6"/>
      <c r="AA933" s="6"/>
      <c r="AB933" s="7"/>
      <c r="AC933" s="7"/>
    </row>
    <row r="934">
      <c r="Q934" s="15"/>
      <c r="S934" s="6"/>
      <c r="AA934" s="6"/>
      <c r="AB934" s="7"/>
      <c r="AC934" s="7"/>
    </row>
    <row r="935">
      <c r="Q935" s="15"/>
      <c r="S935" s="6"/>
      <c r="AA935" s="6"/>
      <c r="AB935" s="7"/>
      <c r="AC935" s="7"/>
    </row>
    <row r="936">
      <c r="Q936" s="15"/>
      <c r="S936" s="6"/>
      <c r="AA936" s="6"/>
      <c r="AB936" s="7"/>
      <c r="AC936" s="7"/>
    </row>
    <row r="937">
      <c r="Q937" s="15"/>
      <c r="S937" s="6"/>
      <c r="AA937" s="6"/>
      <c r="AB937" s="7"/>
      <c r="AC937" s="7"/>
    </row>
    <row r="938">
      <c r="Q938" s="15"/>
      <c r="S938" s="6"/>
      <c r="AA938" s="6"/>
      <c r="AB938" s="7"/>
      <c r="AC938" s="7"/>
    </row>
    <row r="939">
      <c r="Q939" s="15"/>
      <c r="S939" s="6"/>
      <c r="AA939" s="6"/>
      <c r="AB939" s="7"/>
      <c r="AC939" s="7"/>
    </row>
    <row r="940">
      <c r="Q940" s="15"/>
      <c r="S940" s="6"/>
      <c r="AA940" s="6"/>
      <c r="AB940" s="7"/>
      <c r="AC940" s="7"/>
    </row>
    <row r="941">
      <c r="Q941" s="15"/>
      <c r="S941" s="6"/>
      <c r="AA941" s="6"/>
      <c r="AB941" s="7"/>
      <c r="AC941" s="7"/>
    </row>
    <row r="942">
      <c r="Q942" s="15"/>
      <c r="S942" s="6"/>
      <c r="AA942" s="6"/>
      <c r="AB942" s="7"/>
      <c r="AC942" s="7"/>
    </row>
    <row r="943">
      <c r="Q943" s="15"/>
      <c r="S943" s="6"/>
      <c r="AA943" s="6"/>
      <c r="AB943" s="7"/>
      <c r="AC943" s="7"/>
    </row>
    <row r="944">
      <c r="Q944" s="15"/>
      <c r="S944" s="6"/>
      <c r="AA944" s="6"/>
      <c r="AB944" s="7"/>
      <c r="AC944" s="7"/>
    </row>
    <row r="945">
      <c r="Q945" s="15"/>
      <c r="S945" s="6"/>
      <c r="AA945" s="6"/>
      <c r="AB945" s="7"/>
      <c r="AC945" s="7"/>
    </row>
    <row r="946">
      <c r="Q946" s="15"/>
      <c r="S946" s="6"/>
      <c r="AA946" s="6"/>
      <c r="AB946" s="7"/>
      <c r="AC946" s="7"/>
    </row>
    <row r="947">
      <c r="Q947" s="15"/>
      <c r="S947" s="6"/>
      <c r="AA947" s="6"/>
      <c r="AB947" s="7"/>
      <c r="AC947" s="7"/>
    </row>
    <row r="948">
      <c r="Q948" s="15"/>
      <c r="S948" s="6"/>
      <c r="AA948" s="6"/>
      <c r="AB948" s="7"/>
      <c r="AC948" s="7"/>
    </row>
    <row r="949">
      <c r="Q949" s="15"/>
      <c r="S949" s="6"/>
      <c r="AA949" s="6"/>
      <c r="AB949" s="7"/>
      <c r="AC949" s="7"/>
    </row>
    <row r="950">
      <c r="Q950" s="15"/>
      <c r="S950" s="6"/>
      <c r="AA950" s="6"/>
      <c r="AB950" s="7"/>
      <c r="AC950" s="7"/>
    </row>
    <row r="951">
      <c r="Q951" s="15"/>
      <c r="S951" s="6"/>
      <c r="AA951" s="6"/>
      <c r="AB951" s="7"/>
      <c r="AC951" s="7"/>
    </row>
    <row r="952">
      <c r="Q952" s="15"/>
      <c r="S952" s="6"/>
      <c r="AA952" s="6"/>
      <c r="AB952" s="7"/>
      <c r="AC952" s="7"/>
    </row>
    <row r="953">
      <c r="Q953" s="15"/>
      <c r="S953" s="6"/>
      <c r="AA953" s="6"/>
      <c r="AB953" s="7"/>
      <c r="AC953" s="7"/>
    </row>
    <row r="954">
      <c r="Q954" s="15"/>
      <c r="S954" s="6"/>
      <c r="AA954" s="6"/>
      <c r="AB954" s="7"/>
      <c r="AC954" s="7"/>
    </row>
    <row r="955">
      <c r="Q955" s="15"/>
      <c r="S955" s="6"/>
      <c r="AA955" s="6"/>
      <c r="AB955" s="7"/>
      <c r="AC955" s="7"/>
    </row>
    <row r="956">
      <c r="Q956" s="15"/>
      <c r="S956" s="6"/>
      <c r="AA956" s="6"/>
      <c r="AB956" s="7"/>
      <c r="AC956" s="7"/>
    </row>
    <row r="957">
      <c r="Q957" s="15"/>
      <c r="S957" s="6"/>
      <c r="AA957" s="6"/>
      <c r="AB957" s="7"/>
      <c r="AC957" s="7"/>
    </row>
    <row r="958">
      <c r="Q958" s="15"/>
      <c r="S958" s="6"/>
      <c r="AA958" s="6"/>
      <c r="AB958" s="7"/>
      <c r="AC958" s="7"/>
    </row>
    <row r="959">
      <c r="Q959" s="15"/>
      <c r="S959" s="6"/>
      <c r="AA959" s="6"/>
      <c r="AB959" s="7"/>
      <c r="AC959" s="7"/>
    </row>
    <row r="960">
      <c r="Q960" s="15"/>
      <c r="S960" s="6"/>
      <c r="AA960" s="6"/>
      <c r="AB960" s="7"/>
      <c r="AC960" s="7"/>
    </row>
    <row r="961">
      <c r="Q961" s="15"/>
      <c r="S961" s="6"/>
      <c r="AA961" s="6"/>
      <c r="AB961" s="7"/>
      <c r="AC961" s="7"/>
    </row>
    <row r="962">
      <c r="Q962" s="15"/>
      <c r="S962" s="6"/>
      <c r="AA962" s="6"/>
      <c r="AB962" s="7"/>
      <c r="AC962" s="7"/>
    </row>
    <row r="963">
      <c r="Q963" s="15"/>
      <c r="S963" s="6"/>
      <c r="AA963" s="6"/>
      <c r="AB963" s="7"/>
      <c r="AC963" s="7"/>
    </row>
    <row r="964">
      <c r="Q964" s="15"/>
      <c r="S964" s="6"/>
      <c r="AA964" s="6"/>
      <c r="AB964" s="7"/>
      <c r="AC964" s="7"/>
    </row>
    <row r="965">
      <c r="Q965" s="15"/>
      <c r="S965" s="6"/>
      <c r="AA965" s="6"/>
      <c r="AB965" s="7"/>
      <c r="AC965" s="7"/>
    </row>
    <row r="966">
      <c r="Q966" s="15"/>
      <c r="S966" s="6"/>
      <c r="AA966" s="6"/>
      <c r="AB966" s="7"/>
      <c r="AC966" s="7"/>
    </row>
    <row r="967">
      <c r="Q967" s="15"/>
      <c r="S967" s="6"/>
      <c r="AA967" s="6"/>
      <c r="AB967" s="7"/>
      <c r="AC967" s="7"/>
    </row>
    <row r="968">
      <c r="Q968" s="15"/>
      <c r="S968" s="6"/>
      <c r="AA968" s="6"/>
      <c r="AB968" s="7"/>
      <c r="AC968" s="7"/>
    </row>
    <row r="969">
      <c r="Q969" s="15"/>
      <c r="S969" s="6"/>
      <c r="AA969" s="6"/>
      <c r="AB969" s="7"/>
      <c r="AC969" s="7"/>
    </row>
    <row r="970">
      <c r="Q970" s="15"/>
      <c r="S970" s="6"/>
      <c r="AA970" s="6"/>
      <c r="AB970" s="7"/>
      <c r="AC970" s="7"/>
    </row>
    <row r="971">
      <c r="Q971" s="15"/>
      <c r="S971" s="6"/>
      <c r="AA971" s="6"/>
      <c r="AB971" s="7"/>
      <c r="AC971" s="7"/>
    </row>
    <row r="972">
      <c r="Q972" s="15"/>
      <c r="S972" s="6"/>
      <c r="AA972" s="6"/>
      <c r="AB972" s="7"/>
      <c r="AC972" s="7"/>
    </row>
    <row r="973">
      <c r="Q973" s="15"/>
      <c r="S973" s="6"/>
      <c r="AA973" s="6"/>
      <c r="AB973" s="7"/>
      <c r="AC973" s="7"/>
    </row>
    <row r="974">
      <c r="Q974" s="15"/>
      <c r="S974" s="6"/>
      <c r="AA974" s="6"/>
      <c r="AB974" s="7"/>
      <c r="AC974" s="7"/>
    </row>
    <row r="975">
      <c r="Q975" s="15"/>
      <c r="S975" s="6"/>
      <c r="AA975" s="6"/>
      <c r="AB975" s="7"/>
      <c r="AC975" s="7"/>
    </row>
    <row r="976">
      <c r="Q976" s="15"/>
      <c r="S976" s="6"/>
      <c r="AA976" s="6"/>
      <c r="AB976" s="7"/>
      <c r="AC976" s="7"/>
    </row>
    <row r="977">
      <c r="Q977" s="15"/>
      <c r="S977" s="6"/>
      <c r="AA977" s="6"/>
      <c r="AB977" s="7"/>
      <c r="AC977" s="7"/>
    </row>
    <row r="978">
      <c r="Q978" s="15"/>
      <c r="S978" s="6"/>
      <c r="AA978" s="6"/>
      <c r="AB978" s="7"/>
      <c r="AC978" s="7"/>
    </row>
    <row r="979">
      <c r="Q979" s="15"/>
      <c r="S979" s="6"/>
      <c r="AA979" s="6"/>
      <c r="AB979" s="7"/>
      <c r="AC979" s="7"/>
    </row>
    <row r="980">
      <c r="Q980" s="15"/>
      <c r="S980" s="6"/>
      <c r="AA980" s="6"/>
      <c r="AB980" s="7"/>
      <c r="AC980" s="7"/>
    </row>
    <row r="981">
      <c r="Q981" s="15"/>
      <c r="S981" s="6"/>
      <c r="AA981" s="6"/>
      <c r="AB981" s="7"/>
      <c r="AC981" s="7"/>
    </row>
    <row r="982">
      <c r="Q982" s="15"/>
      <c r="S982" s="6"/>
      <c r="AA982" s="6"/>
      <c r="AB982" s="7"/>
      <c r="AC982" s="7"/>
    </row>
    <row r="983">
      <c r="Q983" s="15"/>
      <c r="S983" s="6"/>
      <c r="AA983" s="6"/>
      <c r="AB983" s="7"/>
      <c r="AC983" s="7"/>
    </row>
    <row r="984">
      <c r="Q984" s="15"/>
      <c r="S984" s="6"/>
      <c r="AA984" s="6"/>
      <c r="AB984" s="7"/>
      <c r="AC984" s="7"/>
    </row>
    <row r="985">
      <c r="Q985" s="15"/>
      <c r="S985" s="6"/>
      <c r="AA985" s="6"/>
      <c r="AB985" s="7"/>
      <c r="AC985" s="7"/>
    </row>
    <row r="986">
      <c r="Q986" s="15"/>
      <c r="S986" s="6"/>
      <c r="AA986" s="6"/>
      <c r="AB986" s="7"/>
      <c r="AC986" s="7"/>
    </row>
    <row r="987">
      <c r="Q987" s="15"/>
      <c r="S987" s="6"/>
      <c r="AA987" s="6"/>
      <c r="AB987" s="7"/>
      <c r="AC987" s="7"/>
    </row>
    <row r="988">
      <c r="Q988" s="15"/>
      <c r="S988" s="6"/>
      <c r="AA988" s="6"/>
      <c r="AB988" s="7"/>
      <c r="AC988" s="7"/>
    </row>
    <row r="989">
      <c r="Q989" s="15"/>
      <c r="S989" s="6"/>
      <c r="AA989" s="6"/>
      <c r="AB989" s="7"/>
      <c r="AC989" s="7"/>
    </row>
    <row r="990">
      <c r="Q990" s="15"/>
      <c r="S990" s="6"/>
      <c r="AA990" s="6"/>
      <c r="AB990" s="7"/>
      <c r="AC990" s="7"/>
    </row>
    <row r="991">
      <c r="Q991" s="15"/>
      <c r="S991" s="6"/>
      <c r="AA991" s="6"/>
      <c r="AB991" s="7"/>
      <c r="AC991" s="7"/>
    </row>
    <row r="992">
      <c r="Q992" s="15"/>
      <c r="S992" s="6"/>
      <c r="AA992" s="6"/>
      <c r="AB992" s="7"/>
      <c r="AC992" s="7"/>
    </row>
    <row r="993">
      <c r="Q993" s="15"/>
      <c r="S993" s="6"/>
      <c r="AA993" s="6"/>
      <c r="AB993" s="7"/>
      <c r="AC993" s="7"/>
    </row>
    <row r="994">
      <c r="Q994" s="15"/>
      <c r="S994" s="6"/>
      <c r="AA994" s="6"/>
      <c r="AB994" s="7"/>
      <c r="AC994" s="7"/>
    </row>
    <row r="995">
      <c r="Q995" s="15"/>
      <c r="S995" s="6"/>
      <c r="AA995" s="6"/>
      <c r="AB995" s="7"/>
      <c r="AC995" s="7"/>
    </row>
    <row r="996">
      <c r="Q996" s="15"/>
      <c r="S996" s="6"/>
      <c r="AA996" s="6"/>
      <c r="AB996" s="7"/>
      <c r="AC996" s="7"/>
    </row>
    <row r="997">
      <c r="Q997" s="15"/>
      <c r="S997" s="6"/>
      <c r="AA997" s="6"/>
      <c r="AB997" s="7"/>
      <c r="AC997" s="7"/>
    </row>
    <row r="998">
      <c r="Q998" s="15"/>
      <c r="S998" s="6"/>
      <c r="AA998" s="6"/>
      <c r="AB998" s="7"/>
      <c r="AC998" s="7"/>
    </row>
    <row r="999">
      <c r="Q999" s="15"/>
      <c r="S999" s="6"/>
      <c r="AA999" s="6"/>
      <c r="AB999" s="7"/>
      <c r="AC999" s="7"/>
    </row>
    <row r="1000">
      <c r="Q1000" s="15"/>
      <c r="S1000" s="6"/>
      <c r="AA1000" s="6"/>
      <c r="AB1000" s="7"/>
      <c r="AC1000" s="7"/>
    </row>
    <row r="1001">
      <c r="Q1001" s="15"/>
      <c r="S1001" s="6"/>
      <c r="AA1001" s="6"/>
      <c r="AB1001" s="7"/>
      <c r="AC1001" s="7"/>
    </row>
    <row r="1002">
      <c r="Q1002" s="15"/>
      <c r="S1002" s="6"/>
      <c r="AA1002" s="6"/>
      <c r="AB1002" s="7"/>
      <c r="AC1002" s="7"/>
    </row>
    <row r="1003">
      <c r="Q1003" s="15"/>
      <c r="S1003" s="6"/>
      <c r="AA1003" s="6"/>
      <c r="AB1003" s="7"/>
      <c r="AC1003" s="7"/>
    </row>
    <row r="1004">
      <c r="Q1004" s="15"/>
      <c r="S1004" s="6"/>
      <c r="AA1004" s="6"/>
      <c r="AB1004" s="7"/>
      <c r="AC1004" s="7"/>
    </row>
    <row r="1005">
      <c r="Q1005" s="15"/>
      <c r="S1005" s="6"/>
      <c r="AA1005" s="6"/>
      <c r="AB1005" s="7"/>
      <c r="AC1005" s="7"/>
    </row>
    <row r="1006">
      <c r="Q1006" s="15"/>
      <c r="S1006" s="6"/>
      <c r="AA1006" s="6"/>
      <c r="AB1006" s="7"/>
      <c r="AC1006" s="7"/>
    </row>
    <row r="1007">
      <c r="Q1007" s="15"/>
      <c r="S1007" s="6"/>
      <c r="AA1007" s="6"/>
      <c r="AB1007" s="7"/>
      <c r="AC1007" s="7"/>
    </row>
    <row r="1008">
      <c r="Q1008" s="15"/>
      <c r="S1008" s="6"/>
      <c r="AA1008" s="6"/>
      <c r="AB1008" s="7"/>
      <c r="AC1008" s="7"/>
    </row>
    <row r="1009">
      <c r="Q1009" s="15"/>
      <c r="S1009" s="6"/>
      <c r="AA1009" s="6"/>
      <c r="AB1009" s="7"/>
      <c r="AC1009" s="7"/>
    </row>
    <row r="1010">
      <c r="Q1010" s="15"/>
      <c r="S1010" s="6"/>
      <c r="AA1010" s="6"/>
      <c r="AB1010" s="7"/>
      <c r="AC1010" s="7"/>
    </row>
    <row r="1011">
      <c r="Q1011" s="15"/>
      <c r="S1011" s="6"/>
      <c r="AA1011" s="6"/>
      <c r="AB1011" s="7"/>
      <c r="AC1011" s="7"/>
    </row>
    <row r="1012">
      <c r="Q1012" s="15"/>
      <c r="S1012" s="6"/>
      <c r="AA1012" s="6"/>
      <c r="AB1012" s="7"/>
      <c r="AC1012" s="7"/>
    </row>
    <row r="1013">
      <c r="Q1013" s="15"/>
      <c r="S1013" s="6"/>
      <c r="AA1013" s="6"/>
      <c r="AB1013" s="7"/>
      <c r="AC1013" s="7"/>
    </row>
    <row r="1014">
      <c r="Q1014" s="15"/>
      <c r="S1014" s="6"/>
      <c r="AA1014" s="6"/>
      <c r="AB1014" s="7"/>
      <c r="AC1014" s="7"/>
    </row>
    <row r="1015">
      <c r="Q1015" s="15"/>
      <c r="S1015" s="6"/>
      <c r="AA1015" s="6"/>
      <c r="AB1015" s="7"/>
      <c r="AC1015" s="7"/>
    </row>
    <row r="1016">
      <c r="Q1016" s="15"/>
      <c r="S1016" s="6"/>
      <c r="AA1016" s="6"/>
      <c r="AB1016" s="7"/>
      <c r="AC1016" s="7"/>
    </row>
    <row r="1017">
      <c r="Q1017" s="15"/>
      <c r="S1017" s="6"/>
      <c r="AA1017" s="6"/>
      <c r="AB1017" s="7"/>
      <c r="AC1017" s="7"/>
    </row>
    <row r="1018">
      <c r="Q1018" s="15"/>
      <c r="S1018" s="6"/>
      <c r="AA1018" s="6"/>
      <c r="AB1018" s="7"/>
      <c r="AC1018" s="7"/>
    </row>
    <row r="1019">
      <c r="Q1019" s="15"/>
      <c r="S1019" s="6"/>
      <c r="AA1019" s="6"/>
      <c r="AB1019" s="7"/>
      <c r="AC1019" s="7"/>
    </row>
    <row r="1020">
      <c r="Q1020" s="15"/>
      <c r="S1020" s="6"/>
      <c r="AA1020" s="6"/>
      <c r="AB1020" s="7"/>
      <c r="AC1020" s="7"/>
    </row>
    <row r="1021">
      <c r="Q1021" s="15"/>
      <c r="S1021" s="6"/>
      <c r="AA1021" s="6"/>
      <c r="AB1021" s="7"/>
      <c r="AC1021" s="7"/>
    </row>
    <row r="1022">
      <c r="Q1022" s="15"/>
      <c r="S1022" s="6"/>
      <c r="AA1022" s="6"/>
      <c r="AB1022" s="7"/>
      <c r="AC1022" s="7"/>
    </row>
    <row r="1023">
      <c r="Q1023" s="15"/>
      <c r="S1023" s="6"/>
      <c r="AA1023" s="6"/>
      <c r="AB1023" s="7"/>
      <c r="AC1023" s="7"/>
    </row>
    <row r="1024">
      <c r="Q1024" s="15"/>
      <c r="S1024" s="6"/>
      <c r="AA1024" s="6"/>
      <c r="AB1024" s="7"/>
      <c r="AC1024" s="7"/>
    </row>
    <row r="1025">
      <c r="Q1025" s="15"/>
      <c r="S1025" s="6"/>
      <c r="AA1025" s="6"/>
      <c r="AB1025" s="7"/>
      <c r="AC1025" s="7"/>
    </row>
    <row r="1026">
      <c r="Q1026" s="15"/>
      <c r="S1026" s="6"/>
      <c r="AA1026" s="6"/>
      <c r="AB1026" s="7"/>
      <c r="AC1026" s="7"/>
    </row>
    <row r="1027">
      <c r="Q1027" s="15"/>
      <c r="S1027" s="6"/>
      <c r="AA1027" s="6"/>
      <c r="AB1027" s="7"/>
      <c r="AC1027" s="7"/>
    </row>
    <row r="1028">
      <c r="Q1028" s="15"/>
      <c r="S1028" s="6"/>
      <c r="AA1028" s="6"/>
      <c r="AB1028" s="7"/>
      <c r="AC1028" s="7"/>
    </row>
    <row r="1029">
      <c r="Q1029" s="15"/>
      <c r="S1029" s="6"/>
      <c r="AA1029" s="6"/>
      <c r="AB1029" s="7"/>
      <c r="AC1029" s="7"/>
    </row>
    <row r="1030">
      <c r="Q1030" s="15"/>
      <c r="S1030" s="6"/>
      <c r="AA1030" s="6"/>
      <c r="AB1030" s="7"/>
      <c r="AC1030" s="7"/>
    </row>
    <row r="1031">
      <c r="Q1031" s="15"/>
      <c r="S1031" s="6"/>
      <c r="AA1031" s="6"/>
      <c r="AB1031" s="7"/>
      <c r="AC1031" s="7"/>
    </row>
    <row r="1032">
      <c r="Q1032" s="15"/>
      <c r="S1032" s="6"/>
      <c r="AA1032" s="6"/>
      <c r="AB1032" s="7"/>
      <c r="AC1032" s="7"/>
    </row>
    <row r="1033">
      <c r="Q1033" s="15"/>
      <c r="S1033" s="6"/>
      <c r="AA1033" s="6"/>
      <c r="AB1033" s="7"/>
      <c r="AC1033" s="7"/>
    </row>
    <row r="1034">
      <c r="Q1034" s="15"/>
      <c r="S1034" s="6"/>
      <c r="AA1034" s="6"/>
      <c r="AB1034" s="7"/>
      <c r="AC1034" s="7"/>
    </row>
    <row r="1035">
      <c r="Q1035" s="15"/>
      <c r="S1035" s="6"/>
      <c r="AA1035" s="6"/>
      <c r="AB1035" s="7"/>
      <c r="AC1035" s="7"/>
    </row>
    <row r="1036">
      <c r="Q1036" s="15"/>
      <c r="S1036" s="6"/>
      <c r="AA1036" s="6"/>
      <c r="AB1036" s="7"/>
      <c r="AC1036" s="7"/>
    </row>
    <row r="1037">
      <c r="Q1037" s="15"/>
      <c r="S1037" s="6"/>
      <c r="AA1037" s="6"/>
      <c r="AB1037" s="7"/>
      <c r="AC1037" s="7"/>
    </row>
    <row r="1038">
      <c r="Q1038" s="15"/>
      <c r="S1038" s="6"/>
      <c r="AA1038" s="6"/>
      <c r="AB1038" s="7"/>
      <c r="AC1038" s="7"/>
    </row>
    <row r="1039">
      <c r="Q1039" s="15"/>
      <c r="S1039" s="6"/>
      <c r="AA1039" s="6"/>
      <c r="AB1039" s="7"/>
      <c r="AC1039" s="7"/>
    </row>
    <row r="1040">
      <c r="Q1040" s="15"/>
      <c r="S1040" s="6"/>
      <c r="AA1040" s="6"/>
      <c r="AB1040" s="7"/>
      <c r="AC1040" s="7"/>
    </row>
    <row r="1041">
      <c r="Q1041" s="15"/>
      <c r="S1041" s="6"/>
      <c r="AA1041" s="6"/>
      <c r="AB1041" s="7"/>
      <c r="AC1041" s="7"/>
    </row>
    <row r="1042">
      <c r="Q1042" s="15"/>
      <c r="S1042" s="6"/>
      <c r="AA1042" s="6"/>
      <c r="AB1042" s="7"/>
      <c r="AC1042" s="7"/>
    </row>
    <row r="1043">
      <c r="Q1043" s="15"/>
      <c r="S1043" s="6"/>
      <c r="AA1043" s="6"/>
      <c r="AB1043" s="7"/>
      <c r="AC1043" s="7"/>
    </row>
    <row r="1044">
      <c r="Q1044" s="15"/>
      <c r="S1044" s="6"/>
      <c r="AA1044" s="6"/>
      <c r="AB1044" s="7"/>
      <c r="AC1044" s="7"/>
    </row>
    <row r="1045">
      <c r="Q1045" s="15"/>
      <c r="S1045" s="6"/>
      <c r="AA1045" s="6"/>
      <c r="AB1045" s="7"/>
      <c r="AC1045" s="7"/>
    </row>
    <row r="1046">
      <c r="Q1046" s="15"/>
      <c r="S1046" s="6"/>
      <c r="AA1046" s="6"/>
      <c r="AB1046" s="7"/>
      <c r="AC1046" s="7"/>
    </row>
    <row r="1047">
      <c r="Q1047" s="15"/>
      <c r="S1047" s="6"/>
      <c r="AA1047" s="6"/>
      <c r="AB1047" s="7"/>
      <c r="AC1047" s="7"/>
    </row>
    <row r="1048">
      <c r="Q1048" s="15"/>
      <c r="S1048" s="6"/>
      <c r="AA1048" s="6"/>
      <c r="AB1048" s="7"/>
      <c r="AC1048" s="7"/>
    </row>
    <row r="1049">
      <c r="Q1049" s="15"/>
      <c r="S1049" s="6"/>
      <c r="AA1049" s="6"/>
      <c r="AB1049" s="7"/>
      <c r="AC1049" s="7"/>
    </row>
    <row r="1050">
      <c r="Q1050" s="15"/>
      <c r="S1050" s="6"/>
      <c r="AA1050" s="6"/>
      <c r="AB1050" s="7"/>
      <c r="AC1050" s="7"/>
    </row>
    <row r="1051">
      <c r="Q1051" s="15"/>
      <c r="S1051" s="6"/>
      <c r="AA1051" s="6"/>
      <c r="AB1051" s="7"/>
      <c r="AC1051" s="7"/>
    </row>
    <row r="1052">
      <c r="Q1052" s="15"/>
      <c r="S1052" s="6"/>
      <c r="AA1052" s="6"/>
      <c r="AB1052" s="7"/>
      <c r="AC1052" s="7"/>
    </row>
    <row r="1053">
      <c r="Q1053" s="15"/>
      <c r="S1053" s="6"/>
      <c r="AA1053" s="6"/>
      <c r="AB1053" s="7"/>
      <c r="AC1053" s="7"/>
    </row>
    <row r="1054">
      <c r="Q1054" s="15"/>
      <c r="S1054" s="6"/>
      <c r="AA1054" s="6"/>
      <c r="AB1054" s="7"/>
      <c r="AC1054" s="7"/>
    </row>
    <row r="1055">
      <c r="Q1055" s="15"/>
      <c r="S1055" s="6"/>
      <c r="AA1055" s="6"/>
      <c r="AB1055" s="7"/>
      <c r="AC1055" s="7"/>
    </row>
    <row r="1056">
      <c r="Q1056" s="15"/>
      <c r="S1056" s="6"/>
      <c r="AA1056" s="6"/>
      <c r="AB1056" s="7"/>
      <c r="AC1056" s="7"/>
    </row>
    <row r="1057">
      <c r="Q1057" s="15"/>
      <c r="S1057" s="6"/>
      <c r="AA1057" s="6"/>
      <c r="AB1057" s="7"/>
      <c r="AC1057" s="7"/>
    </row>
    <row r="1058">
      <c r="Q1058" s="15"/>
      <c r="S1058" s="6"/>
      <c r="AA1058" s="6"/>
      <c r="AB1058" s="7"/>
      <c r="AC1058" s="7"/>
    </row>
    <row r="1059">
      <c r="Q1059" s="15"/>
      <c r="S1059" s="6"/>
      <c r="AA1059" s="6"/>
      <c r="AB1059" s="7"/>
      <c r="AC1059" s="7"/>
    </row>
    <row r="1060">
      <c r="Q1060" s="15"/>
      <c r="S1060" s="6"/>
      <c r="AA1060" s="6"/>
      <c r="AB1060" s="7"/>
      <c r="AC1060" s="7"/>
    </row>
    <row r="1061">
      <c r="Q1061" s="15"/>
      <c r="S1061" s="6"/>
      <c r="AA1061" s="6"/>
      <c r="AB1061" s="7"/>
      <c r="AC1061" s="7"/>
    </row>
    <row r="1062">
      <c r="Q1062" s="15"/>
      <c r="S1062" s="6"/>
      <c r="AA1062" s="6"/>
      <c r="AB1062" s="7"/>
      <c r="AC1062" s="7"/>
    </row>
    <row r="1063">
      <c r="Q1063" s="15"/>
      <c r="S1063" s="6"/>
      <c r="AA1063" s="6"/>
      <c r="AB1063" s="7"/>
      <c r="AC1063" s="7"/>
    </row>
    <row r="1064">
      <c r="Q1064" s="15"/>
      <c r="S1064" s="6"/>
      <c r="AA1064" s="6"/>
      <c r="AB1064" s="7"/>
      <c r="AC1064" s="7"/>
    </row>
    <row r="1065">
      <c r="Q1065" s="15"/>
      <c r="S1065" s="6"/>
      <c r="AA1065" s="6"/>
      <c r="AB1065" s="7"/>
      <c r="AC1065" s="7"/>
    </row>
    <row r="1066">
      <c r="Q1066" s="15"/>
      <c r="S1066" s="6"/>
      <c r="AA1066" s="6"/>
      <c r="AB1066" s="7"/>
      <c r="AC1066" s="7"/>
    </row>
    <row r="1067">
      <c r="Q1067" s="15"/>
      <c r="S1067" s="6"/>
      <c r="AA1067" s="6"/>
      <c r="AB1067" s="7"/>
      <c r="AC1067" s="7"/>
    </row>
    <row r="1068">
      <c r="Q1068" s="15"/>
      <c r="S1068" s="6"/>
      <c r="AA1068" s="6"/>
      <c r="AB1068" s="7"/>
      <c r="AC1068" s="7"/>
    </row>
    <row r="1069">
      <c r="Q1069" s="15"/>
      <c r="S1069" s="6"/>
      <c r="AA1069" s="6"/>
      <c r="AB1069" s="7"/>
      <c r="AC1069" s="7"/>
    </row>
    <row r="1070">
      <c r="Q1070" s="15"/>
      <c r="S1070" s="6"/>
      <c r="AA1070" s="6"/>
      <c r="AB1070" s="7"/>
      <c r="AC1070" s="7"/>
    </row>
    <row r="1071">
      <c r="Q1071" s="15"/>
      <c r="S1071" s="6"/>
      <c r="AA1071" s="6"/>
      <c r="AB1071" s="7"/>
      <c r="AC1071" s="7"/>
    </row>
    <row r="1072">
      <c r="Q1072" s="15"/>
      <c r="S1072" s="6"/>
      <c r="AA1072" s="6"/>
      <c r="AB1072" s="7"/>
      <c r="AC1072" s="7"/>
    </row>
    <row r="1073">
      <c r="Q1073" s="15"/>
      <c r="S1073" s="6"/>
      <c r="AA1073" s="6"/>
      <c r="AB1073" s="7"/>
      <c r="AC1073" s="7"/>
    </row>
    <row r="1074">
      <c r="Q1074" s="15"/>
      <c r="S1074" s="6"/>
      <c r="AA1074" s="6"/>
      <c r="AB1074" s="7"/>
      <c r="AC1074" s="7"/>
    </row>
    <row r="1075">
      <c r="Q1075" s="15"/>
      <c r="S1075" s="6"/>
      <c r="AA1075" s="6"/>
      <c r="AB1075" s="7"/>
      <c r="AC1075" s="7"/>
    </row>
    <row r="1076">
      <c r="Q1076" s="15"/>
      <c r="S1076" s="6"/>
      <c r="AA1076" s="6"/>
      <c r="AB1076" s="7"/>
      <c r="AC1076" s="7"/>
    </row>
    <row r="1077">
      <c r="Q1077" s="15"/>
      <c r="S1077" s="6"/>
      <c r="AA1077" s="6"/>
      <c r="AB1077" s="7"/>
      <c r="AC1077" s="7"/>
    </row>
    <row r="1078">
      <c r="Q1078" s="15"/>
      <c r="S1078" s="6"/>
      <c r="AA1078" s="6"/>
      <c r="AB1078" s="7"/>
      <c r="AC1078" s="7"/>
    </row>
    <row r="1079">
      <c r="Q1079" s="15"/>
      <c r="S1079" s="6"/>
      <c r="AA1079" s="6"/>
      <c r="AB1079" s="7"/>
      <c r="AC1079" s="7"/>
    </row>
    <row r="1080">
      <c r="Q1080" s="15"/>
      <c r="S1080" s="6"/>
      <c r="AA1080" s="6"/>
      <c r="AB1080" s="7"/>
      <c r="AC1080" s="7"/>
    </row>
  </sheetData>
  <autoFilter ref="$A$1:$Z$79"/>
  <hyperlinks>
    <hyperlink r:id="rId1" ref="X21"/>
    <hyperlink r:id="rId2" ref="X22"/>
    <hyperlink r:id="rId3" ref="X23"/>
    <hyperlink r:id="rId4" ref="X24"/>
    <hyperlink r:id="rId5" ref="X25"/>
    <hyperlink r:id="rId6" ref="X26"/>
    <hyperlink r:id="rId7" ref="X27"/>
    <hyperlink r:id="rId8" ref="X28"/>
    <hyperlink r:id="rId9" ref="X29"/>
    <hyperlink r:id="rId10" ref="X30"/>
    <hyperlink r:id="rId11" ref="X31"/>
    <hyperlink r:id="rId12" ref="X32"/>
    <hyperlink r:id="rId13" ref="X33"/>
    <hyperlink r:id="rId14" ref="X40"/>
    <hyperlink r:id="rId15" ref="X41"/>
    <hyperlink r:id="rId16" ref="X42"/>
    <hyperlink r:id="rId17" ref="X43"/>
    <hyperlink r:id="rId18" ref="X44"/>
    <hyperlink r:id="rId19" ref="X45"/>
    <hyperlink r:id="rId20" ref="I46"/>
    <hyperlink r:id="rId21" ref="X46"/>
    <hyperlink r:id="rId22" ref="X47"/>
    <hyperlink r:id="rId23" ref="X48"/>
    <hyperlink r:id="rId24" ref="X51"/>
    <hyperlink r:id="rId25" ref="X52"/>
    <hyperlink r:id="rId26" ref="X53"/>
    <hyperlink r:id="rId27" ref="X54"/>
    <hyperlink r:id="rId28" ref="X55"/>
    <hyperlink r:id="rId29" ref="X56"/>
    <hyperlink r:id="rId30" ref="X57"/>
    <hyperlink r:id="rId31" ref="X58"/>
    <hyperlink r:id="rId32" ref="X59"/>
    <hyperlink r:id="rId33" ref="X60"/>
    <hyperlink r:id="rId34" ref="X61"/>
    <hyperlink r:id="rId35" ref="X62"/>
    <hyperlink r:id="rId36" ref="X63"/>
    <hyperlink r:id="rId37" ref="X64"/>
    <hyperlink r:id="rId38" ref="X65"/>
    <hyperlink r:id="rId39" ref="X66"/>
    <hyperlink r:id="rId40" ref="X67"/>
    <hyperlink r:id="rId41" ref="X68"/>
    <hyperlink r:id="rId42" ref="X69"/>
    <hyperlink r:id="rId43" ref="X70"/>
    <hyperlink r:id="rId44" ref="X71"/>
    <hyperlink r:id="rId45" ref="X72"/>
    <hyperlink r:id="rId46" ref="X73"/>
    <hyperlink r:id="rId47" ref="X75"/>
    <hyperlink r:id="rId48" ref="X76"/>
    <hyperlink r:id="rId49" ref="X77"/>
    <hyperlink r:id="rId50" ref="X78"/>
    <hyperlink r:id="rId51" ref="X79"/>
    <hyperlink r:id="rId52" ref="X80"/>
  </hyperlinks>
  <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361</v>
      </c>
      <c r="B1" s="1" t="s">
        <v>362</v>
      </c>
      <c r="C1" s="1" t="s">
        <v>363</v>
      </c>
      <c r="D1" s="1" t="s">
        <v>364</v>
      </c>
      <c r="E1" s="1" t="s">
        <v>17</v>
      </c>
      <c r="F1" s="1" t="s">
        <v>103</v>
      </c>
    </row>
    <row r="2">
      <c r="A2" s="3">
        <v>45992.0</v>
      </c>
      <c r="B2" s="1" t="s">
        <v>365</v>
      </c>
      <c r="C2" s="1" t="s">
        <v>366</v>
      </c>
      <c r="D2" s="1">
        <v>21283.0</v>
      </c>
      <c r="E2" s="1" t="s">
        <v>49</v>
      </c>
    </row>
    <row r="3">
      <c r="A3" s="3">
        <v>45992.0</v>
      </c>
      <c r="B3" s="1" t="s">
        <v>367</v>
      </c>
      <c r="C3" s="1" t="s">
        <v>368</v>
      </c>
      <c r="D3" s="1">
        <v>55200.0</v>
      </c>
      <c r="E3" s="1" t="s">
        <v>49</v>
      </c>
    </row>
    <row r="4">
      <c r="A4" s="3">
        <v>45992.0</v>
      </c>
      <c r="B4" s="1" t="s">
        <v>369</v>
      </c>
      <c r="C4" s="1" t="s">
        <v>370</v>
      </c>
      <c r="D4" s="1">
        <v>5200.0</v>
      </c>
      <c r="E4" s="1" t="s">
        <v>49</v>
      </c>
    </row>
    <row r="5">
      <c r="A5" s="3">
        <v>45992.0</v>
      </c>
      <c r="B5" s="1" t="s">
        <v>371</v>
      </c>
      <c r="C5" s="1" t="s">
        <v>372</v>
      </c>
      <c r="D5" s="1">
        <v>16000.0</v>
      </c>
    </row>
    <row r="6">
      <c r="A6" s="3">
        <v>45992.0</v>
      </c>
      <c r="B6" s="1" t="s">
        <v>371</v>
      </c>
      <c r="C6" s="1" t="s">
        <v>373</v>
      </c>
      <c r="D6" s="1">
        <v>6000.0</v>
      </c>
    </row>
    <row r="7">
      <c r="A7" s="3">
        <v>46037.0</v>
      </c>
      <c r="B7" s="1" t="s">
        <v>367</v>
      </c>
      <c r="D7" s="1">
        <v>5000.0</v>
      </c>
    </row>
    <row r="8">
      <c r="A8" s="3">
        <v>46037.0</v>
      </c>
      <c r="B8" s="1" t="s">
        <v>365</v>
      </c>
      <c r="D8" s="1">
        <v>1050.0</v>
      </c>
    </row>
    <row r="9">
      <c r="A9" s="3">
        <v>46037.0</v>
      </c>
      <c r="B9" s="1" t="s">
        <v>371</v>
      </c>
      <c r="C9" s="1" t="s">
        <v>374</v>
      </c>
      <c r="D9" s="1">
        <v>7000.0</v>
      </c>
    </row>
    <row r="10">
      <c r="A10" s="3">
        <v>46037.0</v>
      </c>
      <c r="B10" s="1" t="s">
        <v>371</v>
      </c>
      <c r="C10" s="1" t="s">
        <v>373</v>
      </c>
      <c r="D10" s="1">
        <v>500.0</v>
      </c>
    </row>
    <row r="11">
      <c r="A11" s="3">
        <v>46063.0</v>
      </c>
      <c r="B11" s="1" t="s">
        <v>365</v>
      </c>
      <c r="D11" s="1">
        <v>1865.0</v>
      </c>
    </row>
    <row r="12">
      <c r="A12" s="3">
        <v>46063.0</v>
      </c>
      <c r="B12" s="1" t="s">
        <v>367</v>
      </c>
      <c r="D12" s="1">
        <v>5000.0</v>
      </c>
    </row>
    <row r="13">
      <c r="A13" s="3">
        <v>46063.0</v>
      </c>
      <c r="B13" s="1" t="s">
        <v>371</v>
      </c>
      <c r="D13" s="1">
        <v>500.0</v>
      </c>
    </row>
    <row r="14">
      <c r="A14" s="3">
        <v>46063.0</v>
      </c>
      <c r="B14" s="1" t="s">
        <v>371</v>
      </c>
      <c r="D14" s="1">
        <v>7000.0</v>
      </c>
    </row>
    <row r="15">
      <c r="A15" s="3">
        <v>46083.0</v>
      </c>
      <c r="B15" s="1" t="s">
        <v>365</v>
      </c>
      <c r="D15" s="1">
        <v>7650.0</v>
      </c>
    </row>
    <row r="16">
      <c r="A16" s="3">
        <v>46083.0</v>
      </c>
      <c r="B16" s="1" t="s">
        <v>375</v>
      </c>
      <c r="C16" s="1" t="s">
        <v>376</v>
      </c>
      <c r="D16" s="1">
        <v>3000.0</v>
      </c>
    </row>
    <row r="17">
      <c r="A17" s="3">
        <v>46083.0</v>
      </c>
      <c r="B17" s="1" t="s">
        <v>371</v>
      </c>
      <c r="D17" s="1">
        <v>0.0</v>
      </c>
    </row>
    <row r="18">
      <c r="A18" s="3">
        <v>46083.0</v>
      </c>
      <c r="B18" s="1" t="s">
        <v>377</v>
      </c>
      <c r="C18" s="1" t="s">
        <v>378</v>
      </c>
      <c r="D18" s="1">
        <v>1000.0</v>
      </c>
    </row>
    <row r="19">
      <c r="A19" s="3">
        <v>46083.0</v>
      </c>
      <c r="B19" s="1" t="s">
        <v>379</v>
      </c>
      <c r="C19" s="1" t="s">
        <v>380</v>
      </c>
      <c r="D19" s="1">
        <v>1000.0</v>
      </c>
    </row>
    <row r="20">
      <c r="A20" s="6"/>
      <c r="B20" s="16"/>
    </row>
    <row r="21">
      <c r="A21" s="6"/>
      <c r="B21" s="16"/>
    </row>
    <row r="22">
      <c r="A22" s="6"/>
      <c r="B22" s="16"/>
    </row>
    <row r="23">
      <c r="A23" s="6"/>
      <c r="B23" s="16"/>
    </row>
    <row r="24">
      <c r="A24" s="6"/>
      <c r="B24" s="16"/>
    </row>
    <row r="25">
      <c r="A25" s="6"/>
      <c r="B25" s="16"/>
    </row>
    <row r="26">
      <c r="A26" s="6"/>
      <c r="B26" s="16"/>
    </row>
    <row r="27">
      <c r="A27" s="6"/>
      <c r="B27" s="16"/>
    </row>
    <row r="28">
      <c r="A28" s="6"/>
      <c r="B28" s="16"/>
    </row>
    <row r="29">
      <c r="A29" s="6"/>
      <c r="B29" s="16"/>
    </row>
    <row r="30">
      <c r="A30" s="6"/>
      <c r="B30" s="16"/>
    </row>
    <row r="31">
      <c r="A31" s="6"/>
      <c r="B31" s="16"/>
    </row>
    <row r="32">
      <c r="A32" s="6"/>
      <c r="B32" s="16"/>
    </row>
    <row r="33">
      <c r="A33" s="6"/>
      <c r="B33" s="16"/>
    </row>
    <row r="34">
      <c r="A34" s="6"/>
      <c r="B34" s="16"/>
    </row>
    <row r="35">
      <c r="A35" s="6"/>
      <c r="B35" s="16"/>
    </row>
    <row r="36">
      <c r="A36" s="6"/>
      <c r="B36" s="16"/>
    </row>
    <row r="37">
      <c r="A37" s="6"/>
      <c r="B37" s="16"/>
    </row>
    <row r="38">
      <c r="A38" s="6"/>
      <c r="B38" s="16"/>
    </row>
    <row r="39">
      <c r="A39" s="6"/>
      <c r="B39" s="16"/>
    </row>
    <row r="40">
      <c r="A40" s="6"/>
      <c r="B40" s="16"/>
    </row>
    <row r="41">
      <c r="A41" s="6"/>
      <c r="B41" s="16"/>
    </row>
    <row r="42">
      <c r="A42" s="6"/>
      <c r="B42" s="16"/>
    </row>
    <row r="43">
      <c r="A43" s="6"/>
      <c r="B43" s="16"/>
    </row>
    <row r="44">
      <c r="A44" s="6"/>
      <c r="B44" s="16"/>
    </row>
    <row r="45">
      <c r="A45" s="6"/>
      <c r="B45" s="16"/>
    </row>
    <row r="46">
      <c r="A46" s="6"/>
      <c r="B46" s="16"/>
    </row>
    <row r="47">
      <c r="A47" s="6"/>
      <c r="B47" s="16"/>
    </row>
    <row r="48">
      <c r="A48" s="6"/>
      <c r="B48" s="16"/>
    </row>
    <row r="49">
      <c r="A49" s="6"/>
      <c r="B49" s="16"/>
    </row>
    <row r="50">
      <c r="A50" s="6"/>
      <c r="B50" s="16"/>
    </row>
    <row r="51">
      <c r="A51" s="6"/>
      <c r="B51" s="16"/>
    </row>
    <row r="52">
      <c r="A52" s="6"/>
      <c r="B52" s="16"/>
    </row>
    <row r="53">
      <c r="A53" s="6"/>
      <c r="B53" s="16"/>
    </row>
    <row r="54">
      <c r="A54" s="6"/>
      <c r="B54" s="16"/>
    </row>
    <row r="55">
      <c r="A55" s="6"/>
      <c r="B55" s="16"/>
    </row>
    <row r="56">
      <c r="A56" s="6"/>
      <c r="B56" s="16"/>
    </row>
    <row r="57">
      <c r="A57" s="6"/>
      <c r="B57" s="16"/>
    </row>
    <row r="58">
      <c r="A58" s="6"/>
      <c r="B58" s="16"/>
    </row>
    <row r="59">
      <c r="A59" s="6"/>
      <c r="B59" s="16"/>
    </row>
    <row r="60">
      <c r="A60" s="6"/>
      <c r="B60" s="16"/>
    </row>
    <row r="61">
      <c r="A61" s="6"/>
      <c r="B61" s="16"/>
    </row>
    <row r="62">
      <c r="A62" s="6"/>
      <c r="B62" s="16"/>
    </row>
    <row r="63">
      <c r="A63" s="6"/>
      <c r="B63" s="16"/>
    </row>
    <row r="64">
      <c r="A64" s="6"/>
      <c r="B64" s="16"/>
    </row>
    <row r="65">
      <c r="A65" s="6"/>
      <c r="B65" s="16"/>
    </row>
    <row r="66">
      <c r="A66" s="6"/>
      <c r="B66" s="16"/>
    </row>
    <row r="67">
      <c r="A67" s="6"/>
      <c r="B67" s="16"/>
    </row>
    <row r="68">
      <c r="A68" s="6"/>
      <c r="B68" s="16"/>
    </row>
    <row r="69">
      <c r="A69" s="6"/>
      <c r="B69" s="16"/>
    </row>
    <row r="70">
      <c r="A70" s="6"/>
      <c r="B70" s="16"/>
    </row>
    <row r="71">
      <c r="A71" s="6"/>
      <c r="B71" s="16"/>
    </row>
    <row r="72">
      <c r="A72" s="6"/>
      <c r="B72" s="16"/>
    </row>
    <row r="73">
      <c r="A73" s="6"/>
      <c r="B73" s="16"/>
    </row>
    <row r="74">
      <c r="A74" s="6"/>
      <c r="B74" s="16"/>
    </row>
    <row r="75">
      <c r="A75" s="6"/>
      <c r="B75" s="16"/>
    </row>
    <row r="76">
      <c r="A76" s="6"/>
      <c r="B76" s="16"/>
    </row>
    <row r="77">
      <c r="A77" s="6"/>
      <c r="B77" s="16"/>
    </row>
    <row r="78">
      <c r="A78" s="6"/>
      <c r="B78" s="16"/>
    </row>
    <row r="79">
      <c r="A79" s="6"/>
      <c r="B79" s="16"/>
    </row>
    <row r="80">
      <c r="A80" s="6"/>
      <c r="B80" s="16"/>
    </row>
    <row r="81">
      <c r="A81" s="6"/>
      <c r="B81" s="16"/>
    </row>
    <row r="82">
      <c r="A82" s="6"/>
      <c r="B82" s="16"/>
    </row>
    <row r="83">
      <c r="A83" s="6"/>
      <c r="B83" s="16"/>
    </row>
    <row r="84">
      <c r="A84" s="6"/>
      <c r="B84" s="16"/>
    </row>
    <row r="85">
      <c r="A85" s="6"/>
      <c r="B85" s="16"/>
    </row>
    <row r="86">
      <c r="A86" s="6"/>
      <c r="B86" s="16"/>
    </row>
    <row r="87">
      <c r="A87" s="6"/>
      <c r="B87" s="16"/>
    </row>
    <row r="88">
      <c r="A88" s="6"/>
      <c r="B88" s="16"/>
    </row>
    <row r="89">
      <c r="A89" s="6"/>
      <c r="B89" s="16"/>
    </row>
    <row r="90">
      <c r="A90" s="6"/>
      <c r="B90" s="16"/>
    </row>
    <row r="91">
      <c r="A91" s="6"/>
      <c r="B91" s="16"/>
    </row>
    <row r="92">
      <c r="A92" s="6"/>
      <c r="B92" s="16"/>
    </row>
    <row r="93">
      <c r="A93" s="6"/>
      <c r="B93" s="16"/>
    </row>
    <row r="94">
      <c r="A94" s="6"/>
      <c r="B94" s="16"/>
    </row>
    <row r="95">
      <c r="A95" s="6"/>
      <c r="B95" s="16"/>
    </row>
    <row r="96">
      <c r="A96" s="6"/>
      <c r="B96" s="16"/>
    </row>
    <row r="97">
      <c r="A97" s="6"/>
      <c r="B97" s="16"/>
    </row>
    <row r="98">
      <c r="A98" s="6"/>
      <c r="B98" s="16"/>
    </row>
    <row r="99">
      <c r="A99" s="6"/>
      <c r="B99" s="16"/>
    </row>
    <row r="100">
      <c r="A100" s="6"/>
      <c r="B100" s="16"/>
    </row>
    <row r="101">
      <c r="A101" s="6"/>
      <c r="B101" s="16"/>
    </row>
    <row r="102">
      <c r="A102" s="6"/>
      <c r="B102" s="16"/>
    </row>
    <row r="103">
      <c r="A103" s="6"/>
      <c r="B103" s="16"/>
    </row>
    <row r="104">
      <c r="A104" s="6"/>
      <c r="B104" s="16"/>
    </row>
    <row r="105">
      <c r="A105" s="6"/>
      <c r="B105" s="16"/>
    </row>
    <row r="106">
      <c r="A106" s="6"/>
      <c r="B106" s="16"/>
    </row>
    <row r="107">
      <c r="A107" s="6"/>
      <c r="B107" s="16"/>
    </row>
    <row r="108">
      <c r="A108" s="6"/>
      <c r="B108" s="16"/>
    </row>
    <row r="109">
      <c r="A109" s="6"/>
      <c r="B109" s="16"/>
    </row>
    <row r="110">
      <c r="A110" s="6"/>
      <c r="B110" s="16"/>
    </row>
    <row r="111">
      <c r="A111" s="6"/>
      <c r="B111" s="16"/>
    </row>
    <row r="112">
      <c r="A112" s="6"/>
      <c r="B112" s="16"/>
    </row>
    <row r="113">
      <c r="A113" s="6"/>
      <c r="B113" s="16"/>
    </row>
    <row r="114">
      <c r="A114" s="6"/>
      <c r="B114" s="16"/>
    </row>
    <row r="115">
      <c r="A115" s="6"/>
      <c r="B115" s="16"/>
    </row>
    <row r="116">
      <c r="A116" s="6"/>
      <c r="B116" s="16"/>
    </row>
    <row r="117">
      <c r="A117" s="6"/>
      <c r="B117" s="16"/>
    </row>
    <row r="118">
      <c r="A118" s="6"/>
      <c r="B118" s="16"/>
    </row>
    <row r="119">
      <c r="A119" s="6"/>
      <c r="B119" s="16"/>
    </row>
    <row r="120">
      <c r="A120" s="6"/>
      <c r="B120" s="16"/>
    </row>
    <row r="121">
      <c r="A121" s="6"/>
      <c r="B121" s="16"/>
    </row>
    <row r="122">
      <c r="A122" s="6"/>
      <c r="B122" s="16"/>
    </row>
    <row r="123">
      <c r="A123" s="6"/>
      <c r="B123" s="16"/>
    </row>
    <row r="124">
      <c r="A124" s="6"/>
      <c r="B124" s="16"/>
    </row>
    <row r="125">
      <c r="A125" s="6"/>
      <c r="B125" s="16"/>
    </row>
    <row r="126">
      <c r="A126" s="6"/>
      <c r="B126" s="16"/>
    </row>
    <row r="127">
      <c r="A127" s="6"/>
      <c r="B127" s="16"/>
    </row>
    <row r="128">
      <c r="A128" s="6"/>
      <c r="B128" s="16"/>
    </row>
    <row r="129">
      <c r="A129" s="6"/>
      <c r="B129" s="16"/>
    </row>
    <row r="130">
      <c r="A130" s="6"/>
      <c r="B130" s="16"/>
    </row>
    <row r="131">
      <c r="A131" s="6"/>
      <c r="B131" s="16"/>
    </row>
    <row r="132">
      <c r="A132" s="6"/>
      <c r="B132" s="16"/>
    </row>
    <row r="133">
      <c r="A133" s="6"/>
      <c r="B133" s="16"/>
    </row>
    <row r="134">
      <c r="A134" s="6"/>
      <c r="B134" s="16"/>
    </row>
    <row r="135">
      <c r="A135" s="6"/>
      <c r="B135" s="16"/>
    </row>
    <row r="136">
      <c r="A136" s="6"/>
      <c r="B136" s="16"/>
    </row>
    <row r="137">
      <c r="A137" s="6"/>
      <c r="B137" s="16"/>
    </row>
    <row r="138">
      <c r="A138" s="6"/>
      <c r="B138" s="16"/>
    </row>
    <row r="139">
      <c r="A139" s="6"/>
      <c r="B139" s="16"/>
    </row>
    <row r="140">
      <c r="A140" s="6"/>
      <c r="B140" s="16"/>
    </row>
    <row r="141">
      <c r="A141" s="6"/>
      <c r="B141" s="16"/>
    </row>
    <row r="142">
      <c r="A142" s="6"/>
      <c r="B142" s="16"/>
    </row>
    <row r="143">
      <c r="A143" s="6"/>
      <c r="B143" s="16"/>
    </row>
    <row r="144">
      <c r="A144" s="6"/>
      <c r="B144" s="16"/>
    </row>
    <row r="145">
      <c r="A145" s="6"/>
      <c r="B145" s="16"/>
    </row>
    <row r="146">
      <c r="A146" s="6"/>
      <c r="B146" s="16"/>
    </row>
    <row r="147">
      <c r="A147" s="6"/>
      <c r="B147" s="16"/>
    </row>
    <row r="148">
      <c r="A148" s="6"/>
      <c r="B148" s="16"/>
    </row>
    <row r="149">
      <c r="A149" s="6"/>
      <c r="B149" s="16"/>
    </row>
    <row r="150">
      <c r="A150" s="6"/>
      <c r="B150" s="16"/>
    </row>
    <row r="151">
      <c r="A151" s="6"/>
      <c r="B151" s="16"/>
    </row>
    <row r="152">
      <c r="A152" s="6"/>
      <c r="B152" s="16"/>
    </row>
    <row r="153">
      <c r="A153" s="6"/>
      <c r="B153" s="16"/>
    </row>
    <row r="154">
      <c r="A154" s="6"/>
      <c r="B154" s="16"/>
    </row>
    <row r="155">
      <c r="A155" s="6"/>
      <c r="B155" s="16"/>
    </row>
    <row r="156">
      <c r="A156" s="6"/>
      <c r="B156" s="16"/>
    </row>
    <row r="157">
      <c r="A157" s="6"/>
      <c r="B157" s="16"/>
    </row>
    <row r="158">
      <c r="A158" s="6"/>
      <c r="B158" s="16"/>
    </row>
    <row r="159">
      <c r="A159" s="6"/>
      <c r="B159" s="16"/>
    </row>
    <row r="160">
      <c r="A160" s="6"/>
      <c r="B160" s="16"/>
    </row>
    <row r="161">
      <c r="A161" s="6"/>
      <c r="B161" s="16"/>
    </row>
    <row r="162">
      <c r="A162" s="6"/>
      <c r="B162" s="16"/>
    </row>
    <row r="163">
      <c r="A163" s="6"/>
      <c r="B163" s="16"/>
    </row>
    <row r="164">
      <c r="A164" s="6"/>
      <c r="B164" s="16"/>
    </row>
    <row r="165">
      <c r="A165" s="6"/>
      <c r="B165" s="16"/>
    </row>
    <row r="166">
      <c r="A166" s="6"/>
      <c r="B166" s="16"/>
    </row>
    <row r="167">
      <c r="A167" s="6"/>
      <c r="B167" s="16"/>
    </row>
    <row r="168">
      <c r="A168" s="6"/>
      <c r="B168" s="16"/>
    </row>
    <row r="169">
      <c r="A169" s="6"/>
      <c r="B169" s="16"/>
    </row>
    <row r="170">
      <c r="A170" s="6"/>
      <c r="B170" s="16"/>
    </row>
    <row r="171">
      <c r="A171" s="6"/>
      <c r="B171" s="16"/>
    </row>
    <row r="172">
      <c r="A172" s="6"/>
      <c r="B172" s="16"/>
    </row>
    <row r="173">
      <c r="A173" s="6"/>
      <c r="B173" s="16"/>
    </row>
    <row r="174">
      <c r="A174" s="6"/>
      <c r="B174" s="16"/>
    </row>
    <row r="175">
      <c r="A175" s="6"/>
      <c r="B175" s="16"/>
    </row>
    <row r="176">
      <c r="A176" s="6"/>
      <c r="B176" s="16"/>
    </row>
    <row r="177">
      <c r="A177" s="6"/>
      <c r="B177" s="16"/>
    </row>
    <row r="178">
      <c r="A178" s="6"/>
      <c r="B178" s="16"/>
    </row>
    <row r="179">
      <c r="A179" s="6"/>
      <c r="B179" s="16"/>
    </row>
    <row r="180">
      <c r="A180" s="6"/>
      <c r="B180" s="16"/>
    </row>
    <row r="181">
      <c r="A181" s="6"/>
      <c r="B181" s="16"/>
    </row>
    <row r="182">
      <c r="A182" s="6"/>
      <c r="B182" s="16"/>
    </row>
    <row r="183">
      <c r="A183" s="6"/>
      <c r="B183" s="16"/>
    </row>
    <row r="184">
      <c r="A184" s="6"/>
      <c r="B184" s="16"/>
    </row>
    <row r="185">
      <c r="A185" s="6"/>
      <c r="B185" s="16"/>
    </row>
    <row r="186">
      <c r="A186" s="6"/>
      <c r="B186" s="16"/>
    </row>
    <row r="187">
      <c r="A187" s="6"/>
      <c r="B187" s="16"/>
    </row>
    <row r="188">
      <c r="A188" s="6"/>
      <c r="B188" s="16"/>
    </row>
    <row r="189">
      <c r="A189" s="6"/>
      <c r="B189" s="16"/>
    </row>
    <row r="190">
      <c r="A190" s="6"/>
      <c r="B190" s="16"/>
    </row>
    <row r="191">
      <c r="A191" s="6"/>
      <c r="B191" s="16"/>
    </row>
    <row r="192">
      <c r="A192" s="6"/>
      <c r="B192" s="16"/>
    </row>
    <row r="193">
      <c r="A193" s="6"/>
      <c r="B193" s="16"/>
    </row>
    <row r="194">
      <c r="A194" s="6"/>
      <c r="B194" s="16"/>
    </row>
    <row r="195">
      <c r="A195" s="6"/>
      <c r="B195" s="16"/>
    </row>
    <row r="196">
      <c r="A196" s="6"/>
      <c r="B196" s="16"/>
    </row>
    <row r="197">
      <c r="A197" s="6"/>
      <c r="B197" s="16"/>
    </row>
    <row r="198">
      <c r="A198" s="6"/>
      <c r="B198" s="16"/>
    </row>
    <row r="199">
      <c r="A199" s="6"/>
      <c r="B199" s="16"/>
    </row>
    <row r="200">
      <c r="A200" s="6"/>
      <c r="B200" s="16"/>
    </row>
    <row r="201">
      <c r="A201" s="6"/>
      <c r="B201" s="16"/>
    </row>
    <row r="202">
      <c r="A202" s="6"/>
      <c r="B202" s="16"/>
    </row>
    <row r="203">
      <c r="A203" s="6"/>
      <c r="B203" s="16"/>
    </row>
    <row r="204">
      <c r="A204" s="6"/>
      <c r="B204" s="16"/>
    </row>
    <row r="205">
      <c r="A205" s="6"/>
      <c r="B205" s="16"/>
    </row>
    <row r="206">
      <c r="A206" s="6"/>
      <c r="B206" s="16"/>
    </row>
    <row r="207">
      <c r="A207" s="6"/>
      <c r="B207" s="16"/>
    </row>
    <row r="208">
      <c r="A208" s="6"/>
      <c r="B208" s="16"/>
    </row>
    <row r="209">
      <c r="A209" s="6"/>
      <c r="B209" s="16"/>
    </row>
    <row r="210">
      <c r="A210" s="6"/>
      <c r="B210" s="16"/>
    </row>
    <row r="211">
      <c r="A211" s="6"/>
      <c r="B211" s="16"/>
    </row>
    <row r="212">
      <c r="A212" s="6"/>
      <c r="B212" s="16"/>
    </row>
    <row r="213">
      <c r="A213" s="6"/>
      <c r="B213" s="16"/>
    </row>
    <row r="214">
      <c r="A214" s="6"/>
      <c r="B214" s="16"/>
    </row>
    <row r="215">
      <c r="A215" s="6"/>
      <c r="B215" s="16"/>
    </row>
    <row r="216">
      <c r="A216" s="6"/>
      <c r="B216" s="16"/>
    </row>
    <row r="217">
      <c r="A217" s="6"/>
      <c r="B217" s="16"/>
    </row>
    <row r="218">
      <c r="A218" s="6"/>
      <c r="B218" s="16"/>
    </row>
    <row r="219">
      <c r="A219" s="6"/>
      <c r="B219" s="16"/>
    </row>
    <row r="220">
      <c r="A220" s="6"/>
      <c r="B220" s="16"/>
    </row>
    <row r="221">
      <c r="A221" s="6"/>
      <c r="B221" s="16"/>
    </row>
    <row r="222">
      <c r="A222" s="6"/>
      <c r="B222" s="16"/>
    </row>
    <row r="223">
      <c r="A223" s="6"/>
      <c r="B223" s="16"/>
    </row>
    <row r="224">
      <c r="A224" s="6"/>
      <c r="B224" s="16"/>
    </row>
    <row r="225">
      <c r="A225" s="6"/>
      <c r="B225" s="16"/>
    </row>
    <row r="226">
      <c r="A226" s="6"/>
      <c r="B226" s="16"/>
    </row>
    <row r="227">
      <c r="A227" s="6"/>
      <c r="B227" s="16"/>
    </row>
    <row r="228">
      <c r="A228" s="6"/>
      <c r="B228" s="16"/>
    </row>
    <row r="229">
      <c r="A229" s="6"/>
      <c r="B229" s="16"/>
    </row>
    <row r="230">
      <c r="A230" s="6"/>
      <c r="B230" s="16"/>
    </row>
    <row r="231">
      <c r="A231" s="6"/>
      <c r="B231" s="16"/>
    </row>
    <row r="232">
      <c r="A232" s="6"/>
      <c r="B232" s="16"/>
    </row>
    <row r="233">
      <c r="A233" s="6"/>
      <c r="B233" s="16"/>
    </row>
    <row r="234">
      <c r="A234" s="6"/>
      <c r="B234" s="16"/>
    </row>
    <row r="235">
      <c r="A235" s="6"/>
      <c r="B235" s="16"/>
    </row>
    <row r="236">
      <c r="A236" s="6"/>
      <c r="B236" s="16"/>
    </row>
    <row r="237">
      <c r="A237" s="6"/>
      <c r="B237" s="16"/>
    </row>
    <row r="238">
      <c r="A238" s="6"/>
      <c r="B238" s="16"/>
    </row>
    <row r="239">
      <c r="A239" s="6"/>
      <c r="B239" s="16"/>
    </row>
    <row r="240">
      <c r="A240" s="6"/>
      <c r="B240" s="16"/>
    </row>
    <row r="241">
      <c r="A241" s="6"/>
      <c r="B241" s="16"/>
    </row>
    <row r="242">
      <c r="A242" s="6"/>
      <c r="B242" s="16"/>
    </row>
    <row r="243">
      <c r="A243" s="6"/>
      <c r="B243" s="16"/>
    </row>
    <row r="244">
      <c r="A244" s="6"/>
      <c r="B244" s="16"/>
    </row>
    <row r="245">
      <c r="A245" s="6"/>
      <c r="B245" s="16"/>
    </row>
    <row r="246">
      <c r="A246" s="6"/>
      <c r="B246" s="16"/>
    </row>
    <row r="247">
      <c r="A247" s="6"/>
      <c r="B247" s="16"/>
    </row>
    <row r="248">
      <c r="A248" s="6"/>
      <c r="B248" s="16"/>
    </row>
    <row r="249">
      <c r="A249" s="6"/>
      <c r="B249" s="16"/>
    </row>
    <row r="250">
      <c r="A250" s="6"/>
      <c r="B250" s="16"/>
    </row>
    <row r="251">
      <c r="A251" s="6"/>
      <c r="B251" s="16"/>
    </row>
    <row r="252">
      <c r="A252" s="6"/>
      <c r="B252" s="16"/>
    </row>
    <row r="253">
      <c r="A253" s="6"/>
      <c r="B253" s="16"/>
    </row>
    <row r="254">
      <c r="A254" s="6"/>
      <c r="B254" s="16"/>
    </row>
    <row r="255">
      <c r="A255" s="6"/>
      <c r="B255" s="16"/>
    </row>
    <row r="256">
      <c r="A256" s="6"/>
      <c r="B256" s="16"/>
    </row>
    <row r="257">
      <c r="A257" s="6"/>
      <c r="B257" s="16"/>
    </row>
    <row r="258">
      <c r="A258" s="6"/>
      <c r="B258" s="16"/>
    </row>
    <row r="259">
      <c r="A259" s="6"/>
      <c r="B259" s="16"/>
    </row>
    <row r="260">
      <c r="A260" s="6"/>
      <c r="B260" s="16"/>
    </row>
    <row r="261">
      <c r="A261" s="6"/>
      <c r="B261" s="16"/>
    </row>
    <row r="262">
      <c r="A262" s="6"/>
      <c r="B262" s="16"/>
    </row>
    <row r="263">
      <c r="A263" s="6"/>
      <c r="B263" s="16"/>
    </row>
    <row r="264">
      <c r="A264" s="6"/>
      <c r="B264" s="16"/>
    </row>
    <row r="265">
      <c r="A265" s="6"/>
      <c r="B265" s="16"/>
    </row>
    <row r="266">
      <c r="A266" s="6"/>
      <c r="B266" s="16"/>
    </row>
    <row r="267">
      <c r="A267" s="6"/>
      <c r="B267" s="16"/>
    </row>
    <row r="268">
      <c r="A268" s="6"/>
      <c r="B268" s="16"/>
    </row>
    <row r="269">
      <c r="A269" s="6"/>
      <c r="B269" s="16"/>
    </row>
    <row r="270">
      <c r="A270" s="6"/>
      <c r="B270" s="16"/>
    </row>
    <row r="271">
      <c r="A271" s="6"/>
      <c r="B271" s="16"/>
    </row>
    <row r="272">
      <c r="A272" s="6"/>
      <c r="B272" s="16"/>
    </row>
    <row r="273">
      <c r="A273" s="6"/>
      <c r="B273" s="16"/>
    </row>
    <row r="274">
      <c r="A274" s="6"/>
      <c r="B274" s="16"/>
    </row>
    <row r="275">
      <c r="A275" s="6"/>
      <c r="B275" s="16"/>
    </row>
    <row r="276">
      <c r="A276" s="6"/>
      <c r="B276" s="16"/>
    </row>
    <row r="277">
      <c r="A277" s="6"/>
      <c r="B277" s="16"/>
    </row>
    <row r="278">
      <c r="A278" s="6"/>
      <c r="B278" s="16"/>
    </row>
    <row r="279">
      <c r="A279" s="6"/>
      <c r="B279" s="16"/>
    </row>
    <row r="280">
      <c r="A280" s="6"/>
      <c r="B280" s="16"/>
    </row>
    <row r="281">
      <c r="A281" s="6"/>
      <c r="B281" s="16"/>
    </row>
    <row r="282">
      <c r="A282" s="6"/>
      <c r="B282" s="16"/>
    </row>
    <row r="283">
      <c r="A283" s="6"/>
      <c r="B283" s="16"/>
    </row>
    <row r="284">
      <c r="A284" s="6"/>
      <c r="B284" s="16"/>
    </row>
    <row r="285">
      <c r="A285" s="6"/>
      <c r="B285" s="16"/>
    </row>
    <row r="286">
      <c r="A286" s="6"/>
      <c r="B286" s="16"/>
    </row>
    <row r="287">
      <c r="A287" s="6"/>
      <c r="B287" s="16"/>
    </row>
    <row r="288">
      <c r="A288" s="6"/>
      <c r="B288" s="16"/>
    </row>
    <row r="289">
      <c r="A289" s="6"/>
      <c r="B289" s="16"/>
    </row>
    <row r="290">
      <c r="A290" s="6"/>
      <c r="B290" s="16"/>
    </row>
    <row r="291">
      <c r="A291" s="6"/>
      <c r="B291" s="16"/>
    </row>
    <row r="292">
      <c r="A292" s="6"/>
      <c r="B292" s="16"/>
    </row>
    <row r="293">
      <c r="A293" s="6"/>
      <c r="B293" s="16"/>
    </row>
    <row r="294">
      <c r="A294" s="6"/>
      <c r="B294" s="16"/>
    </row>
    <row r="295">
      <c r="A295" s="6"/>
      <c r="B295" s="16"/>
    </row>
    <row r="296">
      <c r="A296" s="6"/>
      <c r="B296" s="16"/>
    </row>
    <row r="297">
      <c r="A297" s="6"/>
      <c r="B297" s="16"/>
    </row>
    <row r="298">
      <c r="A298" s="6"/>
      <c r="B298" s="16"/>
    </row>
    <row r="299">
      <c r="A299" s="6"/>
      <c r="B299" s="16"/>
    </row>
    <row r="300">
      <c r="A300" s="6"/>
      <c r="B300" s="16"/>
    </row>
    <row r="301">
      <c r="A301" s="6"/>
      <c r="B301" s="16"/>
    </row>
    <row r="302">
      <c r="A302" s="6"/>
      <c r="B302" s="16"/>
    </row>
    <row r="303">
      <c r="A303" s="6"/>
      <c r="B303" s="16"/>
    </row>
    <row r="304">
      <c r="A304" s="6"/>
      <c r="B304" s="16"/>
    </row>
    <row r="305">
      <c r="A305" s="6"/>
      <c r="B305" s="16"/>
    </row>
    <row r="306">
      <c r="A306" s="6"/>
      <c r="B306" s="16"/>
    </row>
    <row r="307">
      <c r="A307" s="6"/>
      <c r="B307" s="16"/>
    </row>
    <row r="308">
      <c r="A308" s="6"/>
      <c r="B308" s="16"/>
    </row>
    <row r="309">
      <c r="A309" s="6"/>
      <c r="B309" s="16"/>
    </row>
    <row r="310">
      <c r="A310" s="6"/>
      <c r="B310" s="16"/>
    </row>
    <row r="311">
      <c r="A311" s="6"/>
      <c r="B311" s="16"/>
    </row>
    <row r="312">
      <c r="A312" s="6"/>
      <c r="B312" s="16"/>
    </row>
    <row r="313">
      <c r="A313" s="6"/>
      <c r="B313" s="16"/>
    </row>
    <row r="314">
      <c r="A314" s="6"/>
      <c r="B314" s="16"/>
    </row>
    <row r="315">
      <c r="A315" s="6"/>
      <c r="B315" s="16"/>
    </row>
    <row r="316">
      <c r="A316" s="6"/>
      <c r="B316" s="16"/>
    </row>
    <row r="317">
      <c r="A317" s="6"/>
      <c r="B317" s="16"/>
    </row>
    <row r="318">
      <c r="A318" s="6"/>
      <c r="B318" s="16"/>
    </row>
    <row r="319">
      <c r="A319" s="6"/>
      <c r="B319" s="16"/>
    </row>
    <row r="320">
      <c r="A320" s="6"/>
      <c r="B320" s="16"/>
    </row>
    <row r="321">
      <c r="A321" s="6"/>
      <c r="B321" s="16"/>
    </row>
    <row r="322">
      <c r="A322" s="6"/>
      <c r="B322" s="16"/>
    </row>
    <row r="323">
      <c r="A323" s="6"/>
      <c r="B323" s="16"/>
    </row>
    <row r="324">
      <c r="A324" s="6"/>
      <c r="B324" s="16"/>
    </row>
    <row r="325">
      <c r="A325" s="6"/>
      <c r="B325" s="16"/>
    </row>
    <row r="326">
      <c r="A326" s="6"/>
      <c r="B326" s="16"/>
    </row>
    <row r="327">
      <c r="A327" s="6"/>
      <c r="B327" s="16"/>
    </row>
    <row r="328">
      <c r="A328" s="6"/>
      <c r="B328" s="16"/>
    </row>
    <row r="329">
      <c r="A329" s="6"/>
      <c r="B329" s="16"/>
    </row>
    <row r="330">
      <c r="A330" s="6"/>
      <c r="B330" s="16"/>
    </row>
    <row r="331">
      <c r="A331" s="6"/>
      <c r="B331" s="16"/>
    </row>
    <row r="332">
      <c r="A332" s="6"/>
      <c r="B332" s="16"/>
    </row>
    <row r="333">
      <c r="A333" s="6"/>
      <c r="B333" s="16"/>
    </row>
    <row r="334">
      <c r="A334" s="6"/>
      <c r="B334" s="16"/>
    </row>
    <row r="335">
      <c r="A335" s="6"/>
      <c r="B335" s="16"/>
    </row>
    <row r="336">
      <c r="A336" s="6"/>
      <c r="B336" s="16"/>
    </row>
    <row r="337">
      <c r="A337" s="6"/>
      <c r="B337" s="16"/>
    </row>
    <row r="338">
      <c r="A338" s="6"/>
      <c r="B338" s="16"/>
    </row>
    <row r="339">
      <c r="A339" s="6"/>
      <c r="B339" s="16"/>
    </row>
    <row r="340">
      <c r="A340" s="6"/>
      <c r="B340" s="16"/>
    </row>
    <row r="341">
      <c r="A341" s="6"/>
      <c r="B341" s="16"/>
    </row>
    <row r="342">
      <c r="A342" s="6"/>
      <c r="B342" s="16"/>
    </row>
    <row r="343">
      <c r="A343" s="6"/>
      <c r="B343" s="16"/>
    </row>
    <row r="344">
      <c r="A344" s="6"/>
      <c r="B344" s="16"/>
    </row>
    <row r="345">
      <c r="A345" s="6"/>
      <c r="B345" s="16"/>
    </row>
    <row r="346">
      <c r="A346" s="6"/>
      <c r="B346" s="16"/>
    </row>
    <row r="347">
      <c r="A347" s="6"/>
      <c r="B347" s="16"/>
    </row>
    <row r="348">
      <c r="A348" s="6"/>
      <c r="B348" s="16"/>
    </row>
    <row r="349">
      <c r="A349" s="6"/>
      <c r="B349" s="16"/>
    </row>
    <row r="350">
      <c r="A350" s="6"/>
      <c r="B350" s="16"/>
    </row>
    <row r="351">
      <c r="A351" s="6"/>
      <c r="B351" s="16"/>
    </row>
    <row r="352">
      <c r="A352" s="6"/>
      <c r="B352" s="16"/>
    </row>
    <row r="353">
      <c r="A353" s="6"/>
      <c r="B353" s="16"/>
    </row>
    <row r="354">
      <c r="A354" s="6"/>
      <c r="B354" s="16"/>
    </row>
    <row r="355">
      <c r="A355" s="6"/>
      <c r="B355" s="16"/>
    </row>
    <row r="356">
      <c r="A356" s="6"/>
      <c r="B356" s="16"/>
    </row>
    <row r="357">
      <c r="A357" s="6"/>
      <c r="B357" s="16"/>
    </row>
    <row r="358">
      <c r="A358" s="6"/>
      <c r="B358" s="16"/>
    </row>
    <row r="359">
      <c r="A359" s="6"/>
      <c r="B359" s="16"/>
    </row>
    <row r="360">
      <c r="A360" s="6"/>
      <c r="B360" s="16"/>
    </row>
    <row r="361">
      <c r="A361" s="6"/>
      <c r="B361" s="16"/>
    </row>
    <row r="362">
      <c r="A362" s="6"/>
      <c r="B362" s="16"/>
    </row>
    <row r="363">
      <c r="A363" s="6"/>
      <c r="B363" s="16"/>
    </row>
    <row r="364">
      <c r="A364" s="6"/>
      <c r="B364" s="16"/>
    </row>
    <row r="365">
      <c r="A365" s="6"/>
      <c r="B365" s="16"/>
    </row>
    <row r="366">
      <c r="A366" s="6"/>
      <c r="B366" s="16"/>
    </row>
    <row r="367">
      <c r="A367" s="6"/>
      <c r="B367" s="16"/>
    </row>
    <row r="368">
      <c r="A368" s="6"/>
      <c r="B368" s="16"/>
    </row>
    <row r="369">
      <c r="A369" s="6"/>
      <c r="B369" s="16"/>
    </row>
    <row r="370">
      <c r="A370" s="6"/>
      <c r="B370" s="16"/>
    </row>
    <row r="371">
      <c r="A371" s="6"/>
      <c r="B371" s="16"/>
    </row>
    <row r="372">
      <c r="A372" s="6"/>
      <c r="B372" s="16"/>
    </row>
    <row r="373">
      <c r="A373" s="6"/>
      <c r="B373" s="16"/>
    </row>
    <row r="374">
      <c r="A374" s="6"/>
      <c r="B374" s="16"/>
    </row>
    <row r="375">
      <c r="A375" s="6"/>
      <c r="B375" s="16"/>
    </row>
    <row r="376">
      <c r="A376" s="6"/>
      <c r="B376" s="16"/>
    </row>
    <row r="377">
      <c r="A377" s="6"/>
      <c r="B377" s="16"/>
    </row>
    <row r="378">
      <c r="A378" s="6"/>
      <c r="B378" s="16"/>
    </row>
    <row r="379">
      <c r="A379" s="6"/>
      <c r="B379" s="16"/>
    </row>
    <row r="380">
      <c r="A380" s="6"/>
      <c r="B380" s="16"/>
    </row>
    <row r="381">
      <c r="A381" s="6"/>
      <c r="B381" s="16"/>
    </row>
    <row r="382">
      <c r="A382" s="6"/>
      <c r="B382" s="16"/>
    </row>
    <row r="383">
      <c r="A383" s="6"/>
      <c r="B383" s="16"/>
    </row>
    <row r="384">
      <c r="A384" s="6"/>
      <c r="B384" s="16"/>
    </row>
    <row r="385">
      <c r="A385" s="6"/>
      <c r="B385" s="16"/>
    </row>
    <row r="386">
      <c r="A386" s="6"/>
      <c r="B386" s="16"/>
    </row>
    <row r="387">
      <c r="A387" s="6"/>
      <c r="B387" s="16"/>
    </row>
    <row r="388">
      <c r="A388" s="6"/>
      <c r="B388" s="16"/>
    </row>
    <row r="389">
      <c r="A389" s="6"/>
      <c r="B389" s="16"/>
    </row>
    <row r="390">
      <c r="A390" s="6"/>
      <c r="B390" s="16"/>
    </row>
    <row r="391">
      <c r="A391" s="6"/>
      <c r="B391" s="16"/>
    </row>
    <row r="392">
      <c r="A392" s="6"/>
      <c r="B392" s="16"/>
    </row>
    <row r="393">
      <c r="A393" s="6"/>
      <c r="B393" s="16"/>
    </row>
    <row r="394">
      <c r="A394" s="6"/>
      <c r="B394" s="16"/>
    </row>
    <row r="395">
      <c r="A395" s="6"/>
      <c r="B395" s="16"/>
    </row>
    <row r="396">
      <c r="A396" s="6"/>
      <c r="B396" s="16"/>
    </row>
    <row r="397">
      <c r="A397" s="6"/>
      <c r="B397" s="16"/>
    </row>
    <row r="398">
      <c r="A398" s="6"/>
      <c r="B398" s="16"/>
    </row>
    <row r="399">
      <c r="A399" s="6"/>
      <c r="B399" s="16"/>
    </row>
    <row r="400">
      <c r="A400" s="6"/>
      <c r="B400" s="16"/>
    </row>
    <row r="401">
      <c r="A401" s="6"/>
      <c r="B401" s="16"/>
    </row>
    <row r="402">
      <c r="A402" s="6"/>
      <c r="B402" s="16"/>
    </row>
    <row r="403">
      <c r="A403" s="6"/>
      <c r="B403" s="16"/>
    </row>
    <row r="404">
      <c r="A404" s="6"/>
      <c r="B404" s="16"/>
    </row>
    <row r="405">
      <c r="A405" s="6"/>
      <c r="B405" s="16"/>
    </row>
    <row r="406">
      <c r="A406" s="6"/>
      <c r="B406" s="16"/>
    </row>
    <row r="407">
      <c r="A407" s="6"/>
      <c r="B407" s="16"/>
    </row>
    <row r="408">
      <c r="A408" s="6"/>
      <c r="B408" s="16"/>
    </row>
    <row r="409">
      <c r="A409" s="6"/>
      <c r="B409" s="16"/>
    </row>
    <row r="410">
      <c r="A410" s="6"/>
      <c r="B410" s="16"/>
    </row>
    <row r="411">
      <c r="A411" s="6"/>
      <c r="B411" s="16"/>
    </row>
    <row r="412">
      <c r="A412" s="6"/>
      <c r="B412" s="16"/>
    </row>
    <row r="413">
      <c r="A413" s="6"/>
      <c r="B413" s="16"/>
    </row>
    <row r="414">
      <c r="A414" s="6"/>
      <c r="B414" s="16"/>
    </row>
    <row r="415">
      <c r="A415" s="6"/>
      <c r="B415" s="16"/>
    </row>
    <row r="416">
      <c r="A416" s="6"/>
      <c r="B416" s="16"/>
    </row>
    <row r="417">
      <c r="A417" s="6"/>
      <c r="B417" s="16"/>
    </row>
    <row r="418">
      <c r="A418" s="6"/>
      <c r="B418" s="16"/>
    </row>
    <row r="419">
      <c r="A419" s="6"/>
      <c r="B419" s="16"/>
    </row>
    <row r="420">
      <c r="A420" s="6"/>
      <c r="B420" s="16"/>
    </row>
    <row r="421">
      <c r="A421" s="6"/>
      <c r="B421" s="16"/>
    </row>
    <row r="422">
      <c r="A422" s="6"/>
      <c r="B422" s="16"/>
    </row>
    <row r="423">
      <c r="A423" s="6"/>
      <c r="B423" s="16"/>
    </row>
    <row r="424">
      <c r="A424" s="6"/>
      <c r="B424" s="16"/>
    </row>
    <row r="425">
      <c r="A425" s="6"/>
      <c r="B425" s="16"/>
    </row>
    <row r="426">
      <c r="A426" s="6"/>
      <c r="B426" s="16"/>
    </row>
    <row r="427">
      <c r="A427" s="6"/>
      <c r="B427" s="16"/>
    </row>
    <row r="428">
      <c r="A428" s="6"/>
      <c r="B428" s="16"/>
    </row>
    <row r="429">
      <c r="A429" s="6"/>
      <c r="B429" s="16"/>
    </row>
    <row r="430">
      <c r="A430" s="6"/>
      <c r="B430" s="16"/>
    </row>
    <row r="431">
      <c r="A431" s="6"/>
      <c r="B431" s="16"/>
    </row>
    <row r="432">
      <c r="A432" s="6"/>
      <c r="B432" s="16"/>
    </row>
    <row r="433">
      <c r="A433" s="6"/>
      <c r="B433" s="16"/>
    </row>
    <row r="434">
      <c r="A434" s="6"/>
      <c r="B434" s="16"/>
    </row>
    <row r="435">
      <c r="A435" s="6"/>
      <c r="B435" s="16"/>
    </row>
    <row r="436">
      <c r="A436" s="6"/>
      <c r="B436" s="16"/>
    </row>
    <row r="437">
      <c r="A437" s="6"/>
      <c r="B437" s="16"/>
    </row>
    <row r="438">
      <c r="A438" s="6"/>
      <c r="B438" s="16"/>
    </row>
    <row r="439">
      <c r="A439" s="6"/>
      <c r="B439" s="16"/>
    </row>
    <row r="440">
      <c r="A440" s="6"/>
      <c r="B440" s="16"/>
    </row>
    <row r="441">
      <c r="A441" s="6"/>
      <c r="B441" s="16"/>
    </row>
    <row r="442">
      <c r="A442" s="6"/>
      <c r="B442" s="16"/>
    </row>
    <row r="443">
      <c r="A443" s="6"/>
      <c r="B443" s="16"/>
    </row>
    <row r="444">
      <c r="A444" s="6"/>
      <c r="B444" s="16"/>
    </row>
    <row r="445">
      <c r="A445" s="6"/>
      <c r="B445" s="16"/>
    </row>
    <row r="446">
      <c r="A446" s="6"/>
      <c r="B446" s="16"/>
    </row>
    <row r="447">
      <c r="A447" s="6"/>
      <c r="B447" s="16"/>
    </row>
    <row r="448">
      <c r="A448" s="6"/>
      <c r="B448" s="16"/>
    </row>
    <row r="449">
      <c r="A449" s="6"/>
      <c r="B449" s="16"/>
    </row>
    <row r="450">
      <c r="A450" s="6"/>
      <c r="B450" s="16"/>
    </row>
    <row r="451">
      <c r="A451" s="6"/>
      <c r="B451" s="16"/>
    </row>
    <row r="452">
      <c r="A452" s="6"/>
      <c r="B452" s="16"/>
    </row>
    <row r="453">
      <c r="A453" s="6"/>
      <c r="B453" s="16"/>
    </row>
    <row r="454">
      <c r="A454" s="6"/>
      <c r="B454" s="16"/>
    </row>
    <row r="455">
      <c r="A455" s="6"/>
      <c r="B455" s="16"/>
    </row>
    <row r="456">
      <c r="A456" s="6"/>
      <c r="B456" s="16"/>
    </row>
    <row r="457">
      <c r="A457" s="6"/>
      <c r="B457" s="16"/>
    </row>
    <row r="458">
      <c r="A458" s="6"/>
      <c r="B458" s="16"/>
    </row>
    <row r="459">
      <c r="A459" s="6"/>
      <c r="B459" s="16"/>
    </row>
    <row r="460">
      <c r="A460" s="6"/>
      <c r="B460" s="16"/>
    </row>
    <row r="461">
      <c r="A461" s="6"/>
      <c r="B461" s="16"/>
    </row>
    <row r="462">
      <c r="A462" s="6"/>
      <c r="B462" s="16"/>
    </row>
    <row r="463">
      <c r="A463" s="6"/>
      <c r="B463" s="16"/>
    </row>
    <row r="464">
      <c r="A464" s="6"/>
      <c r="B464" s="16"/>
    </row>
    <row r="465">
      <c r="A465" s="6"/>
      <c r="B465" s="16"/>
    </row>
    <row r="466">
      <c r="A466" s="6"/>
      <c r="B466" s="16"/>
    </row>
    <row r="467">
      <c r="A467" s="6"/>
      <c r="B467" s="16"/>
    </row>
    <row r="468">
      <c r="A468" s="6"/>
      <c r="B468" s="16"/>
    </row>
    <row r="469">
      <c r="A469" s="6"/>
      <c r="B469" s="16"/>
    </row>
    <row r="470">
      <c r="A470" s="6"/>
      <c r="B470" s="16"/>
    </row>
    <row r="471">
      <c r="A471" s="6"/>
      <c r="B471" s="16"/>
    </row>
    <row r="472">
      <c r="A472" s="6"/>
      <c r="B472" s="16"/>
    </row>
    <row r="473">
      <c r="A473" s="6"/>
      <c r="B473" s="16"/>
    </row>
    <row r="474">
      <c r="A474" s="6"/>
      <c r="B474" s="16"/>
    </row>
    <row r="475">
      <c r="A475" s="6"/>
      <c r="B475" s="16"/>
    </row>
    <row r="476">
      <c r="A476" s="6"/>
      <c r="B476" s="16"/>
    </row>
    <row r="477">
      <c r="A477" s="6"/>
      <c r="B477" s="16"/>
    </row>
    <row r="478">
      <c r="A478" s="6"/>
      <c r="B478" s="16"/>
    </row>
    <row r="479">
      <c r="A479" s="6"/>
      <c r="B479" s="16"/>
    </row>
    <row r="480">
      <c r="A480" s="6"/>
      <c r="B480" s="16"/>
    </row>
    <row r="481">
      <c r="A481" s="6"/>
      <c r="B481" s="16"/>
    </row>
    <row r="482">
      <c r="A482" s="6"/>
      <c r="B482" s="16"/>
    </row>
    <row r="483">
      <c r="A483" s="6"/>
      <c r="B483" s="16"/>
    </row>
    <row r="484">
      <c r="A484" s="6"/>
      <c r="B484" s="16"/>
    </row>
    <row r="485">
      <c r="A485" s="6"/>
      <c r="B485" s="16"/>
    </row>
    <row r="486">
      <c r="A486" s="6"/>
      <c r="B486" s="16"/>
    </row>
    <row r="487">
      <c r="A487" s="6"/>
      <c r="B487" s="16"/>
    </row>
    <row r="488">
      <c r="A488" s="6"/>
      <c r="B488" s="16"/>
    </row>
    <row r="489">
      <c r="A489" s="6"/>
      <c r="B489" s="16"/>
    </row>
    <row r="490">
      <c r="A490" s="6"/>
      <c r="B490" s="16"/>
    </row>
    <row r="491">
      <c r="A491" s="6"/>
      <c r="B491" s="16"/>
    </row>
    <row r="492">
      <c r="A492" s="6"/>
      <c r="B492" s="16"/>
    </row>
    <row r="493">
      <c r="A493" s="6"/>
      <c r="B493" s="16"/>
    </row>
    <row r="494">
      <c r="A494" s="6"/>
      <c r="B494" s="16"/>
    </row>
    <row r="495">
      <c r="A495" s="6"/>
      <c r="B495" s="16"/>
    </row>
    <row r="496">
      <c r="A496" s="6"/>
      <c r="B496" s="16"/>
    </row>
    <row r="497">
      <c r="A497" s="6"/>
      <c r="B497" s="16"/>
    </row>
    <row r="498">
      <c r="A498" s="6"/>
      <c r="B498" s="16"/>
    </row>
    <row r="499">
      <c r="A499" s="6"/>
      <c r="B499" s="16"/>
    </row>
    <row r="500">
      <c r="A500" s="6"/>
      <c r="B500" s="16"/>
    </row>
    <row r="501">
      <c r="A501" s="6"/>
      <c r="B501" s="16"/>
    </row>
    <row r="502">
      <c r="A502" s="6"/>
      <c r="B502" s="16"/>
    </row>
    <row r="503">
      <c r="A503" s="6"/>
      <c r="B503" s="16"/>
    </row>
    <row r="504">
      <c r="A504" s="6"/>
      <c r="B504" s="16"/>
    </row>
    <row r="505">
      <c r="A505" s="6"/>
      <c r="B505" s="16"/>
    </row>
    <row r="506">
      <c r="A506" s="6"/>
      <c r="B506" s="16"/>
    </row>
    <row r="507">
      <c r="A507" s="6"/>
      <c r="B507" s="16"/>
    </row>
    <row r="508">
      <c r="A508" s="6"/>
      <c r="B508" s="16"/>
    </row>
    <row r="509">
      <c r="A509" s="6"/>
      <c r="B509" s="16"/>
    </row>
    <row r="510">
      <c r="A510" s="6"/>
      <c r="B510" s="16"/>
    </row>
    <row r="511">
      <c r="A511" s="6"/>
      <c r="B511" s="16"/>
    </row>
    <row r="512">
      <c r="A512" s="6"/>
      <c r="B512" s="16"/>
    </row>
    <row r="513">
      <c r="A513" s="6"/>
      <c r="B513" s="16"/>
    </row>
    <row r="514">
      <c r="A514" s="6"/>
      <c r="B514" s="16"/>
    </row>
    <row r="515">
      <c r="A515" s="6"/>
      <c r="B515" s="16"/>
    </row>
    <row r="516">
      <c r="A516" s="6"/>
      <c r="B516" s="16"/>
    </row>
    <row r="517">
      <c r="A517" s="6"/>
      <c r="B517" s="16"/>
    </row>
    <row r="518">
      <c r="A518" s="6"/>
      <c r="B518" s="16"/>
    </row>
    <row r="519">
      <c r="A519" s="6"/>
      <c r="B519" s="16"/>
    </row>
    <row r="520">
      <c r="A520" s="6"/>
      <c r="B520" s="16"/>
    </row>
    <row r="521">
      <c r="A521" s="6"/>
      <c r="B521" s="16"/>
    </row>
    <row r="522">
      <c r="A522" s="6"/>
      <c r="B522" s="16"/>
    </row>
    <row r="523">
      <c r="A523" s="6"/>
      <c r="B523" s="16"/>
    </row>
    <row r="524">
      <c r="A524" s="6"/>
      <c r="B524" s="16"/>
    </row>
    <row r="525">
      <c r="A525" s="6"/>
      <c r="B525" s="16"/>
    </row>
    <row r="526">
      <c r="A526" s="6"/>
      <c r="B526" s="16"/>
    </row>
    <row r="527">
      <c r="A527" s="6"/>
      <c r="B527" s="16"/>
    </row>
    <row r="528">
      <c r="A528" s="6"/>
      <c r="B528" s="16"/>
    </row>
    <row r="529">
      <c r="A529" s="6"/>
      <c r="B529" s="16"/>
    </row>
    <row r="530">
      <c r="A530" s="6"/>
      <c r="B530" s="16"/>
    </row>
    <row r="531">
      <c r="A531" s="6"/>
      <c r="B531" s="16"/>
    </row>
    <row r="532">
      <c r="A532" s="6"/>
      <c r="B532" s="16"/>
    </row>
    <row r="533">
      <c r="A533" s="6"/>
      <c r="B533" s="16"/>
    </row>
    <row r="534">
      <c r="A534" s="6"/>
      <c r="B534" s="16"/>
    </row>
    <row r="535">
      <c r="A535" s="6"/>
      <c r="B535" s="16"/>
    </row>
    <row r="536">
      <c r="A536" s="6"/>
      <c r="B536" s="16"/>
    </row>
    <row r="537">
      <c r="A537" s="6"/>
      <c r="B537" s="16"/>
    </row>
    <row r="538">
      <c r="A538" s="6"/>
      <c r="B538" s="16"/>
    </row>
    <row r="539">
      <c r="A539" s="6"/>
      <c r="B539" s="16"/>
    </row>
    <row r="540">
      <c r="A540" s="6"/>
      <c r="B540" s="16"/>
    </row>
    <row r="541">
      <c r="A541" s="6"/>
      <c r="B541" s="16"/>
    </row>
    <row r="542">
      <c r="A542" s="6"/>
      <c r="B542" s="16"/>
    </row>
    <row r="543">
      <c r="A543" s="6"/>
      <c r="B543" s="16"/>
    </row>
    <row r="544">
      <c r="A544" s="6"/>
      <c r="B544" s="16"/>
    </row>
    <row r="545">
      <c r="A545" s="6"/>
      <c r="B545" s="16"/>
    </row>
    <row r="546">
      <c r="A546" s="6"/>
      <c r="B546" s="16"/>
    </row>
    <row r="547">
      <c r="A547" s="6"/>
      <c r="B547" s="16"/>
    </row>
    <row r="548">
      <c r="A548" s="6"/>
      <c r="B548" s="16"/>
    </row>
    <row r="549">
      <c r="A549" s="6"/>
      <c r="B549" s="16"/>
    </row>
    <row r="550">
      <c r="A550" s="6"/>
      <c r="B550" s="16"/>
    </row>
    <row r="551">
      <c r="A551" s="6"/>
      <c r="B551" s="16"/>
    </row>
    <row r="552">
      <c r="A552" s="6"/>
      <c r="B552" s="16"/>
    </row>
    <row r="553">
      <c r="A553" s="6"/>
      <c r="B553" s="16"/>
    </row>
    <row r="554">
      <c r="A554" s="6"/>
      <c r="B554" s="16"/>
    </row>
    <row r="555">
      <c r="A555" s="6"/>
      <c r="B555" s="16"/>
    </row>
    <row r="556">
      <c r="A556" s="6"/>
      <c r="B556" s="16"/>
    </row>
    <row r="557">
      <c r="A557" s="6"/>
      <c r="B557" s="16"/>
    </row>
    <row r="558">
      <c r="A558" s="6"/>
      <c r="B558" s="16"/>
    </row>
    <row r="559">
      <c r="A559" s="6"/>
      <c r="B559" s="16"/>
    </row>
    <row r="560">
      <c r="A560" s="6"/>
      <c r="B560" s="16"/>
    </row>
    <row r="561">
      <c r="A561" s="6"/>
      <c r="B561" s="16"/>
    </row>
    <row r="562">
      <c r="A562" s="6"/>
      <c r="B562" s="16"/>
    </row>
    <row r="563">
      <c r="A563" s="6"/>
      <c r="B563" s="16"/>
    </row>
    <row r="564">
      <c r="A564" s="6"/>
      <c r="B564" s="16"/>
    </row>
    <row r="565">
      <c r="A565" s="6"/>
      <c r="B565" s="16"/>
    </row>
    <row r="566">
      <c r="A566" s="6"/>
      <c r="B566" s="16"/>
    </row>
    <row r="567">
      <c r="A567" s="6"/>
      <c r="B567" s="16"/>
    </row>
    <row r="568">
      <c r="A568" s="6"/>
      <c r="B568" s="16"/>
    </row>
    <row r="569">
      <c r="A569" s="6"/>
      <c r="B569" s="16"/>
    </row>
    <row r="570">
      <c r="A570" s="6"/>
      <c r="B570" s="16"/>
    </row>
    <row r="571">
      <c r="A571" s="6"/>
      <c r="B571" s="16"/>
    </row>
    <row r="572">
      <c r="A572" s="6"/>
      <c r="B572" s="16"/>
    </row>
    <row r="573">
      <c r="A573" s="6"/>
      <c r="B573" s="16"/>
    </row>
    <row r="574">
      <c r="A574" s="6"/>
      <c r="B574" s="16"/>
    </row>
    <row r="575">
      <c r="A575" s="6"/>
      <c r="B575" s="16"/>
    </row>
    <row r="576">
      <c r="A576" s="6"/>
      <c r="B576" s="16"/>
    </row>
    <row r="577">
      <c r="A577" s="6"/>
      <c r="B577" s="16"/>
    </row>
    <row r="578">
      <c r="A578" s="6"/>
      <c r="B578" s="16"/>
    </row>
    <row r="579">
      <c r="A579" s="6"/>
      <c r="B579" s="16"/>
    </row>
    <row r="580">
      <c r="A580" s="6"/>
      <c r="B580" s="16"/>
    </row>
    <row r="581">
      <c r="A581" s="6"/>
      <c r="B581" s="16"/>
    </row>
    <row r="582">
      <c r="A582" s="6"/>
      <c r="B582" s="16"/>
    </row>
    <row r="583">
      <c r="A583" s="6"/>
      <c r="B583" s="16"/>
    </row>
    <row r="584">
      <c r="A584" s="6"/>
      <c r="B584" s="16"/>
    </row>
    <row r="585">
      <c r="A585" s="6"/>
      <c r="B585" s="16"/>
    </row>
    <row r="586">
      <c r="A586" s="6"/>
      <c r="B586" s="16"/>
    </row>
    <row r="587">
      <c r="A587" s="6"/>
      <c r="B587" s="16"/>
    </row>
    <row r="588">
      <c r="A588" s="6"/>
      <c r="B588" s="16"/>
    </row>
    <row r="589">
      <c r="A589" s="6"/>
      <c r="B589" s="16"/>
    </row>
    <row r="590">
      <c r="A590" s="6"/>
      <c r="B590" s="16"/>
    </row>
    <row r="591">
      <c r="A591" s="6"/>
      <c r="B591" s="16"/>
    </row>
    <row r="592">
      <c r="A592" s="6"/>
      <c r="B592" s="16"/>
    </row>
    <row r="593">
      <c r="A593" s="6"/>
      <c r="B593" s="16"/>
    </row>
    <row r="594">
      <c r="A594" s="6"/>
      <c r="B594" s="16"/>
    </row>
    <row r="595">
      <c r="A595" s="6"/>
      <c r="B595" s="16"/>
    </row>
    <row r="596">
      <c r="A596" s="6"/>
      <c r="B596" s="16"/>
    </row>
    <row r="597">
      <c r="A597" s="6"/>
      <c r="B597" s="16"/>
    </row>
    <row r="598">
      <c r="A598" s="6"/>
      <c r="B598" s="16"/>
    </row>
    <row r="599">
      <c r="A599" s="6"/>
      <c r="B599" s="16"/>
    </row>
    <row r="600">
      <c r="A600" s="6"/>
      <c r="B600" s="16"/>
    </row>
    <row r="601">
      <c r="A601" s="6"/>
      <c r="B601" s="16"/>
    </row>
    <row r="602">
      <c r="A602" s="6"/>
      <c r="B602" s="16"/>
    </row>
    <row r="603">
      <c r="A603" s="6"/>
      <c r="B603" s="16"/>
    </row>
    <row r="604">
      <c r="A604" s="6"/>
      <c r="B604" s="16"/>
    </row>
    <row r="605">
      <c r="A605" s="6"/>
      <c r="B605" s="16"/>
    </row>
    <row r="606">
      <c r="A606" s="6"/>
      <c r="B606" s="16"/>
    </row>
    <row r="607">
      <c r="A607" s="6"/>
      <c r="B607" s="16"/>
    </row>
    <row r="608">
      <c r="A608" s="6"/>
      <c r="B608" s="16"/>
    </row>
    <row r="609">
      <c r="A609" s="6"/>
      <c r="B609" s="16"/>
    </row>
    <row r="610">
      <c r="A610" s="6"/>
      <c r="B610" s="16"/>
    </row>
    <row r="611">
      <c r="A611" s="6"/>
      <c r="B611" s="16"/>
    </row>
    <row r="612">
      <c r="A612" s="6"/>
      <c r="B612" s="16"/>
    </row>
    <row r="613">
      <c r="A613" s="6"/>
      <c r="B613" s="16"/>
    </row>
    <row r="614">
      <c r="A614" s="6"/>
      <c r="B614" s="16"/>
    </row>
    <row r="615">
      <c r="A615" s="6"/>
      <c r="B615" s="16"/>
    </row>
    <row r="616">
      <c r="A616" s="6"/>
      <c r="B616" s="16"/>
    </row>
    <row r="617">
      <c r="A617" s="6"/>
      <c r="B617" s="16"/>
    </row>
    <row r="618">
      <c r="A618" s="6"/>
      <c r="B618" s="16"/>
    </row>
    <row r="619">
      <c r="A619" s="6"/>
      <c r="B619" s="16"/>
    </row>
    <row r="620">
      <c r="A620" s="6"/>
      <c r="B620" s="16"/>
    </row>
    <row r="621">
      <c r="A621" s="6"/>
      <c r="B621" s="16"/>
    </row>
    <row r="622">
      <c r="A622" s="6"/>
      <c r="B622" s="16"/>
    </row>
    <row r="623">
      <c r="A623" s="6"/>
      <c r="B623" s="16"/>
    </row>
    <row r="624">
      <c r="A624" s="6"/>
      <c r="B624" s="16"/>
    </row>
    <row r="625">
      <c r="A625" s="6"/>
      <c r="B625" s="16"/>
    </row>
    <row r="626">
      <c r="A626" s="6"/>
      <c r="B626" s="16"/>
    </row>
    <row r="627">
      <c r="A627" s="6"/>
      <c r="B627" s="16"/>
    </row>
    <row r="628">
      <c r="A628" s="6"/>
      <c r="B628" s="16"/>
    </row>
    <row r="629">
      <c r="A629" s="6"/>
      <c r="B629" s="16"/>
    </row>
    <row r="630">
      <c r="A630" s="6"/>
      <c r="B630" s="16"/>
    </row>
    <row r="631">
      <c r="A631" s="6"/>
      <c r="B631" s="16"/>
    </row>
    <row r="632">
      <c r="A632" s="6"/>
      <c r="B632" s="16"/>
    </row>
    <row r="633">
      <c r="A633" s="6"/>
      <c r="B633" s="16"/>
    </row>
    <row r="634">
      <c r="A634" s="6"/>
      <c r="B634" s="16"/>
    </row>
    <row r="635">
      <c r="A635" s="6"/>
      <c r="B635" s="16"/>
    </row>
    <row r="636">
      <c r="A636" s="6"/>
      <c r="B636" s="16"/>
    </row>
    <row r="637">
      <c r="A637" s="6"/>
      <c r="B637" s="16"/>
    </row>
    <row r="638">
      <c r="A638" s="6"/>
      <c r="B638" s="16"/>
    </row>
    <row r="639">
      <c r="A639" s="6"/>
      <c r="B639" s="16"/>
    </row>
    <row r="640">
      <c r="A640" s="6"/>
      <c r="B640" s="16"/>
    </row>
    <row r="641">
      <c r="A641" s="6"/>
      <c r="B641" s="16"/>
    </row>
    <row r="642">
      <c r="A642" s="6"/>
      <c r="B642" s="16"/>
    </row>
    <row r="643">
      <c r="A643" s="6"/>
      <c r="B643" s="16"/>
    </row>
    <row r="644">
      <c r="A644" s="6"/>
      <c r="B644" s="16"/>
    </row>
    <row r="645">
      <c r="A645" s="6"/>
      <c r="B645" s="16"/>
    </row>
    <row r="646">
      <c r="A646" s="6"/>
      <c r="B646" s="16"/>
    </row>
    <row r="647">
      <c r="A647" s="6"/>
      <c r="B647" s="16"/>
    </row>
    <row r="648">
      <c r="A648" s="6"/>
      <c r="B648" s="16"/>
    </row>
    <row r="649">
      <c r="A649" s="6"/>
      <c r="B649" s="16"/>
    </row>
    <row r="650">
      <c r="A650" s="6"/>
      <c r="B650" s="16"/>
    </row>
    <row r="651">
      <c r="A651" s="6"/>
      <c r="B651" s="16"/>
    </row>
    <row r="652">
      <c r="A652" s="6"/>
      <c r="B652" s="16"/>
    </row>
    <row r="653">
      <c r="A653" s="6"/>
      <c r="B653" s="16"/>
    </row>
    <row r="654">
      <c r="A654" s="6"/>
      <c r="B654" s="16"/>
    </row>
    <row r="655">
      <c r="A655" s="6"/>
      <c r="B655" s="16"/>
    </row>
    <row r="656">
      <c r="A656" s="6"/>
      <c r="B656" s="16"/>
    </row>
    <row r="657">
      <c r="A657" s="6"/>
      <c r="B657" s="16"/>
    </row>
    <row r="658">
      <c r="A658" s="6"/>
      <c r="B658" s="16"/>
    </row>
    <row r="659">
      <c r="A659" s="6"/>
      <c r="B659" s="16"/>
    </row>
    <row r="660">
      <c r="A660" s="6"/>
      <c r="B660" s="16"/>
    </row>
    <row r="661">
      <c r="A661" s="6"/>
      <c r="B661" s="16"/>
    </row>
    <row r="662">
      <c r="A662" s="6"/>
      <c r="B662" s="16"/>
    </row>
    <row r="663">
      <c r="A663" s="6"/>
      <c r="B663" s="16"/>
    </row>
    <row r="664">
      <c r="A664" s="6"/>
      <c r="B664" s="16"/>
    </row>
    <row r="665">
      <c r="A665" s="6"/>
      <c r="B665" s="16"/>
    </row>
    <row r="666">
      <c r="A666" s="6"/>
      <c r="B666" s="16"/>
    </row>
    <row r="667">
      <c r="A667" s="6"/>
      <c r="B667" s="16"/>
    </row>
    <row r="668">
      <c r="A668" s="6"/>
      <c r="B668" s="16"/>
    </row>
    <row r="669">
      <c r="A669" s="6"/>
      <c r="B669" s="16"/>
    </row>
    <row r="670">
      <c r="A670" s="6"/>
      <c r="B670" s="16"/>
    </row>
    <row r="671">
      <c r="A671" s="6"/>
      <c r="B671" s="16"/>
    </row>
    <row r="672">
      <c r="A672" s="6"/>
      <c r="B672" s="16"/>
    </row>
    <row r="673">
      <c r="A673" s="6"/>
      <c r="B673" s="16"/>
    </row>
    <row r="674">
      <c r="A674" s="6"/>
      <c r="B674" s="16"/>
    </row>
    <row r="675">
      <c r="A675" s="6"/>
      <c r="B675" s="16"/>
    </row>
    <row r="676">
      <c r="A676" s="6"/>
      <c r="B676" s="16"/>
    </row>
    <row r="677">
      <c r="A677" s="6"/>
      <c r="B677" s="16"/>
    </row>
    <row r="678">
      <c r="A678" s="6"/>
      <c r="B678" s="16"/>
    </row>
    <row r="679">
      <c r="A679" s="6"/>
      <c r="B679" s="16"/>
    </row>
    <row r="680">
      <c r="A680" s="6"/>
      <c r="B680" s="16"/>
    </row>
    <row r="681">
      <c r="A681" s="6"/>
      <c r="B681" s="16"/>
    </row>
    <row r="682">
      <c r="A682" s="6"/>
      <c r="B682" s="16"/>
    </row>
    <row r="683">
      <c r="A683" s="6"/>
      <c r="B683" s="16"/>
    </row>
    <row r="684">
      <c r="A684" s="6"/>
      <c r="B684" s="16"/>
    </row>
    <row r="685">
      <c r="A685" s="6"/>
      <c r="B685" s="16"/>
    </row>
    <row r="686">
      <c r="A686" s="6"/>
      <c r="B686" s="16"/>
    </row>
    <row r="687">
      <c r="A687" s="6"/>
      <c r="B687" s="16"/>
    </row>
    <row r="688">
      <c r="A688" s="6"/>
      <c r="B688" s="16"/>
    </row>
    <row r="689">
      <c r="A689" s="6"/>
      <c r="B689" s="16"/>
    </row>
    <row r="690">
      <c r="A690" s="6"/>
      <c r="B690" s="16"/>
    </row>
    <row r="691">
      <c r="A691" s="6"/>
      <c r="B691" s="16"/>
    </row>
    <row r="692">
      <c r="A692" s="6"/>
      <c r="B692" s="16"/>
    </row>
    <row r="693">
      <c r="A693" s="6"/>
      <c r="B693" s="16"/>
    </row>
    <row r="694">
      <c r="A694" s="6"/>
      <c r="B694" s="16"/>
    </row>
    <row r="695">
      <c r="A695" s="6"/>
      <c r="B695" s="16"/>
    </row>
    <row r="696">
      <c r="A696" s="6"/>
      <c r="B696" s="16"/>
    </row>
    <row r="697">
      <c r="A697" s="6"/>
      <c r="B697" s="16"/>
    </row>
    <row r="698">
      <c r="A698" s="6"/>
      <c r="B698" s="16"/>
    </row>
    <row r="699">
      <c r="A699" s="6"/>
      <c r="B699" s="16"/>
    </row>
    <row r="700">
      <c r="A700" s="6"/>
      <c r="B700" s="16"/>
    </row>
    <row r="701">
      <c r="A701" s="6"/>
      <c r="B701" s="16"/>
    </row>
    <row r="702">
      <c r="A702" s="6"/>
      <c r="B702" s="16"/>
    </row>
    <row r="703">
      <c r="A703" s="6"/>
      <c r="B703" s="16"/>
    </row>
    <row r="704">
      <c r="A704" s="6"/>
      <c r="B704" s="16"/>
    </row>
    <row r="705">
      <c r="A705" s="6"/>
      <c r="B705" s="16"/>
    </row>
    <row r="706">
      <c r="A706" s="6"/>
      <c r="B706" s="16"/>
    </row>
    <row r="707">
      <c r="A707" s="6"/>
      <c r="B707" s="16"/>
    </row>
    <row r="708">
      <c r="A708" s="6"/>
      <c r="B708" s="16"/>
    </row>
    <row r="709">
      <c r="A709" s="6"/>
      <c r="B709" s="16"/>
    </row>
    <row r="710">
      <c r="A710" s="6"/>
      <c r="B710" s="16"/>
    </row>
    <row r="711">
      <c r="A711" s="6"/>
      <c r="B711" s="16"/>
    </row>
    <row r="712">
      <c r="A712" s="6"/>
      <c r="B712" s="16"/>
    </row>
    <row r="713">
      <c r="A713" s="6"/>
      <c r="B713" s="16"/>
    </row>
    <row r="714">
      <c r="A714" s="6"/>
      <c r="B714" s="16"/>
    </row>
    <row r="715">
      <c r="A715" s="6"/>
      <c r="B715" s="16"/>
    </row>
    <row r="716">
      <c r="A716" s="6"/>
      <c r="B716" s="16"/>
    </row>
    <row r="717">
      <c r="A717" s="6"/>
      <c r="B717" s="16"/>
    </row>
    <row r="718">
      <c r="A718" s="6"/>
      <c r="B718" s="16"/>
    </row>
    <row r="719">
      <c r="A719" s="6"/>
      <c r="B719" s="16"/>
    </row>
    <row r="720">
      <c r="A720" s="6"/>
      <c r="B720" s="16"/>
    </row>
    <row r="721">
      <c r="A721" s="6"/>
      <c r="B721" s="16"/>
    </row>
    <row r="722">
      <c r="A722" s="6"/>
      <c r="B722" s="16"/>
    </row>
    <row r="723">
      <c r="A723" s="6"/>
      <c r="B723" s="16"/>
    </row>
    <row r="724">
      <c r="A724" s="6"/>
      <c r="B724" s="16"/>
    </row>
    <row r="725">
      <c r="A725" s="6"/>
      <c r="B725" s="16"/>
    </row>
    <row r="726">
      <c r="A726" s="6"/>
      <c r="B726" s="16"/>
    </row>
    <row r="727">
      <c r="A727" s="6"/>
      <c r="B727" s="16"/>
    </row>
    <row r="728">
      <c r="A728" s="6"/>
      <c r="B728" s="16"/>
    </row>
    <row r="729">
      <c r="A729" s="6"/>
      <c r="B729" s="16"/>
    </row>
    <row r="730">
      <c r="A730" s="6"/>
      <c r="B730" s="16"/>
    </row>
    <row r="731">
      <c r="A731" s="6"/>
      <c r="B731" s="16"/>
    </row>
    <row r="732">
      <c r="A732" s="6"/>
      <c r="B732" s="16"/>
    </row>
    <row r="733">
      <c r="A733" s="6"/>
      <c r="B733" s="16"/>
    </row>
    <row r="734">
      <c r="A734" s="6"/>
      <c r="B734" s="16"/>
    </row>
    <row r="735">
      <c r="A735" s="6"/>
      <c r="B735" s="16"/>
    </row>
    <row r="736">
      <c r="A736" s="6"/>
      <c r="B736" s="16"/>
    </row>
    <row r="737">
      <c r="A737" s="6"/>
      <c r="B737" s="16"/>
    </row>
    <row r="738">
      <c r="A738" s="6"/>
      <c r="B738" s="16"/>
    </row>
    <row r="739">
      <c r="A739" s="6"/>
      <c r="B739" s="16"/>
    </row>
    <row r="740">
      <c r="A740" s="6"/>
      <c r="B740" s="16"/>
    </row>
    <row r="741">
      <c r="A741" s="6"/>
      <c r="B741" s="16"/>
    </row>
    <row r="742">
      <c r="A742" s="6"/>
      <c r="B742" s="16"/>
    </row>
    <row r="743">
      <c r="A743" s="6"/>
      <c r="B743" s="16"/>
    </row>
    <row r="744">
      <c r="A744" s="6"/>
      <c r="B744" s="16"/>
    </row>
    <row r="745">
      <c r="A745" s="6"/>
      <c r="B745" s="16"/>
    </row>
    <row r="746">
      <c r="A746" s="6"/>
      <c r="B746" s="16"/>
    </row>
    <row r="747">
      <c r="A747" s="6"/>
      <c r="B747" s="16"/>
    </row>
    <row r="748">
      <c r="A748" s="6"/>
      <c r="B748" s="16"/>
    </row>
    <row r="749">
      <c r="A749" s="6"/>
      <c r="B749" s="16"/>
    </row>
    <row r="750">
      <c r="A750" s="6"/>
      <c r="B750" s="16"/>
    </row>
    <row r="751">
      <c r="A751" s="6"/>
      <c r="B751" s="16"/>
    </row>
    <row r="752">
      <c r="A752" s="6"/>
      <c r="B752" s="16"/>
    </row>
    <row r="753">
      <c r="A753" s="6"/>
      <c r="B753" s="16"/>
    </row>
    <row r="754">
      <c r="A754" s="6"/>
      <c r="B754" s="16"/>
    </row>
    <row r="755">
      <c r="A755" s="6"/>
      <c r="B755" s="16"/>
    </row>
    <row r="756">
      <c r="A756" s="6"/>
      <c r="B756" s="16"/>
    </row>
    <row r="757">
      <c r="A757" s="6"/>
      <c r="B757" s="16"/>
    </row>
    <row r="758">
      <c r="A758" s="6"/>
      <c r="B758" s="16"/>
    </row>
    <row r="759">
      <c r="A759" s="6"/>
      <c r="B759" s="16"/>
    </row>
    <row r="760">
      <c r="A760" s="6"/>
      <c r="B760" s="16"/>
    </row>
    <row r="761">
      <c r="A761" s="6"/>
      <c r="B761" s="16"/>
    </row>
    <row r="762">
      <c r="A762" s="6"/>
      <c r="B762" s="16"/>
    </row>
    <row r="763">
      <c r="A763" s="6"/>
      <c r="B763" s="16"/>
    </row>
    <row r="764">
      <c r="A764" s="6"/>
      <c r="B764" s="16"/>
    </row>
    <row r="765">
      <c r="A765" s="6"/>
      <c r="B765" s="16"/>
    </row>
    <row r="766">
      <c r="A766" s="6"/>
      <c r="B766" s="16"/>
    </row>
    <row r="767">
      <c r="A767" s="6"/>
      <c r="B767" s="16"/>
    </row>
    <row r="768">
      <c r="A768" s="6"/>
      <c r="B768" s="16"/>
    </row>
    <row r="769">
      <c r="A769" s="6"/>
      <c r="B769" s="16"/>
    </row>
    <row r="770">
      <c r="A770" s="6"/>
      <c r="B770" s="16"/>
    </row>
    <row r="771">
      <c r="A771" s="6"/>
      <c r="B771" s="16"/>
    </row>
    <row r="772">
      <c r="A772" s="6"/>
      <c r="B772" s="16"/>
    </row>
    <row r="773">
      <c r="A773" s="6"/>
      <c r="B773" s="16"/>
    </row>
    <row r="774">
      <c r="A774" s="6"/>
      <c r="B774" s="16"/>
    </row>
    <row r="775">
      <c r="A775" s="6"/>
      <c r="B775" s="16"/>
    </row>
    <row r="776">
      <c r="A776" s="6"/>
      <c r="B776" s="16"/>
    </row>
    <row r="777">
      <c r="A777" s="6"/>
      <c r="B777" s="16"/>
    </row>
    <row r="778">
      <c r="A778" s="6"/>
      <c r="B778" s="16"/>
    </row>
    <row r="779">
      <c r="A779" s="6"/>
      <c r="B779" s="16"/>
    </row>
    <row r="780">
      <c r="A780" s="6"/>
      <c r="B780" s="16"/>
    </row>
    <row r="781">
      <c r="A781" s="6"/>
      <c r="B781" s="16"/>
    </row>
    <row r="782">
      <c r="A782" s="6"/>
      <c r="B782" s="16"/>
    </row>
    <row r="783">
      <c r="A783" s="6"/>
      <c r="B783" s="16"/>
    </row>
    <row r="784">
      <c r="A784" s="6"/>
      <c r="B784" s="16"/>
    </row>
    <row r="785">
      <c r="A785" s="6"/>
      <c r="B785" s="16"/>
    </row>
    <row r="786">
      <c r="A786" s="6"/>
      <c r="B786" s="16"/>
    </row>
    <row r="787">
      <c r="A787" s="6"/>
      <c r="B787" s="16"/>
    </row>
    <row r="788">
      <c r="A788" s="6"/>
      <c r="B788" s="16"/>
    </row>
    <row r="789">
      <c r="A789" s="6"/>
      <c r="B789" s="16"/>
    </row>
    <row r="790">
      <c r="A790" s="6"/>
      <c r="B790" s="16"/>
    </row>
    <row r="791">
      <c r="A791" s="6"/>
      <c r="B791" s="16"/>
    </row>
    <row r="792">
      <c r="A792" s="6"/>
      <c r="B792" s="16"/>
    </row>
    <row r="793">
      <c r="A793" s="6"/>
      <c r="B793" s="16"/>
    </row>
    <row r="794">
      <c r="A794" s="6"/>
      <c r="B794" s="16"/>
    </row>
    <row r="795">
      <c r="A795" s="6"/>
      <c r="B795" s="16"/>
    </row>
    <row r="796">
      <c r="A796" s="6"/>
      <c r="B796" s="16"/>
    </row>
    <row r="797">
      <c r="A797" s="6"/>
      <c r="B797" s="16"/>
    </row>
    <row r="798">
      <c r="A798" s="6"/>
      <c r="B798" s="16"/>
    </row>
    <row r="799">
      <c r="A799" s="6"/>
      <c r="B799" s="16"/>
    </row>
    <row r="800">
      <c r="A800" s="6"/>
      <c r="B800" s="16"/>
    </row>
    <row r="801">
      <c r="A801" s="6"/>
      <c r="B801" s="16"/>
    </row>
    <row r="802">
      <c r="A802" s="6"/>
      <c r="B802" s="16"/>
    </row>
    <row r="803">
      <c r="A803" s="6"/>
      <c r="B803" s="16"/>
    </row>
    <row r="804">
      <c r="A804" s="6"/>
      <c r="B804" s="16"/>
    </row>
    <row r="805">
      <c r="A805" s="6"/>
      <c r="B805" s="16"/>
    </row>
    <row r="806">
      <c r="A806" s="6"/>
      <c r="B806" s="16"/>
    </row>
    <row r="807">
      <c r="A807" s="6"/>
      <c r="B807" s="16"/>
    </row>
    <row r="808">
      <c r="A808" s="6"/>
      <c r="B808" s="16"/>
    </row>
    <row r="809">
      <c r="A809" s="6"/>
      <c r="B809" s="16"/>
    </row>
    <row r="810">
      <c r="A810" s="6"/>
      <c r="B810" s="16"/>
    </row>
    <row r="811">
      <c r="A811" s="6"/>
      <c r="B811" s="16"/>
    </row>
    <row r="812">
      <c r="A812" s="6"/>
      <c r="B812" s="16"/>
    </row>
    <row r="813">
      <c r="A813" s="6"/>
      <c r="B813" s="16"/>
    </row>
    <row r="814">
      <c r="A814" s="6"/>
      <c r="B814" s="16"/>
    </row>
    <row r="815">
      <c r="A815" s="6"/>
      <c r="B815" s="16"/>
    </row>
    <row r="816">
      <c r="A816" s="6"/>
      <c r="B816" s="16"/>
    </row>
    <row r="817">
      <c r="A817" s="6"/>
      <c r="B817" s="16"/>
    </row>
    <row r="818">
      <c r="A818" s="6"/>
      <c r="B818" s="16"/>
    </row>
    <row r="819">
      <c r="A819" s="6"/>
      <c r="B819" s="16"/>
    </row>
    <row r="820">
      <c r="A820" s="6"/>
      <c r="B820" s="16"/>
    </row>
    <row r="821">
      <c r="A821" s="6"/>
      <c r="B821" s="16"/>
    </row>
    <row r="822">
      <c r="A822" s="6"/>
      <c r="B822" s="16"/>
    </row>
    <row r="823">
      <c r="A823" s="6"/>
      <c r="B823" s="16"/>
    </row>
    <row r="824">
      <c r="A824" s="6"/>
      <c r="B824" s="16"/>
    </row>
    <row r="825">
      <c r="A825" s="6"/>
      <c r="B825" s="16"/>
    </row>
    <row r="826">
      <c r="A826" s="6"/>
      <c r="B826" s="16"/>
    </row>
    <row r="827">
      <c r="A827" s="6"/>
      <c r="B827" s="16"/>
    </row>
    <row r="828">
      <c r="A828" s="6"/>
      <c r="B828" s="16"/>
    </row>
    <row r="829">
      <c r="A829" s="6"/>
      <c r="B829" s="16"/>
    </row>
    <row r="830">
      <c r="A830" s="6"/>
      <c r="B830" s="16"/>
    </row>
    <row r="831">
      <c r="A831" s="6"/>
      <c r="B831" s="16"/>
    </row>
    <row r="832">
      <c r="A832" s="6"/>
      <c r="B832" s="16"/>
    </row>
    <row r="833">
      <c r="A833" s="6"/>
      <c r="B833" s="16"/>
    </row>
    <row r="834">
      <c r="A834" s="6"/>
      <c r="B834" s="16"/>
    </row>
    <row r="835">
      <c r="A835" s="6"/>
      <c r="B835" s="16"/>
    </row>
    <row r="836">
      <c r="A836" s="6"/>
      <c r="B836" s="16"/>
    </row>
    <row r="837">
      <c r="A837" s="6"/>
      <c r="B837" s="16"/>
    </row>
    <row r="838">
      <c r="A838" s="6"/>
      <c r="B838" s="16"/>
    </row>
    <row r="839">
      <c r="A839" s="6"/>
      <c r="B839" s="16"/>
    </row>
    <row r="840">
      <c r="A840" s="6"/>
      <c r="B840" s="16"/>
    </row>
    <row r="841">
      <c r="A841" s="6"/>
      <c r="B841" s="16"/>
    </row>
    <row r="842">
      <c r="A842" s="6"/>
      <c r="B842" s="16"/>
    </row>
    <row r="843">
      <c r="A843" s="6"/>
      <c r="B843" s="16"/>
    </row>
    <row r="844">
      <c r="A844" s="6"/>
      <c r="B844" s="16"/>
    </row>
    <row r="845">
      <c r="A845" s="6"/>
      <c r="B845" s="16"/>
    </row>
    <row r="846">
      <c r="A846" s="6"/>
      <c r="B846" s="16"/>
    </row>
    <row r="847">
      <c r="A847" s="6"/>
      <c r="B847" s="16"/>
    </row>
    <row r="848">
      <c r="A848" s="6"/>
      <c r="B848" s="16"/>
    </row>
    <row r="849">
      <c r="A849" s="6"/>
      <c r="B849" s="16"/>
    </row>
    <row r="850">
      <c r="A850" s="6"/>
      <c r="B850" s="16"/>
    </row>
    <row r="851">
      <c r="A851" s="6"/>
      <c r="B851" s="16"/>
    </row>
    <row r="852">
      <c r="A852" s="6"/>
      <c r="B852" s="16"/>
    </row>
    <row r="853">
      <c r="A853" s="6"/>
      <c r="B853" s="16"/>
    </row>
    <row r="854">
      <c r="A854" s="6"/>
      <c r="B854" s="16"/>
    </row>
    <row r="855">
      <c r="A855" s="6"/>
      <c r="B855" s="16"/>
    </row>
    <row r="856">
      <c r="A856" s="6"/>
      <c r="B856" s="16"/>
    </row>
    <row r="857">
      <c r="A857" s="6"/>
      <c r="B857" s="16"/>
    </row>
    <row r="858">
      <c r="A858" s="6"/>
      <c r="B858" s="16"/>
    </row>
    <row r="859">
      <c r="A859" s="6"/>
      <c r="B859" s="16"/>
    </row>
    <row r="860">
      <c r="A860" s="6"/>
      <c r="B860" s="16"/>
    </row>
    <row r="861">
      <c r="A861" s="6"/>
      <c r="B861" s="16"/>
    </row>
    <row r="862">
      <c r="A862" s="6"/>
      <c r="B862" s="16"/>
    </row>
    <row r="863">
      <c r="A863" s="6"/>
      <c r="B863" s="16"/>
    </row>
    <row r="864">
      <c r="A864" s="6"/>
      <c r="B864" s="16"/>
    </row>
    <row r="865">
      <c r="A865" s="6"/>
      <c r="B865" s="16"/>
    </row>
    <row r="866">
      <c r="A866" s="6"/>
      <c r="B866" s="16"/>
    </row>
    <row r="867">
      <c r="A867" s="6"/>
      <c r="B867" s="16"/>
    </row>
    <row r="868">
      <c r="A868" s="6"/>
      <c r="B868" s="16"/>
    </row>
    <row r="869">
      <c r="A869" s="6"/>
      <c r="B869" s="16"/>
    </row>
    <row r="870">
      <c r="A870" s="6"/>
      <c r="B870" s="16"/>
    </row>
    <row r="871">
      <c r="A871" s="6"/>
      <c r="B871" s="16"/>
    </row>
    <row r="872">
      <c r="A872" s="6"/>
      <c r="B872" s="16"/>
    </row>
    <row r="873">
      <c r="A873" s="6"/>
      <c r="B873" s="16"/>
    </row>
    <row r="874">
      <c r="A874" s="6"/>
      <c r="B874" s="16"/>
    </row>
    <row r="875">
      <c r="A875" s="6"/>
      <c r="B875" s="16"/>
    </row>
    <row r="876">
      <c r="A876" s="6"/>
      <c r="B876" s="16"/>
    </row>
    <row r="877">
      <c r="A877" s="6"/>
      <c r="B877" s="16"/>
    </row>
    <row r="878">
      <c r="A878" s="6"/>
      <c r="B878" s="16"/>
    </row>
    <row r="879">
      <c r="A879" s="6"/>
      <c r="B879" s="16"/>
    </row>
    <row r="880">
      <c r="A880" s="6"/>
      <c r="B880" s="16"/>
    </row>
    <row r="881">
      <c r="A881" s="6"/>
      <c r="B881" s="16"/>
    </row>
    <row r="882">
      <c r="A882" s="6"/>
      <c r="B882" s="16"/>
    </row>
    <row r="883">
      <c r="A883" s="6"/>
      <c r="B883" s="16"/>
    </row>
    <row r="884">
      <c r="A884" s="6"/>
      <c r="B884" s="16"/>
    </row>
    <row r="885">
      <c r="A885" s="6"/>
      <c r="B885" s="16"/>
    </row>
    <row r="886">
      <c r="A886" s="6"/>
      <c r="B886" s="16"/>
    </row>
    <row r="887">
      <c r="A887" s="6"/>
      <c r="B887" s="16"/>
    </row>
    <row r="888">
      <c r="A888" s="6"/>
      <c r="B888" s="16"/>
    </row>
    <row r="889">
      <c r="A889" s="6"/>
      <c r="B889" s="16"/>
    </row>
    <row r="890">
      <c r="A890" s="6"/>
      <c r="B890" s="16"/>
    </row>
    <row r="891">
      <c r="A891" s="6"/>
      <c r="B891" s="16"/>
    </row>
    <row r="892">
      <c r="A892" s="6"/>
      <c r="B892" s="16"/>
    </row>
    <row r="893">
      <c r="A893" s="6"/>
      <c r="B893" s="16"/>
    </row>
    <row r="894">
      <c r="A894" s="6"/>
      <c r="B894" s="16"/>
    </row>
    <row r="895">
      <c r="A895" s="6"/>
      <c r="B895" s="16"/>
    </row>
    <row r="896">
      <c r="A896" s="6"/>
      <c r="B896" s="16"/>
    </row>
    <row r="897">
      <c r="A897" s="6"/>
      <c r="B897" s="16"/>
    </row>
    <row r="898">
      <c r="A898" s="6"/>
      <c r="B898" s="16"/>
    </row>
    <row r="899">
      <c r="A899" s="6"/>
      <c r="B899" s="16"/>
    </row>
    <row r="900">
      <c r="A900" s="6"/>
      <c r="B900" s="16"/>
    </row>
    <row r="901">
      <c r="A901" s="6"/>
      <c r="B901" s="16"/>
    </row>
    <row r="902">
      <c r="A902" s="6"/>
      <c r="B902" s="16"/>
    </row>
    <row r="903">
      <c r="A903" s="6"/>
      <c r="B903" s="16"/>
    </row>
    <row r="904">
      <c r="A904" s="6"/>
      <c r="B904" s="16"/>
    </row>
    <row r="905">
      <c r="A905" s="6"/>
      <c r="B905" s="16"/>
    </row>
    <row r="906">
      <c r="A906" s="6"/>
      <c r="B906" s="16"/>
    </row>
    <row r="907">
      <c r="A907" s="6"/>
      <c r="B907" s="16"/>
    </row>
    <row r="908">
      <c r="A908" s="6"/>
      <c r="B908" s="16"/>
    </row>
    <row r="909">
      <c r="A909" s="6"/>
      <c r="B909" s="16"/>
    </row>
    <row r="910">
      <c r="A910" s="6"/>
      <c r="B910" s="16"/>
    </row>
    <row r="911">
      <c r="A911" s="6"/>
      <c r="B911" s="16"/>
    </row>
    <row r="912">
      <c r="A912" s="6"/>
      <c r="B912" s="16"/>
    </row>
    <row r="913">
      <c r="A913" s="6"/>
      <c r="B913" s="16"/>
    </row>
    <row r="914">
      <c r="A914" s="6"/>
      <c r="B914" s="16"/>
    </row>
    <row r="915">
      <c r="A915" s="6"/>
      <c r="B915" s="16"/>
    </row>
    <row r="916">
      <c r="A916" s="6"/>
      <c r="B916" s="16"/>
    </row>
    <row r="917">
      <c r="A917" s="6"/>
      <c r="B917" s="16"/>
    </row>
    <row r="918">
      <c r="A918" s="6"/>
      <c r="B918" s="16"/>
    </row>
    <row r="919">
      <c r="A919" s="6"/>
      <c r="B919" s="16"/>
    </row>
    <row r="920">
      <c r="A920" s="6"/>
      <c r="B920" s="16"/>
    </row>
    <row r="921">
      <c r="A921" s="6"/>
      <c r="B921" s="16"/>
    </row>
    <row r="922">
      <c r="A922" s="6"/>
      <c r="B922" s="16"/>
    </row>
    <row r="923">
      <c r="A923" s="6"/>
      <c r="B923" s="16"/>
    </row>
    <row r="924">
      <c r="A924" s="6"/>
      <c r="B924" s="16"/>
    </row>
    <row r="925">
      <c r="A925" s="6"/>
      <c r="B925" s="16"/>
    </row>
    <row r="926">
      <c r="A926" s="6"/>
      <c r="B926" s="16"/>
    </row>
    <row r="927">
      <c r="A927" s="6"/>
      <c r="B927" s="16"/>
    </row>
    <row r="928">
      <c r="A928" s="6"/>
      <c r="B928" s="16"/>
    </row>
    <row r="929">
      <c r="A929" s="6"/>
      <c r="B929" s="16"/>
    </row>
    <row r="930">
      <c r="A930" s="6"/>
      <c r="B930" s="16"/>
    </row>
    <row r="931">
      <c r="A931" s="6"/>
      <c r="B931" s="16"/>
    </row>
    <row r="932">
      <c r="A932" s="6"/>
      <c r="B932" s="16"/>
    </row>
    <row r="933">
      <c r="A933" s="6"/>
      <c r="B933" s="16"/>
    </row>
    <row r="934">
      <c r="A934" s="6"/>
      <c r="B934" s="16"/>
    </row>
    <row r="935">
      <c r="A935" s="6"/>
      <c r="B935" s="16"/>
    </row>
    <row r="936">
      <c r="A936" s="6"/>
      <c r="B936" s="16"/>
    </row>
    <row r="937">
      <c r="A937" s="6"/>
      <c r="B937" s="16"/>
    </row>
    <row r="938">
      <c r="A938" s="6"/>
      <c r="B938" s="16"/>
    </row>
    <row r="939">
      <c r="A939" s="6"/>
      <c r="B939" s="16"/>
    </row>
    <row r="940">
      <c r="A940" s="6"/>
      <c r="B940" s="16"/>
    </row>
    <row r="941">
      <c r="A941" s="6"/>
      <c r="B941" s="16"/>
    </row>
    <row r="942">
      <c r="A942" s="6"/>
      <c r="B942" s="16"/>
    </row>
    <row r="943">
      <c r="A943" s="6"/>
      <c r="B943" s="16"/>
    </row>
    <row r="944">
      <c r="A944" s="6"/>
      <c r="B944" s="16"/>
    </row>
    <row r="945">
      <c r="A945" s="6"/>
      <c r="B945" s="16"/>
    </row>
    <row r="946">
      <c r="A946" s="6"/>
      <c r="B946" s="16"/>
    </row>
    <row r="947">
      <c r="A947" s="6"/>
      <c r="B947" s="16"/>
    </row>
    <row r="948">
      <c r="A948" s="6"/>
      <c r="B948" s="16"/>
    </row>
    <row r="949">
      <c r="A949" s="6"/>
      <c r="B949" s="16"/>
    </row>
    <row r="950">
      <c r="A950" s="6"/>
      <c r="B950" s="16"/>
    </row>
    <row r="951">
      <c r="A951" s="6"/>
      <c r="B951" s="16"/>
    </row>
    <row r="952">
      <c r="A952" s="6"/>
      <c r="B952" s="16"/>
    </row>
    <row r="953">
      <c r="A953" s="6"/>
      <c r="B953" s="16"/>
    </row>
    <row r="954">
      <c r="A954" s="6"/>
      <c r="B954" s="16"/>
    </row>
    <row r="955">
      <c r="A955" s="6"/>
      <c r="B955" s="16"/>
    </row>
    <row r="956">
      <c r="A956" s="6"/>
      <c r="B956" s="16"/>
    </row>
    <row r="957">
      <c r="A957" s="6"/>
      <c r="B957" s="16"/>
    </row>
    <row r="958">
      <c r="A958" s="6"/>
      <c r="B958" s="16"/>
    </row>
    <row r="959">
      <c r="A959" s="6"/>
      <c r="B959" s="16"/>
    </row>
    <row r="960">
      <c r="A960" s="6"/>
      <c r="B960" s="16"/>
    </row>
    <row r="961">
      <c r="A961" s="6"/>
      <c r="B961" s="16"/>
    </row>
    <row r="962">
      <c r="A962" s="6"/>
      <c r="B962" s="16"/>
    </row>
    <row r="963">
      <c r="A963" s="6"/>
      <c r="B963" s="16"/>
    </row>
    <row r="964">
      <c r="A964" s="6"/>
      <c r="B964" s="16"/>
    </row>
    <row r="965">
      <c r="A965" s="6"/>
      <c r="B965" s="16"/>
    </row>
    <row r="966">
      <c r="A966" s="6"/>
      <c r="B966" s="16"/>
    </row>
    <row r="967">
      <c r="A967" s="6"/>
      <c r="B967" s="16"/>
    </row>
    <row r="968">
      <c r="A968" s="6"/>
      <c r="B968" s="16"/>
    </row>
    <row r="969">
      <c r="A969" s="6"/>
      <c r="B969" s="16"/>
    </row>
    <row r="970">
      <c r="A970" s="6"/>
      <c r="B970" s="16"/>
    </row>
    <row r="971">
      <c r="A971" s="6"/>
      <c r="B971" s="16"/>
    </row>
    <row r="972">
      <c r="A972" s="6"/>
      <c r="B972" s="16"/>
    </row>
    <row r="973">
      <c r="A973" s="6"/>
      <c r="B973" s="16"/>
    </row>
    <row r="974">
      <c r="A974" s="6"/>
      <c r="B974" s="16"/>
    </row>
    <row r="975">
      <c r="A975" s="6"/>
      <c r="B975" s="16"/>
    </row>
    <row r="976">
      <c r="A976" s="6"/>
      <c r="B976" s="16"/>
    </row>
    <row r="977">
      <c r="A977" s="6"/>
      <c r="B977" s="16"/>
    </row>
    <row r="978">
      <c r="A978" s="6"/>
      <c r="B978" s="16"/>
    </row>
    <row r="979">
      <c r="A979" s="6"/>
      <c r="B979" s="16"/>
    </row>
    <row r="980">
      <c r="A980" s="6"/>
      <c r="B980" s="16"/>
    </row>
    <row r="981">
      <c r="A981" s="6"/>
      <c r="B981" s="16"/>
    </row>
    <row r="982">
      <c r="A982" s="6"/>
      <c r="B982" s="16"/>
    </row>
    <row r="983">
      <c r="A983" s="6"/>
      <c r="B983" s="16"/>
    </row>
    <row r="984">
      <c r="A984" s="6"/>
      <c r="B984" s="16"/>
    </row>
    <row r="985">
      <c r="A985" s="6"/>
      <c r="B985" s="16"/>
    </row>
    <row r="986">
      <c r="A986" s="6"/>
      <c r="B986" s="16"/>
    </row>
    <row r="987">
      <c r="A987" s="6"/>
      <c r="B987" s="16"/>
    </row>
    <row r="988">
      <c r="A988" s="6"/>
      <c r="B988" s="16"/>
    </row>
    <row r="989">
      <c r="A989" s="6"/>
      <c r="B989" s="16"/>
    </row>
    <row r="990">
      <c r="A990" s="6"/>
      <c r="B990" s="16"/>
    </row>
    <row r="991">
      <c r="A991" s="6"/>
      <c r="B991" s="16"/>
    </row>
    <row r="992">
      <c r="A992" s="6"/>
      <c r="B992" s="16"/>
    </row>
    <row r="993">
      <c r="A993" s="6"/>
      <c r="B993" s="16"/>
    </row>
    <row r="994">
      <c r="A994" s="6"/>
      <c r="B994" s="16"/>
    </row>
    <row r="995">
      <c r="A995" s="6"/>
      <c r="B995" s="16"/>
    </row>
    <row r="996">
      <c r="A996" s="6"/>
      <c r="B996" s="16"/>
    </row>
    <row r="997">
      <c r="A997" s="6"/>
      <c r="B997" s="16"/>
    </row>
    <row r="998">
      <c r="A998" s="6"/>
      <c r="B998" s="16"/>
    </row>
    <row r="999">
      <c r="A999" s="6"/>
      <c r="B999" s="16"/>
    </row>
    <row r="1000">
      <c r="A1000" s="6"/>
      <c r="B1000" s="16"/>
    </row>
    <row r="1001">
      <c r="A1001" s="6"/>
      <c r="B1001" s="16"/>
    </row>
    <row r="1002">
      <c r="A1002" s="6"/>
      <c r="B1002" s="16"/>
    </row>
    <row r="1003">
      <c r="A1003" s="6"/>
      <c r="B1003" s="16"/>
    </row>
    <row r="1004">
      <c r="A1004" s="6"/>
      <c r="B1004" s="16"/>
    </row>
    <row r="1005">
      <c r="A1005" s="6"/>
      <c r="B1005" s="16"/>
    </row>
    <row r="1006">
      <c r="A1006" s="6"/>
      <c r="B1006" s="16"/>
    </row>
    <row r="1007">
      <c r="A1007" s="6"/>
      <c r="B1007" s="16"/>
    </row>
    <row r="1008">
      <c r="A1008" s="6"/>
      <c r="B1008" s="16"/>
    </row>
    <row r="1009">
      <c r="A1009" s="6"/>
      <c r="B1009" s="16"/>
    </row>
    <row r="1010">
      <c r="A1010" s="6"/>
      <c r="B1010" s="16"/>
    </row>
    <row r="1011">
      <c r="A1011" s="6"/>
      <c r="B1011" s="16"/>
    </row>
    <row r="1012">
      <c r="A1012" s="6"/>
      <c r="B1012" s="16"/>
    </row>
  </sheetData>
  <dataValidations>
    <dataValidation type="list" allowBlank="1" showErrorMessage="1" sqref="B19">
      <formula1>"Rent,Teacher Salary,Printing,Internet,Marketing,Stationery,Events,Miscellanious"</formula1>
    </dataValidation>
    <dataValidation type="list" allowBlank="1" showErrorMessage="1" sqref="B2:B18 B20:B1012">
      <formula1>"Rent,Teacher Salary,Printing,Internet,Marketing,Stationery,Events"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25"/>
  </cols>
  <sheetData>
    <row r="1">
      <c r="A1" s="17" t="s">
        <v>381</v>
      </c>
    </row>
    <row r="2">
      <c r="A2" s="6"/>
    </row>
    <row r="3">
      <c r="A3" s="18" t="s">
        <v>382</v>
      </c>
      <c r="B3" s="19">
        <f>SUM(Form_Responses!P2:P1000)</f>
        <v>1364899</v>
      </c>
    </row>
    <row r="4">
      <c r="A4" s="20" t="s">
        <v>383</v>
      </c>
      <c r="B4" s="21">
        <f>SUM(Expenses!D:D)</f>
        <v>144248</v>
      </c>
    </row>
    <row r="5">
      <c r="A5" s="22" t="s">
        <v>384</v>
      </c>
      <c r="B5" s="23">
        <f>B3-B4</f>
        <v>1220651</v>
      </c>
    </row>
    <row r="6">
      <c r="A6" s="6"/>
    </row>
    <row r="7" ht="18.0" customHeight="1">
      <c r="A7" s="6"/>
    </row>
    <row r="8">
      <c r="A8" s="24" t="s">
        <v>385</v>
      </c>
      <c r="B8" s="25" t="s">
        <v>386</v>
      </c>
      <c r="C8" s="25" t="s">
        <v>387</v>
      </c>
      <c r="D8" s="25" t="s">
        <v>388</v>
      </c>
      <c r="F8" s="26" t="str">
        <f>IFERROR(__xludf.DUMMYFUNCTION("QUERY(Expenses!B:D, 
""select B, sum(D) 
 where B is not null 
 group by B 
 label B 'Expense Category', sum(D) 'Total Amount'"", 
0)"),"Expense Category")</f>
        <v>Expense Category</v>
      </c>
      <c r="G8" s="26" t="str">
        <f>IFERROR(__xludf.DUMMYFUNCTION("""COMPUTED_VALUE"""),"Total Amount")</f>
        <v>Total Amount</v>
      </c>
    </row>
    <row r="9">
      <c r="A9" s="27">
        <f>IFERROR(__xludf.DUMMYFUNCTION("ARRAYFORMULA(
  SORT(
    UNIQUE(
      EOMONTH(
        FILTER(Form_Responses!S:S, Form_Responses!S:S&lt;&gt;""""),
        0
      )
    )
  )
)"),45747.0)</f>
        <v>45747</v>
      </c>
      <c r="B9" s="16">
        <f t="array" ref="B9:B1000">MAP(A9:A1000, LAMBDA(m, IF(m="","",SUMIFS(Form_Responses!P:P, Form_Responses!S:S, "&gt;="&amp;EOMONTH(m,-1)+1, Form_Responses!S:S,"&lt;="&amp;EOMONTH(m,0)))))</f>
        <v>137100</v>
      </c>
      <c r="C9" s="16">
        <f t="array" ref="C9:C1000">MAP(A9:A1000, LAMBDA(m, IF(m="","",SUMIFS(Expenses!D:D, Expenses!A:A, "&gt;="&amp;EOMONTH(m,-1)+1, Expenses!A:A,"&lt;="&amp;EOMONTH(m,0)))))</f>
        <v>0</v>
      </c>
      <c r="D9" s="16">
        <f t="array" ref="D9:D1000">IF(A9:A1000="","",B9:B1000-C9:C1000)
</f>
        <v>137100</v>
      </c>
      <c r="F9" s="16" t="str">
        <f>IFERROR(__xludf.DUMMYFUNCTION("""COMPUTED_VALUE"""),"Events")</f>
        <v>Events</v>
      </c>
      <c r="G9" s="16">
        <f>IFERROR(__xludf.DUMMYFUNCTION("""COMPUTED_VALUE"""),1000.0)</f>
        <v>1000</v>
      </c>
    </row>
    <row r="10">
      <c r="A10" s="27">
        <f>IFERROR(__xludf.DUMMYFUNCTION("""COMPUTED_VALUE"""),45808.0)</f>
        <v>45808</v>
      </c>
      <c r="B10" s="16">
        <v>334000.0</v>
      </c>
      <c r="C10" s="16">
        <v>0.0</v>
      </c>
      <c r="D10" s="16">
        <v>334000.0</v>
      </c>
      <c r="F10" s="16" t="str">
        <f>IFERROR(__xludf.DUMMYFUNCTION("""COMPUTED_VALUE"""),"Expense Category")</f>
        <v>Expense Category</v>
      </c>
      <c r="G10" s="16"/>
    </row>
    <row r="11">
      <c r="A11" s="27">
        <f>IFERROR(__xludf.DUMMYFUNCTION("""COMPUTED_VALUE"""),45991.0)</f>
        <v>45991</v>
      </c>
      <c r="B11" s="16">
        <v>202500.0</v>
      </c>
      <c r="C11" s="16">
        <v>0.0</v>
      </c>
      <c r="D11" s="16">
        <v>202500.0</v>
      </c>
      <c r="F11" s="16" t="str">
        <f>IFERROR(__xludf.DUMMYFUNCTION("""COMPUTED_VALUE"""),"Internet")</f>
        <v>Internet</v>
      </c>
      <c r="G11" s="16">
        <f>IFERROR(__xludf.DUMMYFUNCTION("""COMPUTED_VALUE"""),3000.0)</f>
        <v>3000</v>
      </c>
    </row>
    <row r="12">
      <c r="A12" s="27">
        <f>IFERROR(__xludf.DUMMYFUNCTION("""COMPUTED_VALUE"""),46022.0)</f>
        <v>46022</v>
      </c>
      <c r="B12" s="16">
        <v>339699.0</v>
      </c>
      <c r="C12" s="16">
        <v>103683.0</v>
      </c>
      <c r="D12" s="16">
        <v>236016.0</v>
      </c>
      <c r="F12" s="16" t="str">
        <f>IFERROR(__xludf.DUMMYFUNCTION("""COMPUTED_VALUE"""),"Marketing")</f>
        <v>Marketing</v>
      </c>
      <c r="G12" s="16">
        <f>IFERROR(__xludf.DUMMYFUNCTION("""COMPUTED_VALUE"""),5200.0)</f>
        <v>5200</v>
      </c>
    </row>
    <row r="13">
      <c r="A13" s="27">
        <f>IFERROR(__xludf.DUMMYFUNCTION("""COMPUTED_VALUE"""),46053.0)</f>
        <v>46053</v>
      </c>
      <c r="B13" s="16">
        <v>97000.0</v>
      </c>
      <c r="C13" s="16">
        <v>13550.0</v>
      </c>
      <c r="D13" s="16">
        <v>83450.0</v>
      </c>
      <c r="F13" s="16" t="str">
        <f>IFERROR(__xludf.DUMMYFUNCTION("""COMPUTED_VALUE"""),"Miscellanious")</f>
        <v>Miscellanious</v>
      </c>
      <c r="G13" s="16">
        <f>IFERROR(__xludf.DUMMYFUNCTION("""COMPUTED_VALUE"""),1000.0)</f>
        <v>1000</v>
      </c>
    </row>
    <row r="14">
      <c r="A14" s="27">
        <f>IFERROR(__xludf.DUMMYFUNCTION("""COMPUTED_VALUE"""),46081.0)</f>
        <v>46081</v>
      </c>
      <c r="B14" s="16">
        <v>2000.0</v>
      </c>
      <c r="C14" s="16">
        <v>14365.0</v>
      </c>
      <c r="D14" s="16">
        <v>-12365.0</v>
      </c>
      <c r="F14" s="16" t="str">
        <f>IFERROR(__xludf.DUMMYFUNCTION("""COMPUTED_VALUE"""),"Printing")</f>
        <v>Printing</v>
      </c>
      <c r="G14" s="16">
        <f>IFERROR(__xludf.DUMMYFUNCTION("""COMPUTED_VALUE"""),31848.0)</f>
        <v>31848</v>
      </c>
    </row>
    <row r="15">
      <c r="A15" s="27">
        <f>IFERROR(__xludf.DUMMYFUNCTION("""COMPUTED_VALUE"""),46112.0)</f>
        <v>46112</v>
      </c>
      <c r="B15" s="16">
        <v>240100.0</v>
      </c>
      <c r="C15" s="16">
        <v>12650.0</v>
      </c>
      <c r="D15" s="16">
        <v>227450.0</v>
      </c>
      <c r="F15" s="16" t="str">
        <f>IFERROR(__xludf.DUMMYFUNCTION("""COMPUTED_VALUE"""),"Rent")</f>
        <v>Rent</v>
      </c>
      <c r="G15" s="16">
        <f>IFERROR(__xludf.DUMMYFUNCTION("""COMPUTED_VALUE"""),65200.0)</f>
        <v>65200</v>
      </c>
    </row>
    <row r="16">
      <c r="A16" s="27" t="str">
        <f>IFERROR(__xludf.DUMMYFUNCTION("""COMPUTED_VALUE"""),"#VALUE!")</f>
        <v>#VALUE!</v>
      </c>
      <c r="B16" s="16" t="e">
        <v>#VALUE!</v>
      </c>
      <c r="C16" s="16" t="e">
        <v>#VALUE!</v>
      </c>
      <c r="D16" s="16" t="e">
        <v>#VALUE!</v>
      </c>
      <c r="F16" s="16" t="str">
        <f>IFERROR(__xludf.DUMMYFUNCTION("""COMPUTED_VALUE"""),"Teacher Salary")</f>
        <v>Teacher Salary</v>
      </c>
      <c r="G16" s="16">
        <f>IFERROR(__xludf.DUMMYFUNCTION("""COMPUTED_VALUE"""),37000.0)</f>
        <v>37000</v>
      </c>
    </row>
    <row r="17">
      <c r="A17" s="27"/>
      <c r="B17" s="16" t="s">
        <v>389</v>
      </c>
      <c r="C17" s="16" t="s">
        <v>389</v>
      </c>
      <c r="D17" s="16" t="s">
        <v>389</v>
      </c>
    </row>
    <row r="18">
      <c r="A18" s="27"/>
      <c r="B18" s="16" t="s">
        <v>389</v>
      </c>
      <c r="C18" s="16" t="s">
        <v>389</v>
      </c>
      <c r="D18" s="16" t="s">
        <v>389</v>
      </c>
    </row>
    <row r="19">
      <c r="A19" s="27"/>
      <c r="B19" s="16" t="s">
        <v>389</v>
      </c>
      <c r="C19" s="16" t="s">
        <v>389</v>
      </c>
      <c r="D19" s="16" t="s">
        <v>389</v>
      </c>
    </row>
    <row r="20">
      <c r="A20" s="27"/>
      <c r="B20" s="16" t="s">
        <v>389</v>
      </c>
      <c r="C20" s="16" t="s">
        <v>389</v>
      </c>
      <c r="D20" s="16" t="s">
        <v>389</v>
      </c>
    </row>
    <row r="21">
      <c r="A21" s="27"/>
      <c r="B21" s="16" t="s">
        <v>389</v>
      </c>
      <c r="C21" s="16" t="s">
        <v>389</v>
      </c>
      <c r="D21" s="16" t="s">
        <v>389</v>
      </c>
    </row>
    <row r="22">
      <c r="A22" s="28"/>
      <c r="B22" s="16" t="s">
        <v>389</v>
      </c>
      <c r="C22" s="16" t="s">
        <v>389</v>
      </c>
      <c r="D22" s="16" t="s">
        <v>389</v>
      </c>
    </row>
    <row r="23">
      <c r="A23" s="27"/>
      <c r="B23" s="16" t="s">
        <v>389</v>
      </c>
      <c r="C23" s="16" t="s">
        <v>389</v>
      </c>
      <c r="D23" s="16" t="s">
        <v>389</v>
      </c>
    </row>
    <row r="24">
      <c r="A24" s="27"/>
      <c r="B24" s="16" t="s">
        <v>389</v>
      </c>
      <c r="C24" s="16" t="s">
        <v>389</v>
      </c>
      <c r="D24" s="16" t="s">
        <v>389</v>
      </c>
    </row>
    <row r="25">
      <c r="A25" s="27"/>
      <c r="B25" s="16" t="s">
        <v>389</v>
      </c>
      <c r="C25" s="16" t="s">
        <v>389</v>
      </c>
      <c r="D25" s="16" t="s">
        <v>389</v>
      </c>
    </row>
    <row r="26">
      <c r="A26" s="27"/>
      <c r="B26" s="16" t="s">
        <v>389</v>
      </c>
      <c r="C26" s="16" t="s">
        <v>389</v>
      </c>
      <c r="D26" s="16" t="s">
        <v>389</v>
      </c>
    </row>
    <row r="27">
      <c r="A27" s="27"/>
      <c r="B27" s="16" t="s">
        <v>389</v>
      </c>
      <c r="C27" s="16" t="s">
        <v>389</v>
      </c>
      <c r="D27" s="16" t="s">
        <v>389</v>
      </c>
    </row>
    <row r="28">
      <c r="A28" s="27"/>
      <c r="B28" s="16" t="s">
        <v>389</v>
      </c>
      <c r="C28" s="16" t="s">
        <v>389</v>
      </c>
      <c r="D28" s="16" t="s">
        <v>389</v>
      </c>
    </row>
    <row r="29">
      <c r="A29" s="27"/>
      <c r="B29" s="16" t="s">
        <v>389</v>
      </c>
      <c r="C29" s="16" t="s">
        <v>389</v>
      </c>
      <c r="D29" s="16" t="s">
        <v>389</v>
      </c>
    </row>
    <row r="30">
      <c r="A30" s="27"/>
      <c r="B30" s="16" t="s">
        <v>389</v>
      </c>
      <c r="C30" s="16" t="s">
        <v>389</v>
      </c>
      <c r="D30" s="16" t="s">
        <v>389</v>
      </c>
    </row>
    <row r="31">
      <c r="A31" s="27"/>
      <c r="B31" s="16" t="s">
        <v>389</v>
      </c>
      <c r="C31" s="16" t="s">
        <v>389</v>
      </c>
      <c r="D31" s="16" t="s">
        <v>389</v>
      </c>
    </row>
    <row r="32">
      <c r="A32" s="6"/>
      <c r="B32" s="16" t="s">
        <v>389</v>
      </c>
      <c r="C32" s="16" t="s">
        <v>389</v>
      </c>
      <c r="D32" s="16" t="s">
        <v>389</v>
      </c>
    </row>
    <row r="33">
      <c r="A33" s="6"/>
      <c r="B33" s="16" t="s">
        <v>389</v>
      </c>
      <c r="C33" s="16" t="s">
        <v>389</v>
      </c>
      <c r="D33" s="16" t="s">
        <v>389</v>
      </c>
    </row>
    <row r="34">
      <c r="A34" s="6"/>
      <c r="B34" s="16" t="s">
        <v>389</v>
      </c>
      <c r="C34" s="16" t="s">
        <v>389</v>
      </c>
      <c r="D34" s="16" t="s">
        <v>389</v>
      </c>
    </row>
    <row r="35">
      <c r="A35" s="6"/>
      <c r="B35" s="16" t="s">
        <v>389</v>
      </c>
      <c r="C35" s="16" t="s">
        <v>389</v>
      </c>
      <c r="D35" s="16" t="s">
        <v>389</v>
      </c>
    </row>
    <row r="36">
      <c r="A36" s="6"/>
      <c r="B36" s="16" t="s">
        <v>389</v>
      </c>
      <c r="C36" s="16" t="s">
        <v>389</v>
      </c>
      <c r="D36" s="16" t="s">
        <v>389</v>
      </c>
    </row>
    <row r="37">
      <c r="A37" s="6"/>
      <c r="B37" s="16" t="s">
        <v>389</v>
      </c>
      <c r="C37" s="16" t="s">
        <v>389</v>
      </c>
      <c r="D37" s="16" t="s">
        <v>389</v>
      </c>
    </row>
    <row r="38">
      <c r="A38" s="6"/>
      <c r="B38" s="16" t="s">
        <v>389</v>
      </c>
      <c r="C38" s="16" t="s">
        <v>389</v>
      </c>
      <c r="D38" s="16" t="s">
        <v>389</v>
      </c>
    </row>
    <row r="39">
      <c r="A39" s="6"/>
      <c r="B39" s="16" t="s">
        <v>389</v>
      </c>
      <c r="C39" s="16" t="s">
        <v>389</v>
      </c>
      <c r="D39" s="16" t="s">
        <v>389</v>
      </c>
    </row>
    <row r="40">
      <c r="A40" s="6"/>
      <c r="B40" s="16" t="s">
        <v>389</v>
      </c>
      <c r="C40" s="16" t="s">
        <v>389</v>
      </c>
      <c r="D40" s="16" t="s">
        <v>389</v>
      </c>
    </row>
    <row r="41">
      <c r="A41" s="6"/>
      <c r="B41" s="16" t="s">
        <v>389</v>
      </c>
      <c r="C41" s="16" t="s">
        <v>389</v>
      </c>
      <c r="D41" s="16" t="s">
        <v>389</v>
      </c>
    </row>
    <row r="42">
      <c r="A42" s="6"/>
      <c r="B42" s="16" t="s">
        <v>389</v>
      </c>
      <c r="C42" s="16" t="s">
        <v>389</v>
      </c>
      <c r="D42" s="16" t="s">
        <v>389</v>
      </c>
    </row>
    <row r="43">
      <c r="A43" s="6"/>
      <c r="B43" s="16" t="s">
        <v>389</v>
      </c>
      <c r="C43" s="16" t="s">
        <v>389</v>
      </c>
      <c r="D43" s="16" t="s">
        <v>389</v>
      </c>
    </row>
    <row r="44">
      <c r="A44" s="6"/>
      <c r="B44" s="16" t="s">
        <v>389</v>
      </c>
      <c r="C44" s="16" t="s">
        <v>389</v>
      </c>
      <c r="D44" s="16" t="s">
        <v>389</v>
      </c>
    </row>
    <row r="45">
      <c r="A45" s="6"/>
      <c r="B45" s="16" t="s">
        <v>389</v>
      </c>
      <c r="C45" s="16" t="s">
        <v>389</v>
      </c>
      <c r="D45" s="16" t="s">
        <v>389</v>
      </c>
    </row>
    <row r="46">
      <c r="A46" s="6"/>
      <c r="B46" s="16" t="s">
        <v>389</v>
      </c>
      <c r="C46" s="16" t="s">
        <v>389</v>
      </c>
      <c r="D46" s="16" t="s">
        <v>389</v>
      </c>
    </row>
    <row r="47">
      <c r="A47" s="6"/>
      <c r="B47" s="16" t="s">
        <v>389</v>
      </c>
      <c r="C47" s="16" t="s">
        <v>389</v>
      </c>
      <c r="D47" s="16" t="s">
        <v>389</v>
      </c>
    </row>
    <row r="48">
      <c r="A48" s="6"/>
      <c r="B48" s="16" t="s">
        <v>389</v>
      </c>
      <c r="C48" s="16" t="s">
        <v>389</v>
      </c>
      <c r="D48" s="16" t="s">
        <v>389</v>
      </c>
    </row>
    <row r="49">
      <c r="A49" s="6"/>
      <c r="B49" s="16" t="s">
        <v>389</v>
      </c>
      <c r="C49" s="16" t="s">
        <v>389</v>
      </c>
      <c r="D49" s="16" t="s">
        <v>389</v>
      </c>
    </row>
    <row r="50">
      <c r="A50" s="6"/>
      <c r="B50" s="16" t="s">
        <v>389</v>
      </c>
      <c r="C50" s="16" t="s">
        <v>389</v>
      </c>
      <c r="D50" s="16" t="s">
        <v>389</v>
      </c>
    </row>
    <row r="51">
      <c r="A51" s="6"/>
      <c r="B51" s="16" t="s">
        <v>389</v>
      </c>
      <c r="C51" s="16" t="s">
        <v>389</v>
      </c>
      <c r="D51" s="16" t="s">
        <v>389</v>
      </c>
    </row>
    <row r="52">
      <c r="A52" s="6"/>
      <c r="B52" s="16" t="s">
        <v>389</v>
      </c>
      <c r="C52" s="16" t="s">
        <v>389</v>
      </c>
      <c r="D52" s="16" t="s">
        <v>389</v>
      </c>
    </row>
    <row r="53">
      <c r="A53" s="6"/>
      <c r="B53" s="16" t="s">
        <v>389</v>
      </c>
      <c r="C53" s="16" t="s">
        <v>389</v>
      </c>
      <c r="D53" s="16" t="s">
        <v>389</v>
      </c>
    </row>
    <row r="54">
      <c r="A54" s="6"/>
      <c r="B54" s="16" t="s">
        <v>389</v>
      </c>
      <c r="C54" s="16" t="s">
        <v>389</v>
      </c>
      <c r="D54" s="16" t="s">
        <v>389</v>
      </c>
    </row>
    <row r="55">
      <c r="A55" s="6"/>
      <c r="B55" s="16" t="s">
        <v>389</v>
      </c>
      <c r="C55" s="16" t="s">
        <v>389</v>
      </c>
      <c r="D55" s="16" t="s">
        <v>389</v>
      </c>
    </row>
    <row r="56">
      <c r="A56" s="6"/>
      <c r="B56" s="16" t="s">
        <v>389</v>
      </c>
      <c r="C56" s="16" t="s">
        <v>389</v>
      </c>
      <c r="D56" s="16" t="s">
        <v>389</v>
      </c>
    </row>
    <row r="57">
      <c r="A57" s="6"/>
      <c r="B57" s="16" t="s">
        <v>389</v>
      </c>
      <c r="C57" s="16" t="s">
        <v>389</v>
      </c>
      <c r="D57" s="16" t="s">
        <v>389</v>
      </c>
    </row>
    <row r="58">
      <c r="A58" s="6"/>
      <c r="B58" s="16" t="s">
        <v>389</v>
      </c>
      <c r="C58" s="16" t="s">
        <v>389</v>
      </c>
      <c r="D58" s="16" t="s">
        <v>389</v>
      </c>
    </row>
    <row r="59">
      <c r="A59" s="6"/>
      <c r="B59" s="16" t="s">
        <v>389</v>
      </c>
      <c r="C59" s="16" t="s">
        <v>389</v>
      </c>
      <c r="D59" s="16" t="s">
        <v>389</v>
      </c>
    </row>
    <row r="60">
      <c r="A60" s="6"/>
      <c r="B60" s="16" t="s">
        <v>389</v>
      </c>
      <c r="C60" s="16" t="s">
        <v>389</v>
      </c>
      <c r="D60" s="16" t="s">
        <v>389</v>
      </c>
    </row>
    <row r="61">
      <c r="A61" s="6"/>
      <c r="B61" s="16" t="s">
        <v>389</v>
      </c>
      <c r="C61" s="16" t="s">
        <v>389</v>
      </c>
      <c r="D61" s="16" t="s">
        <v>389</v>
      </c>
    </row>
    <row r="62">
      <c r="A62" s="6"/>
      <c r="B62" s="16" t="s">
        <v>389</v>
      </c>
      <c r="C62" s="16" t="s">
        <v>389</v>
      </c>
      <c r="D62" s="16" t="s">
        <v>389</v>
      </c>
    </row>
    <row r="63">
      <c r="A63" s="6"/>
      <c r="B63" s="16" t="s">
        <v>389</v>
      </c>
      <c r="C63" s="16" t="s">
        <v>389</v>
      </c>
      <c r="D63" s="16" t="s">
        <v>389</v>
      </c>
    </row>
    <row r="64">
      <c r="A64" s="6"/>
      <c r="B64" s="16" t="s">
        <v>389</v>
      </c>
      <c r="C64" s="16" t="s">
        <v>389</v>
      </c>
      <c r="D64" s="16" t="s">
        <v>389</v>
      </c>
    </row>
    <row r="65">
      <c r="A65" s="6"/>
      <c r="B65" s="16" t="s">
        <v>389</v>
      </c>
      <c r="C65" s="16" t="s">
        <v>389</v>
      </c>
      <c r="D65" s="16" t="s">
        <v>389</v>
      </c>
    </row>
    <row r="66">
      <c r="A66" s="6"/>
      <c r="B66" s="16" t="s">
        <v>389</v>
      </c>
      <c r="C66" s="16" t="s">
        <v>389</v>
      </c>
      <c r="D66" s="16" t="s">
        <v>389</v>
      </c>
    </row>
    <row r="67">
      <c r="A67" s="6"/>
      <c r="B67" s="16" t="s">
        <v>389</v>
      </c>
      <c r="C67" s="16" t="s">
        <v>389</v>
      </c>
      <c r="D67" s="16" t="s">
        <v>389</v>
      </c>
    </row>
    <row r="68">
      <c r="A68" s="6"/>
      <c r="B68" s="16" t="s">
        <v>389</v>
      </c>
      <c r="C68" s="16" t="s">
        <v>389</v>
      </c>
      <c r="D68" s="16" t="s">
        <v>389</v>
      </c>
    </row>
    <row r="69">
      <c r="A69" s="6"/>
      <c r="B69" s="16" t="s">
        <v>389</v>
      </c>
      <c r="C69" s="16" t="s">
        <v>389</v>
      </c>
      <c r="D69" s="16" t="s">
        <v>389</v>
      </c>
    </row>
    <row r="70">
      <c r="A70" s="6"/>
      <c r="B70" s="16" t="s">
        <v>389</v>
      </c>
      <c r="C70" s="16" t="s">
        <v>389</v>
      </c>
      <c r="D70" s="16" t="s">
        <v>389</v>
      </c>
    </row>
    <row r="71">
      <c r="A71" s="6"/>
      <c r="B71" s="16" t="s">
        <v>389</v>
      </c>
      <c r="C71" s="16" t="s">
        <v>389</v>
      </c>
      <c r="D71" s="16" t="s">
        <v>389</v>
      </c>
    </row>
    <row r="72">
      <c r="A72" s="6"/>
      <c r="B72" s="16" t="s">
        <v>389</v>
      </c>
      <c r="C72" s="16" t="s">
        <v>389</v>
      </c>
      <c r="D72" s="16" t="s">
        <v>389</v>
      </c>
    </row>
    <row r="73">
      <c r="A73" s="6"/>
      <c r="B73" s="16" t="s">
        <v>389</v>
      </c>
      <c r="C73" s="16" t="s">
        <v>389</v>
      </c>
      <c r="D73" s="16" t="s">
        <v>389</v>
      </c>
    </row>
    <row r="74">
      <c r="A74" s="6"/>
      <c r="B74" s="16" t="s">
        <v>389</v>
      </c>
      <c r="C74" s="16" t="s">
        <v>389</v>
      </c>
      <c r="D74" s="16" t="s">
        <v>389</v>
      </c>
    </row>
    <row r="75">
      <c r="A75" s="6"/>
      <c r="B75" s="16" t="s">
        <v>389</v>
      </c>
      <c r="C75" s="16" t="s">
        <v>389</v>
      </c>
      <c r="D75" s="16" t="s">
        <v>389</v>
      </c>
    </row>
    <row r="76">
      <c r="A76" s="6"/>
      <c r="B76" s="16" t="s">
        <v>389</v>
      </c>
      <c r="C76" s="16" t="s">
        <v>389</v>
      </c>
      <c r="D76" s="16" t="s">
        <v>389</v>
      </c>
    </row>
    <row r="77">
      <c r="A77" s="6"/>
      <c r="B77" s="16" t="s">
        <v>389</v>
      </c>
      <c r="C77" s="16" t="s">
        <v>389</v>
      </c>
      <c r="D77" s="16" t="s">
        <v>389</v>
      </c>
    </row>
    <row r="78">
      <c r="A78" s="6"/>
      <c r="B78" s="16" t="s">
        <v>389</v>
      </c>
      <c r="C78" s="16" t="s">
        <v>389</v>
      </c>
      <c r="D78" s="16" t="s">
        <v>389</v>
      </c>
    </row>
    <row r="79">
      <c r="A79" s="6"/>
      <c r="B79" s="16" t="s">
        <v>389</v>
      </c>
      <c r="C79" s="16" t="s">
        <v>389</v>
      </c>
      <c r="D79" s="16" t="s">
        <v>389</v>
      </c>
    </row>
    <row r="80">
      <c r="A80" s="6"/>
      <c r="B80" s="16" t="s">
        <v>389</v>
      </c>
      <c r="C80" s="16" t="s">
        <v>389</v>
      </c>
      <c r="D80" s="16" t="s">
        <v>389</v>
      </c>
    </row>
    <row r="81">
      <c r="A81" s="6"/>
      <c r="B81" s="16" t="s">
        <v>389</v>
      </c>
      <c r="C81" s="16" t="s">
        <v>389</v>
      </c>
      <c r="D81" s="16" t="s">
        <v>389</v>
      </c>
    </row>
    <row r="82">
      <c r="A82" s="6"/>
      <c r="B82" s="16" t="s">
        <v>389</v>
      </c>
      <c r="C82" s="16" t="s">
        <v>389</v>
      </c>
      <c r="D82" s="16" t="s">
        <v>389</v>
      </c>
    </row>
    <row r="83">
      <c r="A83" s="6"/>
      <c r="B83" s="16" t="s">
        <v>389</v>
      </c>
      <c r="C83" s="16" t="s">
        <v>389</v>
      </c>
      <c r="D83" s="16" t="s">
        <v>389</v>
      </c>
    </row>
    <row r="84">
      <c r="A84" s="6"/>
      <c r="B84" s="16" t="s">
        <v>389</v>
      </c>
      <c r="C84" s="16" t="s">
        <v>389</v>
      </c>
      <c r="D84" s="16" t="s">
        <v>389</v>
      </c>
    </row>
    <row r="85">
      <c r="A85" s="6"/>
      <c r="B85" s="16" t="s">
        <v>389</v>
      </c>
      <c r="C85" s="16" t="s">
        <v>389</v>
      </c>
      <c r="D85" s="16" t="s">
        <v>389</v>
      </c>
    </row>
    <row r="86">
      <c r="A86" s="6"/>
      <c r="B86" s="16" t="s">
        <v>389</v>
      </c>
      <c r="C86" s="16" t="s">
        <v>389</v>
      </c>
      <c r="D86" s="16" t="s">
        <v>389</v>
      </c>
    </row>
    <row r="87">
      <c r="A87" s="6"/>
      <c r="B87" s="16" t="s">
        <v>389</v>
      </c>
      <c r="C87" s="16" t="s">
        <v>389</v>
      </c>
      <c r="D87" s="16" t="s">
        <v>389</v>
      </c>
    </row>
    <row r="88">
      <c r="A88" s="6"/>
      <c r="B88" s="16" t="s">
        <v>389</v>
      </c>
      <c r="C88" s="16" t="s">
        <v>389</v>
      </c>
      <c r="D88" s="16" t="s">
        <v>389</v>
      </c>
    </row>
    <row r="89">
      <c r="A89" s="6"/>
      <c r="B89" s="16" t="s">
        <v>389</v>
      </c>
      <c r="C89" s="16" t="s">
        <v>389</v>
      </c>
      <c r="D89" s="16" t="s">
        <v>389</v>
      </c>
    </row>
    <row r="90">
      <c r="A90" s="6"/>
      <c r="B90" s="16" t="s">
        <v>389</v>
      </c>
      <c r="C90" s="16" t="s">
        <v>389</v>
      </c>
      <c r="D90" s="16" t="s">
        <v>389</v>
      </c>
    </row>
    <row r="91">
      <c r="A91" s="6"/>
      <c r="B91" s="16" t="s">
        <v>389</v>
      </c>
      <c r="C91" s="16" t="s">
        <v>389</v>
      </c>
      <c r="D91" s="16" t="s">
        <v>389</v>
      </c>
    </row>
    <row r="92">
      <c r="A92" s="6"/>
      <c r="B92" s="16" t="s">
        <v>389</v>
      </c>
      <c r="C92" s="16" t="s">
        <v>389</v>
      </c>
      <c r="D92" s="16" t="s">
        <v>389</v>
      </c>
    </row>
    <row r="93">
      <c r="A93" s="6"/>
      <c r="B93" s="16" t="s">
        <v>389</v>
      </c>
      <c r="C93" s="16" t="s">
        <v>389</v>
      </c>
      <c r="D93" s="16" t="s">
        <v>389</v>
      </c>
    </row>
    <row r="94">
      <c r="A94" s="6"/>
      <c r="B94" s="16" t="s">
        <v>389</v>
      </c>
      <c r="C94" s="16" t="s">
        <v>389</v>
      </c>
      <c r="D94" s="16" t="s">
        <v>389</v>
      </c>
    </row>
    <row r="95">
      <c r="A95" s="6"/>
      <c r="B95" s="16" t="s">
        <v>389</v>
      </c>
      <c r="C95" s="16" t="s">
        <v>389</v>
      </c>
      <c r="D95" s="16" t="s">
        <v>389</v>
      </c>
    </row>
    <row r="96">
      <c r="A96" s="6"/>
      <c r="B96" s="16" t="s">
        <v>389</v>
      </c>
      <c r="C96" s="16" t="s">
        <v>389</v>
      </c>
      <c r="D96" s="16" t="s">
        <v>389</v>
      </c>
    </row>
    <row r="97">
      <c r="A97" s="6"/>
      <c r="B97" s="16" t="s">
        <v>389</v>
      </c>
      <c r="C97" s="16" t="s">
        <v>389</v>
      </c>
      <c r="D97" s="16" t="s">
        <v>389</v>
      </c>
    </row>
    <row r="98">
      <c r="A98" s="6"/>
      <c r="B98" s="16" t="s">
        <v>389</v>
      </c>
      <c r="C98" s="16" t="s">
        <v>389</v>
      </c>
      <c r="D98" s="16" t="s">
        <v>389</v>
      </c>
    </row>
    <row r="99">
      <c r="A99" s="6"/>
      <c r="B99" s="16" t="s">
        <v>389</v>
      </c>
      <c r="C99" s="16" t="s">
        <v>389</v>
      </c>
      <c r="D99" s="16" t="s">
        <v>389</v>
      </c>
    </row>
    <row r="100">
      <c r="A100" s="6"/>
      <c r="B100" s="16" t="s">
        <v>389</v>
      </c>
      <c r="C100" s="16" t="s">
        <v>389</v>
      </c>
      <c r="D100" s="16" t="s">
        <v>389</v>
      </c>
    </row>
    <row r="101">
      <c r="A101" s="6"/>
      <c r="B101" s="16" t="s">
        <v>389</v>
      </c>
      <c r="C101" s="16" t="s">
        <v>389</v>
      </c>
      <c r="D101" s="16" t="s">
        <v>389</v>
      </c>
    </row>
    <row r="102">
      <c r="A102" s="6"/>
      <c r="B102" s="16" t="s">
        <v>389</v>
      </c>
      <c r="C102" s="16" t="s">
        <v>389</v>
      </c>
      <c r="D102" s="16" t="s">
        <v>389</v>
      </c>
    </row>
    <row r="103">
      <c r="A103" s="6"/>
      <c r="B103" s="16" t="s">
        <v>389</v>
      </c>
      <c r="C103" s="16" t="s">
        <v>389</v>
      </c>
      <c r="D103" s="16" t="s">
        <v>389</v>
      </c>
    </row>
    <row r="104">
      <c r="A104" s="6"/>
      <c r="B104" s="16" t="s">
        <v>389</v>
      </c>
      <c r="C104" s="16" t="s">
        <v>389</v>
      </c>
      <c r="D104" s="16" t="s">
        <v>389</v>
      </c>
    </row>
    <row r="105">
      <c r="A105" s="6"/>
      <c r="B105" s="16" t="s">
        <v>389</v>
      </c>
      <c r="C105" s="16" t="s">
        <v>389</v>
      </c>
      <c r="D105" s="16" t="s">
        <v>389</v>
      </c>
    </row>
    <row r="106">
      <c r="A106" s="6"/>
      <c r="B106" s="16" t="s">
        <v>389</v>
      </c>
      <c r="C106" s="16" t="s">
        <v>389</v>
      </c>
      <c r="D106" s="16" t="s">
        <v>389</v>
      </c>
    </row>
    <row r="107">
      <c r="A107" s="6"/>
      <c r="B107" s="16" t="s">
        <v>389</v>
      </c>
      <c r="C107" s="16" t="s">
        <v>389</v>
      </c>
      <c r="D107" s="16" t="s">
        <v>389</v>
      </c>
    </row>
    <row r="108">
      <c r="A108" s="6"/>
      <c r="B108" s="16" t="s">
        <v>389</v>
      </c>
      <c r="C108" s="16" t="s">
        <v>389</v>
      </c>
      <c r="D108" s="16" t="s">
        <v>389</v>
      </c>
    </row>
    <row r="109">
      <c r="A109" s="6"/>
      <c r="B109" s="16" t="s">
        <v>389</v>
      </c>
      <c r="C109" s="16" t="s">
        <v>389</v>
      </c>
      <c r="D109" s="16" t="s">
        <v>389</v>
      </c>
    </row>
    <row r="110">
      <c r="A110" s="6"/>
      <c r="B110" s="16" t="s">
        <v>389</v>
      </c>
      <c r="C110" s="16" t="s">
        <v>389</v>
      </c>
      <c r="D110" s="16" t="s">
        <v>389</v>
      </c>
    </row>
    <row r="111">
      <c r="A111" s="6"/>
      <c r="B111" s="16" t="s">
        <v>389</v>
      </c>
      <c r="C111" s="16" t="s">
        <v>389</v>
      </c>
      <c r="D111" s="16" t="s">
        <v>389</v>
      </c>
    </row>
    <row r="112">
      <c r="A112" s="6"/>
      <c r="B112" s="16" t="s">
        <v>389</v>
      </c>
      <c r="C112" s="16" t="s">
        <v>389</v>
      </c>
      <c r="D112" s="16" t="s">
        <v>389</v>
      </c>
    </row>
    <row r="113">
      <c r="A113" s="6"/>
      <c r="B113" s="16" t="s">
        <v>389</v>
      </c>
      <c r="C113" s="16" t="s">
        <v>389</v>
      </c>
      <c r="D113" s="16" t="s">
        <v>389</v>
      </c>
    </row>
    <row r="114">
      <c r="A114" s="6"/>
      <c r="B114" s="16" t="s">
        <v>389</v>
      </c>
      <c r="C114" s="16" t="s">
        <v>389</v>
      </c>
      <c r="D114" s="16" t="s">
        <v>389</v>
      </c>
    </row>
    <row r="115">
      <c r="A115" s="6"/>
      <c r="B115" s="16" t="s">
        <v>389</v>
      </c>
      <c r="C115" s="16" t="s">
        <v>389</v>
      </c>
      <c r="D115" s="16" t="s">
        <v>389</v>
      </c>
    </row>
    <row r="116">
      <c r="A116" s="6"/>
      <c r="B116" s="16" t="s">
        <v>389</v>
      </c>
      <c r="C116" s="16" t="s">
        <v>389</v>
      </c>
      <c r="D116" s="16" t="s">
        <v>389</v>
      </c>
    </row>
    <row r="117">
      <c r="A117" s="6"/>
      <c r="B117" s="16" t="s">
        <v>389</v>
      </c>
      <c r="C117" s="16" t="s">
        <v>389</v>
      </c>
      <c r="D117" s="16" t="s">
        <v>389</v>
      </c>
    </row>
    <row r="118">
      <c r="A118" s="6"/>
      <c r="B118" s="16" t="s">
        <v>389</v>
      </c>
      <c r="C118" s="16" t="s">
        <v>389</v>
      </c>
      <c r="D118" s="16" t="s">
        <v>389</v>
      </c>
    </row>
    <row r="119">
      <c r="A119" s="6"/>
      <c r="B119" s="16" t="s">
        <v>389</v>
      </c>
      <c r="C119" s="16" t="s">
        <v>389</v>
      </c>
      <c r="D119" s="16" t="s">
        <v>389</v>
      </c>
    </row>
    <row r="120">
      <c r="A120" s="6"/>
      <c r="B120" s="16" t="s">
        <v>389</v>
      </c>
      <c r="C120" s="16" t="s">
        <v>389</v>
      </c>
      <c r="D120" s="16" t="s">
        <v>389</v>
      </c>
    </row>
    <row r="121">
      <c r="A121" s="6"/>
      <c r="B121" s="16" t="s">
        <v>389</v>
      </c>
      <c r="C121" s="16" t="s">
        <v>389</v>
      </c>
      <c r="D121" s="16" t="s">
        <v>389</v>
      </c>
    </row>
    <row r="122">
      <c r="A122" s="6"/>
      <c r="B122" s="16" t="s">
        <v>389</v>
      </c>
      <c r="C122" s="16" t="s">
        <v>389</v>
      </c>
      <c r="D122" s="16" t="s">
        <v>389</v>
      </c>
    </row>
    <row r="123">
      <c r="A123" s="6"/>
      <c r="B123" s="16" t="s">
        <v>389</v>
      </c>
      <c r="C123" s="16" t="s">
        <v>389</v>
      </c>
      <c r="D123" s="16" t="s">
        <v>389</v>
      </c>
    </row>
    <row r="124">
      <c r="A124" s="6"/>
      <c r="B124" s="16" t="s">
        <v>389</v>
      </c>
      <c r="C124" s="16" t="s">
        <v>389</v>
      </c>
      <c r="D124" s="16" t="s">
        <v>389</v>
      </c>
    </row>
    <row r="125">
      <c r="A125" s="6"/>
      <c r="B125" s="16" t="s">
        <v>389</v>
      </c>
      <c r="C125" s="16" t="s">
        <v>389</v>
      </c>
      <c r="D125" s="16" t="s">
        <v>389</v>
      </c>
    </row>
    <row r="126">
      <c r="A126" s="6"/>
      <c r="B126" s="16" t="s">
        <v>389</v>
      </c>
      <c r="C126" s="16" t="s">
        <v>389</v>
      </c>
      <c r="D126" s="16" t="s">
        <v>389</v>
      </c>
    </row>
    <row r="127">
      <c r="A127" s="6"/>
      <c r="B127" s="16" t="s">
        <v>389</v>
      </c>
      <c r="C127" s="16" t="s">
        <v>389</v>
      </c>
      <c r="D127" s="16" t="s">
        <v>389</v>
      </c>
    </row>
    <row r="128">
      <c r="A128" s="6"/>
      <c r="B128" s="16" t="s">
        <v>389</v>
      </c>
      <c r="C128" s="16" t="s">
        <v>389</v>
      </c>
      <c r="D128" s="16" t="s">
        <v>389</v>
      </c>
    </row>
    <row r="129">
      <c r="A129" s="6"/>
      <c r="B129" s="16" t="s">
        <v>389</v>
      </c>
      <c r="C129" s="16" t="s">
        <v>389</v>
      </c>
      <c r="D129" s="16" t="s">
        <v>389</v>
      </c>
    </row>
    <row r="130">
      <c r="A130" s="6"/>
      <c r="B130" s="16" t="s">
        <v>389</v>
      </c>
      <c r="C130" s="16" t="s">
        <v>389</v>
      </c>
      <c r="D130" s="16" t="s">
        <v>389</v>
      </c>
    </row>
    <row r="131">
      <c r="A131" s="6"/>
      <c r="B131" s="16" t="s">
        <v>389</v>
      </c>
      <c r="C131" s="16" t="s">
        <v>389</v>
      </c>
      <c r="D131" s="16" t="s">
        <v>389</v>
      </c>
    </row>
    <row r="132">
      <c r="A132" s="6"/>
      <c r="B132" s="16" t="s">
        <v>389</v>
      </c>
      <c r="C132" s="16" t="s">
        <v>389</v>
      </c>
      <c r="D132" s="16" t="s">
        <v>389</v>
      </c>
    </row>
    <row r="133">
      <c r="A133" s="6"/>
      <c r="B133" s="16" t="s">
        <v>389</v>
      </c>
      <c r="C133" s="16" t="s">
        <v>389</v>
      </c>
      <c r="D133" s="16" t="s">
        <v>389</v>
      </c>
    </row>
    <row r="134">
      <c r="A134" s="6"/>
      <c r="B134" s="16" t="s">
        <v>389</v>
      </c>
      <c r="C134" s="16" t="s">
        <v>389</v>
      </c>
      <c r="D134" s="16" t="s">
        <v>389</v>
      </c>
    </row>
    <row r="135">
      <c r="A135" s="6"/>
      <c r="B135" s="16" t="s">
        <v>389</v>
      </c>
      <c r="C135" s="16" t="s">
        <v>389</v>
      </c>
      <c r="D135" s="16" t="s">
        <v>389</v>
      </c>
    </row>
    <row r="136">
      <c r="A136" s="6"/>
      <c r="B136" s="16" t="s">
        <v>389</v>
      </c>
      <c r="C136" s="16" t="s">
        <v>389</v>
      </c>
      <c r="D136" s="16" t="s">
        <v>389</v>
      </c>
    </row>
    <row r="137">
      <c r="A137" s="6"/>
      <c r="B137" s="16" t="s">
        <v>389</v>
      </c>
      <c r="C137" s="16" t="s">
        <v>389</v>
      </c>
      <c r="D137" s="16" t="s">
        <v>389</v>
      </c>
    </row>
    <row r="138">
      <c r="A138" s="6"/>
      <c r="B138" s="16" t="s">
        <v>389</v>
      </c>
      <c r="C138" s="16" t="s">
        <v>389</v>
      </c>
      <c r="D138" s="16" t="s">
        <v>389</v>
      </c>
    </row>
    <row r="139">
      <c r="A139" s="6"/>
      <c r="B139" s="16" t="s">
        <v>389</v>
      </c>
      <c r="C139" s="16" t="s">
        <v>389</v>
      </c>
      <c r="D139" s="16" t="s">
        <v>389</v>
      </c>
    </row>
    <row r="140">
      <c r="A140" s="6"/>
      <c r="B140" s="16" t="s">
        <v>389</v>
      </c>
      <c r="C140" s="16" t="s">
        <v>389</v>
      </c>
      <c r="D140" s="16" t="s">
        <v>389</v>
      </c>
    </row>
    <row r="141">
      <c r="A141" s="6"/>
      <c r="B141" s="16" t="s">
        <v>389</v>
      </c>
      <c r="C141" s="16" t="s">
        <v>389</v>
      </c>
      <c r="D141" s="16" t="s">
        <v>389</v>
      </c>
    </row>
    <row r="142">
      <c r="A142" s="6"/>
      <c r="B142" s="16" t="s">
        <v>389</v>
      </c>
      <c r="C142" s="16" t="s">
        <v>389</v>
      </c>
      <c r="D142" s="16" t="s">
        <v>389</v>
      </c>
    </row>
    <row r="143">
      <c r="A143" s="6"/>
      <c r="B143" s="16" t="s">
        <v>389</v>
      </c>
      <c r="C143" s="16" t="s">
        <v>389</v>
      </c>
      <c r="D143" s="16" t="s">
        <v>389</v>
      </c>
    </row>
    <row r="144">
      <c r="A144" s="6"/>
      <c r="B144" s="16" t="s">
        <v>389</v>
      </c>
      <c r="C144" s="16" t="s">
        <v>389</v>
      </c>
      <c r="D144" s="16" t="s">
        <v>389</v>
      </c>
    </row>
    <row r="145">
      <c r="A145" s="6"/>
      <c r="B145" s="16" t="s">
        <v>389</v>
      </c>
      <c r="C145" s="16" t="s">
        <v>389</v>
      </c>
      <c r="D145" s="16" t="s">
        <v>389</v>
      </c>
    </row>
    <row r="146">
      <c r="A146" s="6"/>
      <c r="B146" s="16" t="s">
        <v>389</v>
      </c>
      <c r="C146" s="16" t="s">
        <v>389</v>
      </c>
      <c r="D146" s="16" t="s">
        <v>389</v>
      </c>
    </row>
    <row r="147">
      <c r="A147" s="6"/>
      <c r="B147" s="16" t="s">
        <v>389</v>
      </c>
      <c r="C147" s="16" t="s">
        <v>389</v>
      </c>
      <c r="D147" s="16" t="s">
        <v>389</v>
      </c>
    </row>
    <row r="148">
      <c r="A148" s="6"/>
      <c r="B148" s="16" t="s">
        <v>389</v>
      </c>
      <c r="C148" s="16" t="s">
        <v>389</v>
      </c>
      <c r="D148" s="16" t="s">
        <v>389</v>
      </c>
    </row>
    <row r="149">
      <c r="A149" s="6"/>
      <c r="B149" s="16" t="s">
        <v>389</v>
      </c>
      <c r="C149" s="16" t="s">
        <v>389</v>
      </c>
      <c r="D149" s="16" t="s">
        <v>389</v>
      </c>
    </row>
    <row r="150">
      <c r="A150" s="6"/>
      <c r="B150" s="16" t="s">
        <v>389</v>
      </c>
      <c r="C150" s="16" t="s">
        <v>389</v>
      </c>
      <c r="D150" s="16" t="s">
        <v>389</v>
      </c>
    </row>
    <row r="151">
      <c r="A151" s="6"/>
      <c r="B151" s="16" t="s">
        <v>389</v>
      </c>
      <c r="C151" s="16" t="s">
        <v>389</v>
      </c>
      <c r="D151" s="16" t="s">
        <v>389</v>
      </c>
    </row>
    <row r="152">
      <c r="A152" s="6"/>
      <c r="B152" s="16" t="s">
        <v>389</v>
      </c>
      <c r="C152" s="16" t="s">
        <v>389</v>
      </c>
      <c r="D152" s="16" t="s">
        <v>389</v>
      </c>
    </row>
    <row r="153">
      <c r="A153" s="6"/>
      <c r="B153" s="16" t="s">
        <v>389</v>
      </c>
      <c r="C153" s="16" t="s">
        <v>389</v>
      </c>
      <c r="D153" s="16" t="s">
        <v>389</v>
      </c>
    </row>
    <row r="154">
      <c r="A154" s="6"/>
      <c r="B154" s="16" t="s">
        <v>389</v>
      </c>
      <c r="C154" s="16" t="s">
        <v>389</v>
      </c>
      <c r="D154" s="16" t="s">
        <v>389</v>
      </c>
    </row>
    <row r="155">
      <c r="A155" s="6"/>
      <c r="B155" s="16" t="s">
        <v>389</v>
      </c>
      <c r="C155" s="16" t="s">
        <v>389</v>
      </c>
      <c r="D155" s="16" t="s">
        <v>389</v>
      </c>
    </row>
    <row r="156">
      <c r="A156" s="6"/>
      <c r="B156" s="16" t="s">
        <v>389</v>
      </c>
      <c r="C156" s="16" t="s">
        <v>389</v>
      </c>
      <c r="D156" s="16" t="s">
        <v>389</v>
      </c>
    </row>
    <row r="157">
      <c r="A157" s="6"/>
      <c r="B157" s="16" t="s">
        <v>389</v>
      </c>
      <c r="C157" s="16" t="s">
        <v>389</v>
      </c>
      <c r="D157" s="16" t="s">
        <v>389</v>
      </c>
    </row>
    <row r="158">
      <c r="A158" s="6"/>
      <c r="B158" s="16" t="s">
        <v>389</v>
      </c>
      <c r="C158" s="16" t="s">
        <v>389</v>
      </c>
      <c r="D158" s="16" t="s">
        <v>389</v>
      </c>
    </row>
    <row r="159">
      <c r="A159" s="6"/>
      <c r="B159" s="16" t="s">
        <v>389</v>
      </c>
      <c r="C159" s="16" t="s">
        <v>389</v>
      </c>
      <c r="D159" s="16" t="s">
        <v>389</v>
      </c>
    </row>
    <row r="160">
      <c r="A160" s="6"/>
      <c r="B160" s="16" t="s">
        <v>389</v>
      </c>
      <c r="C160" s="16" t="s">
        <v>389</v>
      </c>
      <c r="D160" s="16" t="s">
        <v>389</v>
      </c>
    </row>
    <row r="161">
      <c r="A161" s="6"/>
      <c r="B161" s="16" t="s">
        <v>389</v>
      </c>
      <c r="C161" s="16" t="s">
        <v>389</v>
      </c>
      <c r="D161" s="16" t="s">
        <v>389</v>
      </c>
    </row>
    <row r="162">
      <c r="A162" s="6"/>
      <c r="B162" s="16" t="s">
        <v>389</v>
      </c>
      <c r="C162" s="16" t="s">
        <v>389</v>
      </c>
      <c r="D162" s="16" t="s">
        <v>389</v>
      </c>
    </row>
    <row r="163">
      <c r="A163" s="6"/>
      <c r="B163" s="16" t="s">
        <v>389</v>
      </c>
      <c r="C163" s="16" t="s">
        <v>389</v>
      </c>
      <c r="D163" s="16" t="s">
        <v>389</v>
      </c>
    </row>
    <row r="164">
      <c r="A164" s="6"/>
      <c r="B164" s="16" t="s">
        <v>389</v>
      </c>
      <c r="C164" s="16" t="s">
        <v>389</v>
      </c>
      <c r="D164" s="16" t="s">
        <v>389</v>
      </c>
    </row>
    <row r="165">
      <c r="A165" s="6"/>
      <c r="B165" s="16" t="s">
        <v>389</v>
      </c>
      <c r="C165" s="16" t="s">
        <v>389</v>
      </c>
      <c r="D165" s="16" t="s">
        <v>389</v>
      </c>
    </row>
    <row r="166">
      <c r="A166" s="6"/>
      <c r="B166" s="16" t="s">
        <v>389</v>
      </c>
      <c r="C166" s="16" t="s">
        <v>389</v>
      </c>
      <c r="D166" s="16" t="s">
        <v>389</v>
      </c>
    </row>
    <row r="167">
      <c r="A167" s="6"/>
      <c r="B167" s="16" t="s">
        <v>389</v>
      </c>
      <c r="C167" s="16" t="s">
        <v>389</v>
      </c>
      <c r="D167" s="16" t="s">
        <v>389</v>
      </c>
    </row>
    <row r="168">
      <c r="A168" s="6"/>
      <c r="B168" s="16" t="s">
        <v>389</v>
      </c>
      <c r="C168" s="16" t="s">
        <v>389</v>
      </c>
      <c r="D168" s="16" t="s">
        <v>389</v>
      </c>
    </row>
    <row r="169">
      <c r="A169" s="6"/>
      <c r="B169" s="16" t="s">
        <v>389</v>
      </c>
      <c r="C169" s="16" t="s">
        <v>389</v>
      </c>
      <c r="D169" s="16" t="s">
        <v>389</v>
      </c>
    </row>
    <row r="170">
      <c r="A170" s="6"/>
      <c r="B170" s="16" t="s">
        <v>389</v>
      </c>
      <c r="C170" s="16" t="s">
        <v>389</v>
      </c>
      <c r="D170" s="16" t="s">
        <v>389</v>
      </c>
    </row>
    <row r="171">
      <c r="A171" s="6"/>
      <c r="B171" s="16" t="s">
        <v>389</v>
      </c>
      <c r="C171" s="16" t="s">
        <v>389</v>
      </c>
      <c r="D171" s="16" t="s">
        <v>389</v>
      </c>
    </row>
    <row r="172">
      <c r="A172" s="6"/>
      <c r="B172" s="16" t="s">
        <v>389</v>
      </c>
      <c r="C172" s="16" t="s">
        <v>389</v>
      </c>
      <c r="D172" s="16" t="s">
        <v>389</v>
      </c>
    </row>
    <row r="173">
      <c r="A173" s="6"/>
      <c r="B173" s="16" t="s">
        <v>389</v>
      </c>
      <c r="C173" s="16" t="s">
        <v>389</v>
      </c>
      <c r="D173" s="16" t="s">
        <v>389</v>
      </c>
    </row>
    <row r="174">
      <c r="A174" s="6"/>
      <c r="B174" s="16" t="s">
        <v>389</v>
      </c>
      <c r="C174" s="16" t="s">
        <v>389</v>
      </c>
      <c r="D174" s="16" t="s">
        <v>389</v>
      </c>
    </row>
    <row r="175">
      <c r="A175" s="6"/>
      <c r="B175" s="16" t="s">
        <v>389</v>
      </c>
      <c r="C175" s="16" t="s">
        <v>389</v>
      </c>
      <c r="D175" s="16" t="s">
        <v>389</v>
      </c>
    </row>
    <row r="176">
      <c r="A176" s="6"/>
      <c r="B176" s="16" t="s">
        <v>389</v>
      </c>
      <c r="C176" s="16" t="s">
        <v>389</v>
      </c>
      <c r="D176" s="16" t="s">
        <v>389</v>
      </c>
    </row>
    <row r="177">
      <c r="A177" s="6"/>
      <c r="B177" s="16" t="s">
        <v>389</v>
      </c>
      <c r="C177" s="16" t="s">
        <v>389</v>
      </c>
      <c r="D177" s="16" t="s">
        <v>389</v>
      </c>
    </row>
    <row r="178">
      <c r="A178" s="6"/>
      <c r="B178" s="16" t="s">
        <v>389</v>
      </c>
      <c r="C178" s="16" t="s">
        <v>389</v>
      </c>
      <c r="D178" s="16" t="s">
        <v>389</v>
      </c>
    </row>
    <row r="179">
      <c r="A179" s="6"/>
      <c r="B179" s="16" t="s">
        <v>389</v>
      </c>
      <c r="C179" s="16" t="s">
        <v>389</v>
      </c>
      <c r="D179" s="16" t="s">
        <v>389</v>
      </c>
    </row>
    <row r="180">
      <c r="A180" s="6"/>
      <c r="B180" s="16" t="s">
        <v>389</v>
      </c>
      <c r="C180" s="16" t="s">
        <v>389</v>
      </c>
      <c r="D180" s="16" t="s">
        <v>389</v>
      </c>
    </row>
    <row r="181">
      <c r="A181" s="6"/>
      <c r="B181" s="16" t="s">
        <v>389</v>
      </c>
      <c r="C181" s="16" t="s">
        <v>389</v>
      </c>
      <c r="D181" s="16" t="s">
        <v>389</v>
      </c>
    </row>
    <row r="182">
      <c r="A182" s="6"/>
      <c r="B182" s="16" t="s">
        <v>389</v>
      </c>
      <c r="C182" s="16" t="s">
        <v>389</v>
      </c>
      <c r="D182" s="16" t="s">
        <v>389</v>
      </c>
    </row>
    <row r="183">
      <c r="A183" s="6"/>
      <c r="B183" s="16" t="s">
        <v>389</v>
      </c>
      <c r="C183" s="16" t="s">
        <v>389</v>
      </c>
      <c r="D183" s="16" t="s">
        <v>389</v>
      </c>
    </row>
    <row r="184">
      <c r="A184" s="6"/>
      <c r="B184" s="16" t="s">
        <v>389</v>
      </c>
      <c r="C184" s="16" t="s">
        <v>389</v>
      </c>
      <c r="D184" s="16" t="s">
        <v>389</v>
      </c>
    </row>
    <row r="185">
      <c r="A185" s="6"/>
      <c r="B185" s="16" t="s">
        <v>389</v>
      </c>
      <c r="C185" s="16" t="s">
        <v>389</v>
      </c>
      <c r="D185" s="16" t="s">
        <v>389</v>
      </c>
    </row>
    <row r="186">
      <c r="A186" s="6"/>
      <c r="B186" s="16" t="s">
        <v>389</v>
      </c>
      <c r="C186" s="16" t="s">
        <v>389</v>
      </c>
      <c r="D186" s="16" t="s">
        <v>389</v>
      </c>
    </row>
    <row r="187">
      <c r="A187" s="6"/>
      <c r="B187" s="16" t="s">
        <v>389</v>
      </c>
      <c r="C187" s="16" t="s">
        <v>389</v>
      </c>
      <c r="D187" s="16" t="s">
        <v>389</v>
      </c>
    </row>
    <row r="188">
      <c r="A188" s="6"/>
      <c r="B188" s="16" t="s">
        <v>389</v>
      </c>
      <c r="C188" s="16" t="s">
        <v>389</v>
      </c>
      <c r="D188" s="16" t="s">
        <v>389</v>
      </c>
    </row>
    <row r="189">
      <c r="A189" s="6"/>
      <c r="B189" s="16" t="s">
        <v>389</v>
      </c>
      <c r="C189" s="16" t="s">
        <v>389</v>
      </c>
      <c r="D189" s="16" t="s">
        <v>389</v>
      </c>
    </row>
    <row r="190">
      <c r="A190" s="6"/>
      <c r="B190" s="16" t="s">
        <v>389</v>
      </c>
      <c r="C190" s="16" t="s">
        <v>389</v>
      </c>
      <c r="D190" s="16" t="s">
        <v>389</v>
      </c>
    </row>
    <row r="191">
      <c r="A191" s="6"/>
      <c r="B191" s="16" t="s">
        <v>389</v>
      </c>
      <c r="C191" s="16" t="s">
        <v>389</v>
      </c>
      <c r="D191" s="16" t="s">
        <v>389</v>
      </c>
    </row>
    <row r="192">
      <c r="A192" s="6"/>
      <c r="B192" s="16" t="s">
        <v>389</v>
      </c>
      <c r="C192" s="16" t="s">
        <v>389</v>
      </c>
      <c r="D192" s="16" t="s">
        <v>389</v>
      </c>
    </row>
    <row r="193">
      <c r="A193" s="6"/>
      <c r="B193" s="16" t="s">
        <v>389</v>
      </c>
      <c r="C193" s="16" t="s">
        <v>389</v>
      </c>
      <c r="D193" s="16" t="s">
        <v>389</v>
      </c>
    </row>
    <row r="194">
      <c r="A194" s="6"/>
      <c r="B194" s="16" t="s">
        <v>389</v>
      </c>
      <c r="C194" s="16" t="s">
        <v>389</v>
      </c>
      <c r="D194" s="16" t="s">
        <v>389</v>
      </c>
    </row>
    <row r="195">
      <c r="A195" s="6"/>
      <c r="B195" s="16" t="s">
        <v>389</v>
      </c>
      <c r="C195" s="16" t="s">
        <v>389</v>
      </c>
      <c r="D195" s="16" t="s">
        <v>389</v>
      </c>
    </row>
    <row r="196">
      <c r="A196" s="6"/>
      <c r="B196" s="16" t="s">
        <v>389</v>
      </c>
      <c r="C196" s="16" t="s">
        <v>389</v>
      </c>
      <c r="D196" s="16" t="s">
        <v>389</v>
      </c>
    </row>
    <row r="197">
      <c r="A197" s="6"/>
      <c r="B197" s="16" t="s">
        <v>389</v>
      </c>
      <c r="C197" s="16" t="s">
        <v>389</v>
      </c>
      <c r="D197" s="16" t="s">
        <v>389</v>
      </c>
    </row>
    <row r="198">
      <c r="A198" s="6"/>
      <c r="B198" s="16" t="s">
        <v>389</v>
      </c>
      <c r="C198" s="16" t="s">
        <v>389</v>
      </c>
      <c r="D198" s="16" t="s">
        <v>389</v>
      </c>
    </row>
    <row r="199">
      <c r="A199" s="6"/>
      <c r="B199" s="16" t="s">
        <v>389</v>
      </c>
      <c r="C199" s="16" t="s">
        <v>389</v>
      </c>
      <c r="D199" s="16" t="s">
        <v>389</v>
      </c>
    </row>
    <row r="200">
      <c r="A200" s="6"/>
      <c r="B200" s="16" t="s">
        <v>389</v>
      </c>
      <c r="C200" s="16" t="s">
        <v>389</v>
      </c>
      <c r="D200" s="16" t="s">
        <v>389</v>
      </c>
    </row>
    <row r="201">
      <c r="A201" s="6"/>
      <c r="B201" s="16" t="s">
        <v>389</v>
      </c>
      <c r="C201" s="16" t="s">
        <v>389</v>
      </c>
      <c r="D201" s="16" t="s">
        <v>389</v>
      </c>
    </row>
    <row r="202">
      <c r="A202" s="6"/>
      <c r="B202" s="16" t="s">
        <v>389</v>
      </c>
      <c r="C202" s="16" t="s">
        <v>389</v>
      </c>
      <c r="D202" s="16" t="s">
        <v>389</v>
      </c>
    </row>
    <row r="203">
      <c r="A203" s="6"/>
      <c r="B203" s="16" t="s">
        <v>389</v>
      </c>
      <c r="C203" s="16" t="s">
        <v>389</v>
      </c>
      <c r="D203" s="16" t="s">
        <v>389</v>
      </c>
    </row>
    <row r="204">
      <c r="A204" s="6"/>
      <c r="B204" s="16" t="s">
        <v>389</v>
      </c>
      <c r="C204" s="16" t="s">
        <v>389</v>
      </c>
      <c r="D204" s="16" t="s">
        <v>389</v>
      </c>
    </row>
    <row r="205">
      <c r="A205" s="6"/>
      <c r="B205" s="16" t="s">
        <v>389</v>
      </c>
      <c r="C205" s="16" t="s">
        <v>389</v>
      </c>
      <c r="D205" s="16" t="s">
        <v>389</v>
      </c>
    </row>
    <row r="206">
      <c r="A206" s="6"/>
      <c r="B206" s="16" t="s">
        <v>389</v>
      </c>
      <c r="C206" s="16" t="s">
        <v>389</v>
      </c>
      <c r="D206" s="16" t="s">
        <v>389</v>
      </c>
    </row>
    <row r="207">
      <c r="A207" s="6"/>
      <c r="B207" s="16" t="s">
        <v>389</v>
      </c>
      <c r="C207" s="16" t="s">
        <v>389</v>
      </c>
      <c r="D207" s="16" t="s">
        <v>389</v>
      </c>
    </row>
    <row r="208">
      <c r="A208" s="6"/>
      <c r="B208" s="16" t="s">
        <v>389</v>
      </c>
      <c r="C208" s="16" t="s">
        <v>389</v>
      </c>
      <c r="D208" s="16" t="s">
        <v>389</v>
      </c>
    </row>
    <row r="209">
      <c r="A209" s="6"/>
      <c r="B209" s="16" t="s">
        <v>389</v>
      </c>
      <c r="C209" s="16" t="s">
        <v>389</v>
      </c>
      <c r="D209" s="16" t="s">
        <v>389</v>
      </c>
    </row>
    <row r="210">
      <c r="A210" s="6"/>
      <c r="B210" s="16" t="s">
        <v>389</v>
      </c>
      <c r="C210" s="16" t="s">
        <v>389</v>
      </c>
      <c r="D210" s="16" t="s">
        <v>389</v>
      </c>
    </row>
    <row r="211">
      <c r="A211" s="6"/>
      <c r="B211" s="16" t="s">
        <v>389</v>
      </c>
      <c r="C211" s="16" t="s">
        <v>389</v>
      </c>
      <c r="D211" s="16" t="s">
        <v>389</v>
      </c>
    </row>
    <row r="212">
      <c r="A212" s="6"/>
      <c r="B212" s="16" t="s">
        <v>389</v>
      </c>
      <c r="C212" s="16" t="s">
        <v>389</v>
      </c>
      <c r="D212" s="16" t="s">
        <v>389</v>
      </c>
    </row>
    <row r="213">
      <c r="A213" s="6"/>
      <c r="B213" s="16" t="s">
        <v>389</v>
      </c>
      <c r="C213" s="16" t="s">
        <v>389</v>
      </c>
      <c r="D213" s="16" t="s">
        <v>389</v>
      </c>
    </row>
    <row r="214">
      <c r="A214" s="6"/>
      <c r="B214" s="16" t="s">
        <v>389</v>
      </c>
      <c r="C214" s="16" t="s">
        <v>389</v>
      </c>
      <c r="D214" s="16" t="s">
        <v>389</v>
      </c>
    </row>
    <row r="215">
      <c r="A215" s="6"/>
      <c r="B215" s="16" t="s">
        <v>389</v>
      </c>
      <c r="C215" s="16" t="s">
        <v>389</v>
      </c>
      <c r="D215" s="16" t="s">
        <v>389</v>
      </c>
    </row>
    <row r="216">
      <c r="A216" s="6"/>
      <c r="B216" s="16" t="s">
        <v>389</v>
      </c>
      <c r="C216" s="16" t="s">
        <v>389</v>
      </c>
      <c r="D216" s="16" t="s">
        <v>389</v>
      </c>
    </row>
    <row r="217">
      <c r="A217" s="6"/>
      <c r="B217" s="16" t="s">
        <v>389</v>
      </c>
      <c r="C217" s="16" t="s">
        <v>389</v>
      </c>
      <c r="D217" s="16" t="s">
        <v>389</v>
      </c>
    </row>
    <row r="218">
      <c r="A218" s="6"/>
      <c r="B218" s="16" t="s">
        <v>389</v>
      </c>
      <c r="C218" s="16" t="s">
        <v>389</v>
      </c>
      <c r="D218" s="16" t="s">
        <v>389</v>
      </c>
    </row>
    <row r="219">
      <c r="A219" s="6"/>
      <c r="B219" s="16" t="s">
        <v>389</v>
      </c>
      <c r="C219" s="16" t="s">
        <v>389</v>
      </c>
      <c r="D219" s="16" t="s">
        <v>389</v>
      </c>
    </row>
    <row r="220">
      <c r="A220" s="6"/>
      <c r="B220" s="16" t="s">
        <v>389</v>
      </c>
      <c r="C220" s="16" t="s">
        <v>389</v>
      </c>
      <c r="D220" s="16" t="s">
        <v>389</v>
      </c>
    </row>
    <row r="221">
      <c r="A221" s="6"/>
      <c r="B221" s="16" t="s">
        <v>389</v>
      </c>
      <c r="C221" s="16" t="s">
        <v>389</v>
      </c>
      <c r="D221" s="16" t="s">
        <v>389</v>
      </c>
    </row>
    <row r="222">
      <c r="A222" s="6"/>
      <c r="B222" s="16" t="s">
        <v>389</v>
      </c>
      <c r="C222" s="16" t="s">
        <v>389</v>
      </c>
      <c r="D222" s="16" t="s">
        <v>389</v>
      </c>
    </row>
    <row r="223">
      <c r="A223" s="6"/>
      <c r="B223" s="16" t="s">
        <v>389</v>
      </c>
      <c r="C223" s="16" t="s">
        <v>389</v>
      </c>
      <c r="D223" s="16" t="s">
        <v>389</v>
      </c>
    </row>
    <row r="224">
      <c r="A224" s="6"/>
      <c r="B224" s="16" t="s">
        <v>389</v>
      </c>
      <c r="C224" s="16" t="s">
        <v>389</v>
      </c>
      <c r="D224" s="16" t="s">
        <v>389</v>
      </c>
    </row>
    <row r="225">
      <c r="A225" s="6"/>
      <c r="B225" s="16" t="s">
        <v>389</v>
      </c>
      <c r="C225" s="16" t="s">
        <v>389</v>
      </c>
      <c r="D225" s="16" t="s">
        <v>389</v>
      </c>
    </row>
    <row r="226">
      <c r="A226" s="6"/>
      <c r="B226" s="16" t="s">
        <v>389</v>
      </c>
      <c r="C226" s="16" t="s">
        <v>389</v>
      </c>
      <c r="D226" s="16" t="s">
        <v>389</v>
      </c>
    </row>
    <row r="227">
      <c r="A227" s="6"/>
      <c r="B227" s="16" t="s">
        <v>389</v>
      </c>
      <c r="C227" s="16" t="s">
        <v>389</v>
      </c>
      <c r="D227" s="16" t="s">
        <v>389</v>
      </c>
    </row>
    <row r="228">
      <c r="A228" s="6"/>
      <c r="B228" s="16" t="s">
        <v>389</v>
      </c>
      <c r="C228" s="16" t="s">
        <v>389</v>
      </c>
      <c r="D228" s="16" t="s">
        <v>389</v>
      </c>
    </row>
    <row r="229">
      <c r="A229" s="6"/>
      <c r="B229" s="16" t="s">
        <v>389</v>
      </c>
      <c r="C229" s="16" t="s">
        <v>389</v>
      </c>
      <c r="D229" s="16" t="s">
        <v>389</v>
      </c>
    </row>
    <row r="230">
      <c r="A230" s="6"/>
      <c r="B230" s="16" t="s">
        <v>389</v>
      </c>
      <c r="C230" s="16" t="s">
        <v>389</v>
      </c>
      <c r="D230" s="16" t="s">
        <v>389</v>
      </c>
    </row>
    <row r="231">
      <c r="A231" s="6"/>
      <c r="B231" s="16" t="s">
        <v>389</v>
      </c>
      <c r="C231" s="16" t="s">
        <v>389</v>
      </c>
      <c r="D231" s="16" t="s">
        <v>389</v>
      </c>
    </row>
    <row r="232">
      <c r="A232" s="6"/>
      <c r="B232" s="16" t="s">
        <v>389</v>
      </c>
      <c r="C232" s="16" t="s">
        <v>389</v>
      </c>
      <c r="D232" s="16" t="s">
        <v>389</v>
      </c>
    </row>
    <row r="233">
      <c r="A233" s="6"/>
      <c r="B233" s="16" t="s">
        <v>389</v>
      </c>
      <c r="C233" s="16" t="s">
        <v>389</v>
      </c>
      <c r="D233" s="16" t="s">
        <v>389</v>
      </c>
    </row>
    <row r="234">
      <c r="A234" s="6"/>
      <c r="B234" s="16" t="s">
        <v>389</v>
      </c>
      <c r="C234" s="16" t="s">
        <v>389</v>
      </c>
      <c r="D234" s="16" t="s">
        <v>389</v>
      </c>
    </row>
    <row r="235">
      <c r="A235" s="6"/>
      <c r="B235" s="16" t="s">
        <v>389</v>
      </c>
      <c r="C235" s="16" t="s">
        <v>389</v>
      </c>
      <c r="D235" s="16" t="s">
        <v>389</v>
      </c>
    </row>
    <row r="236">
      <c r="A236" s="6"/>
      <c r="B236" s="16" t="s">
        <v>389</v>
      </c>
      <c r="C236" s="16" t="s">
        <v>389</v>
      </c>
      <c r="D236" s="16" t="s">
        <v>389</v>
      </c>
    </row>
    <row r="237">
      <c r="A237" s="6"/>
      <c r="B237" s="16" t="s">
        <v>389</v>
      </c>
      <c r="C237" s="16" t="s">
        <v>389</v>
      </c>
      <c r="D237" s="16" t="s">
        <v>389</v>
      </c>
    </row>
    <row r="238">
      <c r="A238" s="6"/>
      <c r="B238" s="16" t="s">
        <v>389</v>
      </c>
      <c r="C238" s="16" t="s">
        <v>389</v>
      </c>
      <c r="D238" s="16" t="s">
        <v>389</v>
      </c>
    </row>
    <row r="239">
      <c r="A239" s="6"/>
      <c r="B239" s="16" t="s">
        <v>389</v>
      </c>
      <c r="C239" s="16" t="s">
        <v>389</v>
      </c>
      <c r="D239" s="16" t="s">
        <v>389</v>
      </c>
    </row>
    <row r="240">
      <c r="A240" s="6"/>
      <c r="B240" s="16" t="s">
        <v>389</v>
      </c>
      <c r="C240" s="16" t="s">
        <v>389</v>
      </c>
      <c r="D240" s="16" t="s">
        <v>389</v>
      </c>
    </row>
    <row r="241">
      <c r="A241" s="6"/>
      <c r="B241" s="16" t="s">
        <v>389</v>
      </c>
      <c r="C241" s="16" t="s">
        <v>389</v>
      </c>
      <c r="D241" s="16" t="s">
        <v>389</v>
      </c>
    </row>
    <row r="242">
      <c r="A242" s="6"/>
      <c r="B242" s="16" t="s">
        <v>389</v>
      </c>
      <c r="C242" s="16" t="s">
        <v>389</v>
      </c>
      <c r="D242" s="16" t="s">
        <v>389</v>
      </c>
    </row>
    <row r="243">
      <c r="A243" s="6"/>
      <c r="B243" s="16" t="s">
        <v>389</v>
      </c>
      <c r="C243" s="16" t="s">
        <v>389</v>
      </c>
      <c r="D243" s="16" t="s">
        <v>389</v>
      </c>
    </row>
    <row r="244">
      <c r="A244" s="6"/>
      <c r="B244" s="16" t="s">
        <v>389</v>
      </c>
      <c r="C244" s="16" t="s">
        <v>389</v>
      </c>
      <c r="D244" s="16" t="s">
        <v>389</v>
      </c>
    </row>
    <row r="245">
      <c r="A245" s="6"/>
      <c r="B245" s="16" t="s">
        <v>389</v>
      </c>
      <c r="C245" s="16" t="s">
        <v>389</v>
      </c>
      <c r="D245" s="16" t="s">
        <v>389</v>
      </c>
    </row>
    <row r="246">
      <c r="A246" s="6"/>
      <c r="B246" s="16" t="s">
        <v>389</v>
      </c>
      <c r="C246" s="16" t="s">
        <v>389</v>
      </c>
      <c r="D246" s="16" t="s">
        <v>389</v>
      </c>
    </row>
    <row r="247">
      <c r="A247" s="6"/>
      <c r="B247" s="16" t="s">
        <v>389</v>
      </c>
      <c r="C247" s="16" t="s">
        <v>389</v>
      </c>
      <c r="D247" s="16" t="s">
        <v>389</v>
      </c>
    </row>
    <row r="248">
      <c r="A248" s="6"/>
      <c r="B248" s="16" t="s">
        <v>389</v>
      </c>
      <c r="C248" s="16" t="s">
        <v>389</v>
      </c>
      <c r="D248" s="16" t="s">
        <v>389</v>
      </c>
    </row>
    <row r="249">
      <c r="A249" s="6"/>
      <c r="B249" s="16" t="s">
        <v>389</v>
      </c>
      <c r="C249" s="16" t="s">
        <v>389</v>
      </c>
      <c r="D249" s="16" t="s">
        <v>389</v>
      </c>
    </row>
    <row r="250">
      <c r="A250" s="6"/>
      <c r="B250" s="16" t="s">
        <v>389</v>
      </c>
      <c r="C250" s="16" t="s">
        <v>389</v>
      </c>
      <c r="D250" s="16" t="s">
        <v>389</v>
      </c>
    </row>
    <row r="251">
      <c r="A251" s="6"/>
      <c r="B251" s="16" t="s">
        <v>389</v>
      </c>
      <c r="C251" s="16" t="s">
        <v>389</v>
      </c>
      <c r="D251" s="16" t="s">
        <v>389</v>
      </c>
    </row>
    <row r="252">
      <c r="A252" s="6"/>
      <c r="B252" s="16" t="s">
        <v>389</v>
      </c>
      <c r="C252" s="16" t="s">
        <v>389</v>
      </c>
      <c r="D252" s="16" t="s">
        <v>389</v>
      </c>
    </row>
    <row r="253">
      <c r="A253" s="6"/>
      <c r="B253" s="16" t="s">
        <v>389</v>
      </c>
      <c r="C253" s="16" t="s">
        <v>389</v>
      </c>
      <c r="D253" s="16" t="s">
        <v>389</v>
      </c>
    </row>
    <row r="254">
      <c r="A254" s="6"/>
      <c r="B254" s="16" t="s">
        <v>389</v>
      </c>
      <c r="C254" s="16" t="s">
        <v>389</v>
      </c>
      <c r="D254" s="16" t="s">
        <v>389</v>
      </c>
    </row>
    <row r="255">
      <c r="A255" s="6"/>
      <c r="B255" s="16" t="s">
        <v>389</v>
      </c>
      <c r="C255" s="16" t="s">
        <v>389</v>
      </c>
      <c r="D255" s="16" t="s">
        <v>389</v>
      </c>
    </row>
    <row r="256">
      <c r="A256" s="6"/>
      <c r="B256" s="16" t="s">
        <v>389</v>
      </c>
      <c r="C256" s="16" t="s">
        <v>389</v>
      </c>
      <c r="D256" s="16" t="s">
        <v>389</v>
      </c>
    </row>
    <row r="257">
      <c r="A257" s="6"/>
      <c r="B257" s="16" t="s">
        <v>389</v>
      </c>
      <c r="C257" s="16" t="s">
        <v>389</v>
      </c>
      <c r="D257" s="16" t="s">
        <v>389</v>
      </c>
    </row>
    <row r="258">
      <c r="A258" s="6"/>
      <c r="B258" s="16" t="s">
        <v>389</v>
      </c>
      <c r="C258" s="16" t="s">
        <v>389</v>
      </c>
      <c r="D258" s="16" t="s">
        <v>389</v>
      </c>
    </row>
    <row r="259">
      <c r="A259" s="6"/>
      <c r="B259" s="16" t="s">
        <v>389</v>
      </c>
      <c r="C259" s="16" t="s">
        <v>389</v>
      </c>
      <c r="D259" s="16" t="s">
        <v>389</v>
      </c>
    </row>
    <row r="260">
      <c r="A260" s="6"/>
      <c r="B260" s="16" t="s">
        <v>389</v>
      </c>
      <c r="C260" s="16" t="s">
        <v>389</v>
      </c>
      <c r="D260" s="16" t="s">
        <v>389</v>
      </c>
    </row>
    <row r="261">
      <c r="A261" s="6"/>
      <c r="B261" s="16" t="s">
        <v>389</v>
      </c>
      <c r="C261" s="16" t="s">
        <v>389</v>
      </c>
      <c r="D261" s="16" t="s">
        <v>389</v>
      </c>
    </row>
    <row r="262">
      <c r="A262" s="6"/>
      <c r="B262" s="16" t="s">
        <v>389</v>
      </c>
      <c r="C262" s="16" t="s">
        <v>389</v>
      </c>
      <c r="D262" s="16" t="s">
        <v>389</v>
      </c>
    </row>
    <row r="263">
      <c r="A263" s="6"/>
      <c r="B263" s="16" t="s">
        <v>389</v>
      </c>
      <c r="C263" s="16" t="s">
        <v>389</v>
      </c>
      <c r="D263" s="16" t="s">
        <v>389</v>
      </c>
    </row>
    <row r="264">
      <c r="A264" s="6"/>
      <c r="B264" s="16" t="s">
        <v>389</v>
      </c>
      <c r="C264" s="16" t="s">
        <v>389</v>
      </c>
      <c r="D264" s="16" t="s">
        <v>389</v>
      </c>
    </row>
    <row r="265">
      <c r="A265" s="6"/>
      <c r="B265" s="16" t="s">
        <v>389</v>
      </c>
      <c r="C265" s="16" t="s">
        <v>389</v>
      </c>
      <c r="D265" s="16" t="s">
        <v>389</v>
      </c>
    </row>
    <row r="266">
      <c r="A266" s="6"/>
      <c r="B266" s="16" t="s">
        <v>389</v>
      </c>
      <c r="C266" s="16" t="s">
        <v>389</v>
      </c>
      <c r="D266" s="16" t="s">
        <v>389</v>
      </c>
    </row>
    <row r="267">
      <c r="A267" s="6"/>
      <c r="B267" s="16" t="s">
        <v>389</v>
      </c>
      <c r="C267" s="16" t="s">
        <v>389</v>
      </c>
      <c r="D267" s="16" t="s">
        <v>389</v>
      </c>
    </row>
    <row r="268">
      <c r="A268" s="6"/>
      <c r="B268" s="16" t="s">
        <v>389</v>
      </c>
      <c r="C268" s="16" t="s">
        <v>389</v>
      </c>
      <c r="D268" s="16" t="s">
        <v>389</v>
      </c>
    </row>
    <row r="269">
      <c r="A269" s="6"/>
      <c r="B269" s="16" t="s">
        <v>389</v>
      </c>
      <c r="C269" s="16" t="s">
        <v>389</v>
      </c>
      <c r="D269" s="16" t="s">
        <v>389</v>
      </c>
    </row>
    <row r="270">
      <c r="A270" s="6"/>
      <c r="B270" s="16" t="s">
        <v>389</v>
      </c>
      <c r="C270" s="16" t="s">
        <v>389</v>
      </c>
      <c r="D270" s="16" t="s">
        <v>389</v>
      </c>
    </row>
    <row r="271">
      <c r="A271" s="6"/>
      <c r="B271" s="16" t="s">
        <v>389</v>
      </c>
      <c r="C271" s="16" t="s">
        <v>389</v>
      </c>
      <c r="D271" s="16" t="s">
        <v>389</v>
      </c>
    </row>
    <row r="272">
      <c r="A272" s="6"/>
      <c r="B272" s="16" t="s">
        <v>389</v>
      </c>
      <c r="C272" s="16" t="s">
        <v>389</v>
      </c>
      <c r="D272" s="16" t="s">
        <v>389</v>
      </c>
    </row>
    <row r="273">
      <c r="A273" s="6"/>
      <c r="B273" s="16" t="s">
        <v>389</v>
      </c>
      <c r="C273" s="16" t="s">
        <v>389</v>
      </c>
      <c r="D273" s="16" t="s">
        <v>389</v>
      </c>
    </row>
    <row r="274">
      <c r="A274" s="6"/>
      <c r="B274" s="16" t="s">
        <v>389</v>
      </c>
      <c r="C274" s="16" t="s">
        <v>389</v>
      </c>
      <c r="D274" s="16" t="s">
        <v>389</v>
      </c>
    </row>
    <row r="275">
      <c r="A275" s="6"/>
      <c r="B275" s="16" t="s">
        <v>389</v>
      </c>
      <c r="C275" s="16" t="s">
        <v>389</v>
      </c>
      <c r="D275" s="16" t="s">
        <v>389</v>
      </c>
    </row>
    <row r="276">
      <c r="A276" s="6"/>
      <c r="B276" s="16" t="s">
        <v>389</v>
      </c>
      <c r="C276" s="16" t="s">
        <v>389</v>
      </c>
      <c r="D276" s="16" t="s">
        <v>389</v>
      </c>
    </row>
    <row r="277">
      <c r="A277" s="6"/>
      <c r="B277" s="16" t="s">
        <v>389</v>
      </c>
      <c r="C277" s="16" t="s">
        <v>389</v>
      </c>
      <c r="D277" s="16" t="s">
        <v>389</v>
      </c>
    </row>
    <row r="278">
      <c r="A278" s="6"/>
      <c r="B278" s="16" t="s">
        <v>389</v>
      </c>
      <c r="C278" s="16" t="s">
        <v>389</v>
      </c>
      <c r="D278" s="16" t="s">
        <v>389</v>
      </c>
    </row>
    <row r="279">
      <c r="A279" s="6"/>
      <c r="B279" s="16" t="s">
        <v>389</v>
      </c>
      <c r="C279" s="16" t="s">
        <v>389</v>
      </c>
      <c r="D279" s="16" t="s">
        <v>389</v>
      </c>
    </row>
    <row r="280">
      <c r="A280" s="6"/>
      <c r="B280" s="16" t="s">
        <v>389</v>
      </c>
      <c r="C280" s="16" t="s">
        <v>389</v>
      </c>
      <c r="D280" s="16" t="s">
        <v>389</v>
      </c>
    </row>
    <row r="281">
      <c r="A281" s="6"/>
      <c r="B281" s="16" t="s">
        <v>389</v>
      </c>
      <c r="C281" s="16" t="s">
        <v>389</v>
      </c>
      <c r="D281" s="16" t="s">
        <v>389</v>
      </c>
    </row>
    <row r="282">
      <c r="A282" s="6"/>
      <c r="B282" s="16" t="s">
        <v>389</v>
      </c>
      <c r="C282" s="16" t="s">
        <v>389</v>
      </c>
      <c r="D282" s="16" t="s">
        <v>389</v>
      </c>
    </row>
    <row r="283">
      <c r="A283" s="6"/>
      <c r="B283" s="16" t="s">
        <v>389</v>
      </c>
      <c r="C283" s="16" t="s">
        <v>389</v>
      </c>
      <c r="D283" s="16" t="s">
        <v>389</v>
      </c>
    </row>
    <row r="284">
      <c r="A284" s="6"/>
      <c r="B284" s="16" t="s">
        <v>389</v>
      </c>
      <c r="C284" s="16" t="s">
        <v>389</v>
      </c>
      <c r="D284" s="16" t="s">
        <v>389</v>
      </c>
    </row>
    <row r="285">
      <c r="A285" s="6"/>
      <c r="B285" s="16" t="s">
        <v>389</v>
      </c>
      <c r="C285" s="16" t="s">
        <v>389</v>
      </c>
      <c r="D285" s="16" t="s">
        <v>389</v>
      </c>
    </row>
    <row r="286">
      <c r="A286" s="6"/>
      <c r="B286" s="16" t="s">
        <v>389</v>
      </c>
      <c r="C286" s="16" t="s">
        <v>389</v>
      </c>
      <c r="D286" s="16" t="s">
        <v>389</v>
      </c>
    </row>
    <row r="287">
      <c r="A287" s="6"/>
      <c r="B287" s="16" t="s">
        <v>389</v>
      </c>
      <c r="C287" s="16" t="s">
        <v>389</v>
      </c>
      <c r="D287" s="16" t="s">
        <v>389</v>
      </c>
    </row>
    <row r="288">
      <c r="A288" s="6"/>
      <c r="B288" s="16" t="s">
        <v>389</v>
      </c>
      <c r="C288" s="16" t="s">
        <v>389</v>
      </c>
      <c r="D288" s="16" t="s">
        <v>389</v>
      </c>
    </row>
    <row r="289">
      <c r="A289" s="6"/>
      <c r="B289" s="16" t="s">
        <v>389</v>
      </c>
      <c r="C289" s="16" t="s">
        <v>389</v>
      </c>
      <c r="D289" s="16" t="s">
        <v>389</v>
      </c>
    </row>
    <row r="290">
      <c r="A290" s="6"/>
      <c r="B290" s="16" t="s">
        <v>389</v>
      </c>
      <c r="C290" s="16" t="s">
        <v>389</v>
      </c>
      <c r="D290" s="16" t="s">
        <v>389</v>
      </c>
    </row>
    <row r="291">
      <c r="A291" s="6"/>
      <c r="B291" s="16" t="s">
        <v>389</v>
      </c>
      <c r="C291" s="16" t="s">
        <v>389</v>
      </c>
      <c r="D291" s="16" t="s">
        <v>389</v>
      </c>
    </row>
    <row r="292">
      <c r="A292" s="6"/>
      <c r="B292" s="16" t="s">
        <v>389</v>
      </c>
      <c r="C292" s="16" t="s">
        <v>389</v>
      </c>
      <c r="D292" s="16" t="s">
        <v>389</v>
      </c>
    </row>
    <row r="293">
      <c r="A293" s="6"/>
      <c r="B293" s="16" t="s">
        <v>389</v>
      </c>
      <c r="C293" s="16" t="s">
        <v>389</v>
      </c>
      <c r="D293" s="16" t="s">
        <v>389</v>
      </c>
    </row>
    <row r="294">
      <c r="A294" s="6"/>
      <c r="B294" s="16" t="s">
        <v>389</v>
      </c>
      <c r="C294" s="16" t="s">
        <v>389</v>
      </c>
      <c r="D294" s="16" t="s">
        <v>389</v>
      </c>
    </row>
    <row r="295">
      <c r="A295" s="6"/>
      <c r="B295" s="16" t="s">
        <v>389</v>
      </c>
      <c r="C295" s="16" t="s">
        <v>389</v>
      </c>
      <c r="D295" s="16" t="s">
        <v>389</v>
      </c>
    </row>
    <row r="296">
      <c r="A296" s="6"/>
      <c r="B296" s="16" t="s">
        <v>389</v>
      </c>
      <c r="C296" s="16" t="s">
        <v>389</v>
      </c>
      <c r="D296" s="16" t="s">
        <v>389</v>
      </c>
    </row>
    <row r="297">
      <c r="A297" s="6"/>
      <c r="B297" s="16" t="s">
        <v>389</v>
      </c>
      <c r="C297" s="16" t="s">
        <v>389</v>
      </c>
      <c r="D297" s="16" t="s">
        <v>389</v>
      </c>
    </row>
    <row r="298">
      <c r="A298" s="6"/>
      <c r="B298" s="16" t="s">
        <v>389</v>
      </c>
      <c r="C298" s="16" t="s">
        <v>389</v>
      </c>
      <c r="D298" s="16" t="s">
        <v>389</v>
      </c>
    </row>
    <row r="299">
      <c r="A299" s="6"/>
      <c r="B299" s="16" t="s">
        <v>389</v>
      </c>
      <c r="C299" s="16" t="s">
        <v>389</v>
      </c>
      <c r="D299" s="16" t="s">
        <v>389</v>
      </c>
    </row>
    <row r="300">
      <c r="A300" s="6"/>
      <c r="B300" s="16" t="s">
        <v>389</v>
      </c>
      <c r="C300" s="16" t="s">
        <v>389</v>
      </c>
      <c r="D300" s="16" t="s">
        <v>389</v>
      </c>
    </row>
    <row r="301">
      <c r="A301" s="6"/>
      <c r="B301" s="16" t="s">
        <v>389</v>
      </c>
      <c r="C301" s="16" t="s">
        <v>389</v>
      </c>
      <c r="D301" s="16" t="s">
        <v>389</v>
      </c>
    </row>
    <row r="302">
      <c r="A302" s="6"/>
      <c r="B302" s="16" t="s">
        <v>389</v>
      </c>
      <c r="C302" s="16" t="s">
        <v>389</v>
      </c>
      <c r="D302" s="16" t="s">
        <v>389</v>
      </c>
    </row>
    <row r="303">
      <c r="A303" s="6"/>
      <c r="B303" s="16" t="s">
        <v>389</v>
      </c>
      <c r="C303" s="16" t="s">
        <v>389</v>
      </c>
      <c r="D303" s="16" t="s">
        <v>389</v>
      </c>
    </row>
    <row r="304">
      <c r="A304" s="6"/>
      <c r="B304" s="16" t="s">
        <v>389</v>
      </c>
      <c r="C304" s="16" t="s">
        <v>389</v>
      </c>
      <c r="D304" s="16" t="s">
        <v>389</v>
      </c>
    </row>
    <row r="305">
      <c r="A305" s="6"/>
      <c r="B305" s="16" t="s">
        <v>389</v>
      </c>
      <c r="C305" s="16" t="s">
        <v>389</v>
      </c>
      <c r="D305" s="16" t="s">
        <v>389</v>
      </c>
    </row>
    <row r="306">
      <c r="A306" s="6"/>
      <c r="B306" s="16" t="s">
        <v>389</v>
      </c>
      <c r="C306" s="16" t="s">
        <v>389</v>
      </c>
      <c r="D306" s="16" t="s">
        <v>389</v>
      </c>
    </row>
    <row r="307">
      <c r="A307" s="6"/>
      <c r="B307" s="16" t="s">
        <v>389</v>
      </c>
      <c r="C307" s="16" t="s">
        <v>389</v>
      </c>
      <c r="D307" s="16" t="s">
        <v>389</v>
      </c>
    </row>
    <row r="308">
      <c r="A308" s="6"/>
      <c r="B308" s="16" t="s">
        <v>389</v>
      </c>
      <c r="C308" s="16" t="s">
        <v>389</v>
      </c>
      <c r="D308" s="16" t="s">
        <v>389</v>
      </c>
    </row>
    <row r="309">
      <c r="A309" s="6"/>
      <c r="B309" s="16" t="s">
        <v>389</v>
      </c>
      <c r="C309" s="16" t="s">
        <v>389</v>
      </c>
      <c r="D309" s="16" t="s">
        <v>389</v>
      </c>
    </row>
    <row r="310">
      <c r="A310" s="6"/>
      <c r="B310" s="16" t="s">
        <v>389</v>
      </c>
      <c r="C310" s="16" t="s">
        <v>389</v>
      </c>
      <c r="D310" s="16" t="s">
        <v>389</v>
      </c>
    </row>
    <row r="311">
      <c r="A311" s="6"/>
      <c r="B311" s="16" t="s">
        <v>389</v>
      </c>
      <c r="C311" s="16" t="s">
        <v>389</v>
      </c>
      <c r="D311" s="16" t="s">
        <v>389</v>
      </c>
    </row>
    <row r="312">
      <c r="A312" s="6"/>
      <c r="B312" s="16" t="s">
        <v>389</v>
      </c>
      <c r="C312" s="16" t="s">
        <v>389</v>
      </c>
      <c r="D312" s="16" t="s">
        <v>389</v>
      </c>
    </row>
    <row r="313">
      <c r="A313" s="6"/>
      <c r="B313" s="16" t="s">
        <v>389</v>
      </c>
      <c r="C313" s="16" t="s">
        <v>389</v>
      </c>
      <c r="D313" s="16" t="s">
        <v>389</v>
      </c>
    </row>
    <row r="314">
      <c r="A314" s="6"/>
      <c r="B314" s="16" t="s">
        <v>389</v>
      </c>
      <c r="C314" s="16" t="s">
        <v>389</v>
      </c>
      <c r="D314" s="16" t="s">
        <v>389</v>
      </c>
    </row>
    <row r="315">
      <c r="A315" s="6"/>
      <c r="B315" s="16" t="s">
        <v>389</v>
      </c>
      <c r="C315" s="16" t="s">
        <v>389</v>
      </c>
      <c r="D315" s="16" t="s">
        <v>389</v>
      </c>
    </row>
    <row r="316">
      <c r="A316" s="6"/>
      <c r="B316" s="16" t="s">
        <v>389</v>
      </c>
      <c r="C316" s="16" t="s">
        <v>389</v>
      </c>
      <c r="D316" s="16" t="s">
        <v>389</v>
      </c>
    </row>
    <row r="317">
      <c r="A317" s="6"/>
      <c r="B317" s="16" t="s">
        <v>389</v>
      </c>
      <c r="C317" s="16" t="s">
        <v>389</v>
      </c>
      <c r="D317" s="16" t="s">
        <v>389</v>
      </c>
    </row>
    <row r="318">
      <c r="A318" s="6"/>
      <c r="B318" s="16" t="s">
        <v>389</v>
      </c>
      <c r="C318" s="16" t="s">
        <v>389</v>
      </c>
      <c r="D318" s="16" t="s">
        <v>389</v>
      </c>
    </row>
    <row r="319">
      <c r="A319" s="6"/>
      <c r="B319" s="16" t="s">
        <v>389</v>
      </c>
      <c r="C319" s="16" t="s">
        <v>389</v>
      </c>
      <c r="D319" s="16" t="s">
        <v>389</v>
      </c>
    </row>
    <row r="320">
      <c r="A320" s="6"/>
      <c r="B320" s="16" t="s">
        <v>389</v>
      </c>
      <c r="C320" s="16" t="s">
        <v>389</v>
      </c>
      <c r="D320" s="16" t="s">
        <v>389</v>
      </c>
    </row>
    <row r="321">
      <c r="A321" s="6"/>
      <c r="B321" s="16" t="s">
        <v>389</v>
      </c>
      <c r="C321" s="16" t="s">
        <v>389</v>
      </c>
      <c r="D321" s="16" t="s">
        <v>389</v>
      </c>
    </row>
    <row r="322">
      <c r="A322" s="6"/>
      <c r="B322" s="16" t="s">
        <v>389</v>
      </c>
      <c r="C322" s="16" t="s">
        <v>389</v>
      </c>
      <c r="D322" s="16" t="s">
        <v>389</v>
      </c>
    </row>
    <row r="323">
      <c r="A323" s="6"/>
      <c r="B323" s="16" t="s">
        <v>389</v>
      </c>
      <c r="C323" s="16" t="s">
        <v>389</v>
      </c>
      <c r="D323" s="16" t="s">
        <v>389</v>
      </c>
    </row>
    <row r="324">
      <c r="A324" s="6"/>
      <c r="B324" s="16" t="s">
        <v>389</v>
      </c>
      <c r="C324" s="16" t="s">
        <v>389</v>
      </c>
      <c r="D324" s="16" t="s">
        <v>389</v>
      </c>
    </row>
    <row r="325">
      <c r="A325" s="6"/>
      <c r="B325" s="16" t="s">
        <v>389</v>
      </c>
      <c r="C325" s="16" t="s">
        <v>389</v>
      </c>
      <c r="D325" s="16" t="s">
        <v>389</v>
      </c>
    </row>
    <row r="326">
      <c r="A326" s="6"/>
      <c r="B326" s="16" t="s">
        <v>389</v>
      </c>
      <c r="C326" s="16" t="s">
        <v>389</v>
      </c>
      <c r="D326" s="16" t="s">
        <v>389</v>
      </c>
    </row>
    <row r="327">
      <c r="A327" s="6"/>
      <c r="B327" s="16" t="s">
        <v>389</v>
      </c>
      <c r="C327" s="16" t="s">
        <v>389</v>
      </c>
      <c r="D327" s="16" t="s">
        <v>389</v>
      </c>
    </row>
    <row r="328">
      <c r="A328" s="6"/>
      <c r="B328" s="16" t="s">
        <v>389</v>
      </c>
      <c r="C328" s="16" t="s">
        <v>389</v>
      </c>
      <c r="D328" s="16" t="s">
        <v>389</v>
      </c>
    </row>
    <row r="329">
      <c r="A329" s="6"/>
      <c r="B329" s="16" t="s">
        <v>389</v>
      </c>
      <c r="C329" s="16" t="s">
        <v>389</v>
      </c>
      <c r="D329" s="16" t="s">
        <v>389</v>
      </c>
    </row>
    <row r="330">
      <c r="A330" s="6"/>
      <c r="B330" s="16" t="s">
        <v>389</v>
      </c>
      <c r="C330" s="16" t="s">
        <v>389</v>
      </c>
      <c r="D330" s="16" t="s">
        <v>389</v>
      </c>
    </row>
    <row r="331">
      <c r="A331" s="6"/>
      <c r="B331" s="16" t="s">
        <v>389</v>
      </c>
      <c r="C331" s="16" t="s">
        <v>389</v>
      </c>
      <c r="D331" s="16" t="s">
        <v>389</v>
      </c>
    </row>
    <row r="332">
      <c r="A332" s="6"/>
      <c r="B332" s="16" t="s">
        <v>389</v>
      </c>
      <c r="C332" s="16" t="s">
        <v>389</v>
      </c>
      <c r="D332" s="16" t="s">
        <v>389</v>
      </c>
    </row>
    <row r="333">
      <c r="A333" s="6"/>
      <c r="B333" s="16" t="s">
        <v>389</v>
      </c>
      <c r="C333" s="16" t="s">
        <v>389</v>
      </c>
      <c r="D333" s="16" t="s">
        <v>389</v>
      </c>
    </row>
    <row r="334">
      <c r="A334" s="6"/>
      <c r="B334" s="16" t="s">
        <v>389</v>
      </c>
      <c r="C334" s="16" t="s">
        <v>389</v>
      </c>
      <c r="D334" s="16" t="s">
        <v>389</v>
      </c>
    </row>
    <row r="335">
      <c r="A335" s="6"/>
      <c r="B335" s="16" t="s">
        <v>389</v>
      </c>
      <c r="C335" s="16" t="s">
        <v>389</v>
      </c>
      <c r="D335" s="16" t="s">
        <v>389</v>
      </c>
    </row>
    <row r="336">
      <c r="A336" s="6"/>
      <c r="B336" s="16" t="s">
        <v>389</v>
      </c>
      <c r="C336" s="16" t="s">
        <v>389</v>
      </c>
      <c r="D336" s="16" t="s">
        <v>389</v>
      </c>
    </row>
    <row r="337">
      <c r="A337" s="6"/>
      <c r="B337" s="16" t="s">
        <v>389</v>
      </c>
      <c r="C337" s="16" t="s">
        <v>389</v>
      </c>
      <c r="D337" s="16" t="s">
        <v>389</v>
      </c>
    </row>
    <row r="338">
      <c r="A338" s="6"/>
      <c r="B338" s="16" t="s">
        <v>389</v>
      </c>
      <c r="C338" s="16" t="s">
        <v>389</v>
      </c>
      <c r="D338" s="16" t="s">
        <v>389</v>
      </c>
    </row>
    <row r="339">
      <c r="A339" s="6"/>
      <c r="B339" s="16" t="s">
        <v>389</v>
      </c>
      <c r="C339" s="16" t="s">
        <v>389</v>
      </c>
      <c r="D339" s="16" t="s">
        <v>389</v>
      </c>
    </row>
    <row r="340">
      <c r="A340" s="6"/>
      <c r="B340" s="16" t="s">
        <v>389</v>
      </c>
      <c r="C340" s="16" t="s">
        <v>389</v>
      </c>
      <c r="D340" s="16" t="s">
        <v>389</v>
      </c>
    </row>
    <row r="341">
      <c r="A341" s="6"/>
      <c r="B341" s="16" t="s">
        <v>389</v>
      </c>
      <c r="C341" s="16" t="s">
        <v>389</v>
      </c>
      <c r="D341" s="16" t="s">
        <v>389</v>
      </c>
    </row>
    <row r="342">
      <c r="A342" s="6"/>
      <c r="B342" s="16" t="s">
        <v>389</v>
      </c>
      <c r="C342" s="16" t="s">
        <v>389</v>
      </c>
      <c r="D342" s="16" t="s">
        <v>389</v>
      </c>
    </row>
    <row r="343">
      <c r="A343" s="6"/>
      <c r="B343" s="16" t="s">
        <v>389</v>
      </c>
      <c r="C343" s="16" t="s">
        <v>389</v>
      </c>
      <c r="D343" s="16" t="s">
        <v>389</v>
      </c>
    </row>
    <row r="344">
      <c r="A344" s="6"/>
      <c r="B344" s="16" t="s">
        <v>389</v>
      </c>
      <c r="C344" s="16" t="s">
        <v>389</v>
      </c>
      <c r="D344" s="16" t="s">
        <v>389</v>
      </c>
    </row>
    <row r="345">
      <c r="A345" s="6"/>
      <c r="B345" s="16" t="s">
        <v>389</v>
      </c>
      <c r="C345" s="16" t="s">
        <v>389</v>
      </c>
      <c r="D345" s="16" t="s">
        <v>389</v>
      </c>
    </row>
    <row r="346">
      <c r="A346" s="6"/>
      <c r="B346" s="16" t="s">
        <v>389</v>
      </c>
      <c r="C346" s="16" t="s">
        <v>389</v>
      </c>
      <c r="D346" s="16" t="s">
        <v>389</v>
      </c>
    </row>
    <row r="347">
      <c r="A347" s="6"/>
      <c r="B347" s="16" t="s">
        <v>389</v>
      </c>
      <c r="C347" s="16" t="s">
        <v>389</v>
      </c>
      <c r="D347" s="16" t="s">
        <v>389</v>
      </c>
    </row>
    <row r="348">
      <c r="A348" s="6"/>
      <c r="B348" s="16" t="s">
        <v>389</v>
      </c>
      <c r="C348" s="16" t="s">
        <v>389</v>
      </c>
      <c r="D348" s="16" t="s">
        <v>389</v>
      </c>
    </row>
    <row r="349">
      <c r="A349" s="6"/>
      <c r="B349" s="16" t="s">
        <v>389</v>
      </c>
      <c r="C349" s="16" t="s">
        <v>389</v>
      </c>
      <c r="D349" s="16" t="s">
        <v>389</v>
      </c>
    </row>
    <row r="350">
      <c r="A350" s="6"/>
      <c r="B350" s="16" t="s">
        <v>389</v>
      </c>
      <c r="C350" s="16" t="s">
        <v>389</v>
      </c>
      <c r="D350" s="16" t="s">
        <v>389</v>
      </c>
    </row>
    <row r="351">
      <c r="A351" s="6"/>
      <c r="B351" s="16" t="s">
        <v>389</v>
      </c>
      <c r="C351" s="16" t="s">
        <v>389</v>
      </c>
      <c r="D351" s="16" t="s">
        <v>389</v>
      </c>
    </row>
    <row r="352">
      <c r="A352" s="6"/>
      <c r="B352" s="16" t="s">
        <v>389</v>
      </c>
      <c r="C352" s="16" t="s">
        <v>389</v>
      </c>
      <c r="D352" s="16" t="s">
        <v>389</v>
      </c>
    </row>
    <row r="353">
      <c r="A353" s="6"/>
      <c r="B353" s="16" t="s">
        <v>389</v>
      </c>
      <c r="C353" s="16" t="s">
        <v>389</v>
      </c>
      <c r="D353" s="16" t="s">
        <v>389</v>
      </c>
    </row>
    <row r="354">
      <c r="A354" s="6"/>
      <c r="B354" s="16" t="s">
        <v>389</v>
      </c>
      <c r="C354" s="16" t="s">
        <v>389</v>
      </c>
      <c r="D354" s="16" t="s">
        <v>389</v>
      </c>
    </row>
    <row r="355">
      <c r="A355" s="6"/>
      <c r="B355" s="16" t="s">
        <v>389</v>
      </c>
      <c r="C355" s="16" t="s">
        <v>389</v>
      </c>
      <c r="D355" s="16" t="s">
        <v>389</v>
      </c>
    </row>
    <row r="356">
      <c r="A356" s="6"/>
      <c r="B356" s="16" t="s">
        <v>389</v>
      </c>
      <c r="C356" s="16" t="s">
        <v>389</v>
      </c>
      <c r="D356" s="16" t="s">
        <v>389</v>
      </c>
    </row>
    <row r="357">
      <c r="A357" s="6"/>
      <c r="B357" s="16" t="s">
        <v>389</v>
      </c>
      <c r="C357" s="16" t="s">
        <v>389</v>
      </c>
      <c r="D357" s="16" t="s">
        <v>389</v>
      </c>
    </row>
    <row r="358">
      <c r="A358" s="6"/>
      <c r="B358" s="16" t="s">
        <v>389</v>
      </c>
      <c r="C358" s="16" t="s">
        <v>389</v>
      </c>
      <c r="D358" s="16" t="s">
        <v>389</v>
      </c>
    </row>
    <row r="359">
      <c r="A359" s="6"/>
      <c r="B359" s="16" t="s">
        <v>389</v>
      </c>
      <c r="C359" s="16" t="s">
        <v>389</v>
      </c>
      <c r="D359" s="16" t="s">
        <v>389</v>
      </c>
    </row>
    <row r="360">
      <c r="A360" s="6"/>
      <c r="B360" s="16" t="s">
        <v>389</v>
      </c>
      <c r="C360" s="16" t="s">
        <v>389</v>
      </c>
      <c r="D360" s="16" t="s">
        <v>389</v>
      </c>
    </row>
    <row r="361">
      <c r="A361" s="6"/>
      <c r="B361" s="16" t="s">
        <v>389</v>
      </c>
      <c r="C361" s="16" t="s">
        <v>389</v>
      </c>
      <c r="D361" s="16" t="s">
        <v>389</v>
      </c>
    </row>
    <row r="362">
      <c r="A362" s="6"/>
      <c r="B362" s="16" t="s">
        <v>389</v>
      </c>
      <c r="C362" s="16" t="s">
        <v>389</v>
      </c>
      <c r="D362" s="16" t="s">
        <v>389</v>
      </c>
    </row>
    <row r="363">
      <c r="A363" s="6"/>
      <c r="B363" s="16" t="s">
        <v>389</v>
      </c>
      <c r="C363" s="16" t="s">
        <v>389</v>
      </c>
      <c r="D363" s="16" t="s">
        <v>389</v>
      </c>
    </row>
    <row r="364">
      <c r="A364" s="6"/>
      <c r="B364" s="16" t="s">
        <v>389</v>
      </c>
      <c r="C364" s="16" t="s">
        <v>389</v>
      </c>
      <c r="D364" s="16" t="s">
        <v>389</v>
      </c>
    </row>
    <row r="365">
      <c r="A365" s="6"/>
      <c r="B365" s="16" t="s">
        <v>389</v>
      </c>
      <c r="C365" s="16" t="s">
        <v>389</v>
      </c>
      <c r="D365" s="16" t="s">
        <v>389</v>
      </c>
    </row>
    <row r="366">
      <c r="A366" s="6"/>
      <c r="B366" s="16" t="s">
        <v>389</v>
      </c>
      <c r="C366" s="16" t="s">
        <v>389</v>
      </c>
      <c r="D366" s="16" t="s">
        <v>389</v>
      </c>
    </row>
    <row r="367">
      <c r="A367" s="6"/>
      <c r="B367" s="16" t="s">
        <v>389</v>
      </c>
      <c r="C367" s="16" t="s">
        <v>389</v>
      </c>
      <c r="D367" s="16" t="s">
        <v>389</v>
      </c>
    </row>
    <row r="368">
      <c r="A368" s="6"/>
      <c r="B368" s="16" t="s">
        <v>389</v>
      </c>
      <c r="C368" s="16" t="s">
        <v>389</v>
      </c>
      <c r="D368" s="16" t="s">
        <v>389</v>
      </c>
    </row>
    <row r="369">
      <c r="A369" s="6"/>
      <c r="B369" s="16" t="s">
        <v>389</v>
      </c>
      <c r="C369" s="16" t="s">
        <v>389</v>
      </c>
      <c r="D369" s="16" t="s">
        <v>389</v>
      </c>
    </row>
    <row r="370">
      <c r="A370" s="6"/>
      <c r="B370" s="16" t="s">
        <v>389</v>
      </c>
      <c r="C370" s="16" t="s">
        <v>389</v>
      </c>
      <c r="D370" s="16" t="s">
        <v>389</v>
      </c>
    </row>
    <row r="371">
      <c r="A371" s="6"/>
      <c r="B371" s="16" t="s">
        <v>389</v>
      </c>
      <c r="C371" s="16" t="s">
        <v>389</v>
      </c>
      <c r="D371" s="16" t="s">
        <v>389</v>
      </c>
    </row>
    <row r="372">
      <c r="A372" s="6"/>
      <c r="B372" s="16" t="s">
        <v>389</v>
      </c>
      <c r="C372" s="16" t="s">
        <v>389</v>
      </c>
      <c r="D372" s="16" t="s">
        <v>389</v>
      </c>
    </row>
    <row r="373">
      <c r="A373" s="6"/>
      <c r="B373" s="16" t="s">
        <v>389</v>
      </c>
      <c r="C373" s="16" t="s">
        <v>389</v>
      </c>
      <c r="D373" s="16" t="s">
        <v>389</v>
      </c>
    </row>
    <row r="374">
      <c r="A374" s="6"/>
      <c r="B374" s="16" t="s">
        <v>389</v>
      </c>
      <c r="C374" s="16" t="s">
        <v>389</v>
      </c>
      <c r="D374" s="16" t="s">
        <v>389</v>
      </c>
    </row>
    <row r="375">
      <c r="A375" s="6"/>
      <c r="B375" s="16" t="s">
        <v>389</v>
      </c>
      <c r="C375" s="16" t="s">
        <v>389</v>
      </c>
      <c r="D375" s="16" t="s">
        <v>389</v>
      </c>
    </row>
    <row r="376">
      <c r="A376" s="6"/>
      <c r="B376" s="16" t="s">
        <v>389</v>
      </c>
      <c r="C376" s="16" t="s">
        <v>389</v>
      </c>
      <c r="D376" s="16" t="s">
        <v>389</v>
      </c>
    </row>
    <row r="377">
      <c r="A377" s="6"/>
      <c r="B377" s="16" t="s">
        <v>389</v>
      </c>
      <c r="C377" s="16" t="s">
        <v>389</v>
      </c>
      <c r="D377" s="16" t="s">
        <v>389</v>
      </c>
    </row>
    <row r="378">
      <c r="A378" s="6"/>
      <c r="B378" s="16" t="s">
        <v>389</v>
      </c>
      <c r="C378" s="16" t="s">
        <v>389</v>
      </c>
      <c r="D378" s="16" t="s">
        <v>389</v>
      </c>
    </row>
    <row r="379">
      <c r="A379" s="6"/>
      <c r="B379" s="16" t="s">
        <v>389</v>
      </c>
      <c r="C379" s="16" t="s">
        <v>389</v>
      </c>
      <c r="D379" s="16" t="s">
        <v>389</v>
      </c>
    </row>
    <row r="380">
      <c r="A380" s="6"/>
      <c r="B380" s="16" t="s">
        <v>389</v>
      </c>
      <c r="C380" s="16" t="s">
        <v>389</v>
      </c>
      <c r="D380" s="16" t="s">
        <v>389</v>
      </c>
    </row>
    <row r="381">
      <c r="A381" s="6"/>
      <c r="B381" s="16" t="s">
        <v>389</v>
      </c>
      <c r="C381" s="16" t="s">
        <v>389</v>
      </c>
      <c r="D381" s="16" t="s">
        <v>389</v>
      </c>
    </row>
    <row r="382">
      <c r="A382" s="6"/>
      <c r="B382" s="16" t="s">
        <v>389</v>
      </c>
      <c r="C382" s="16" t="s">
        <v>389</v>
      </c>
      <c r="D382" s="16" t="s">
        <v>389</v>
      </c>
    </row>
    <row r="383">
      <c r="A383" s="6"/>
      <c r="B383" s="16" t="s">
        <v>389</v>
      </c>
      <c r="C383" s="16" t="s">
        <v>389</v>
      </c>
      <c r="D383" s="16" t="s">
        <v>389</v>
      </c>
    </row>
    <row r="384">
      <c r="A384" s="6"/>
      <c r="B384" s="16" t="s">
        <v>389</v>
      </c>
      <c r="C384" s="16" t="s">
        <v>389</v>
      </c>
      <c r="D384" s="16" t="s">
        <v>389</v>
      </c>
    </row>
    <row r="385">
      <c r="A385" s="6"/>
      <c r="B385" s="16" t="s">
        <v>389</v>
      </c>
      <c r="C385" s="16" t="s">
        <v>389</v>
      </c>
      <c r="D385" s="16" t="s">
        <v>389</v>
      </c>
    </row>
    <row r="386">
      <c r="A386" s="6"/>
      <c r="B386" s="16" t="s">
        <v>389</v>
      </c>
      <c r="C386" s="16" t="s">
        <v>389</v>
      </c>
      <c r="D386" s="16" t="s">
        <v>389</v>
      </c>
    </row>
    <row r="387">
      <c r="A387" s="6"/>
      <c r="B387" s="16" t="s">
        <v>389</v>
      </c>
      <c r="C387" s="16" t="s">
        <v>389</v>
      </c>
      <c r="D387" s="16" t="s">
        <v>389</v>
      </c>
    </row>
    <row r="388">
      <c r="A388" s="6"/>
      <c r="B388" s="16" t="s">
        <v>389</v>
      </c>
      <c r="C388" s="16" t="s">
        <v>389</v>
      </c>
      <c r="D388" s="16" t="s">
        <v>389</v>
      </c>
    </row>
    <row r="389">
      <c r="A389" s="6"/>
      <c r="B389" s="16" t="s">
        <v>389</v>
      </c>
      <c r="C389" s="16" t="s">
        <v>389</v>
      </c>
      <c r="D389" s="16" t="s">
        <v>389</v>
      </c>
    </row>
    <row r="390">
      <c r="A390" s="6"/>
      <c r="B390" s="16" t="s">
        <v>389</v>
      </c>
      <c r="C390" s="16" t="s">
        <v>389</v>
      </c>
      <c r="D390" s="16" t="s">
        <v>389</v>
      </c>
    </row>
    <row r="391">
      <c r="A391" s="6"/>
      <c r="B391" s="16" t="s">
        <v>389</v>
      </c>
      <c r="C391" s="16" t="s">
        <v>389</v>
      </c>
      <c r="D391" s="16" t="s">
        <v>389</v>
      </c>
    </row>
    <row r="392">
      <c r="A392" s="6"/>
      <c r="B392" s="16" t="s">
        <v>389</v>
      </c>
      <c r="C392" s="16" t="s">
        <v>389</v>
      </c>
      <c r="D392" s="16" t="s">
        <v>389</v>
      </c>
    </row>
    <row r="393">
      <c r="A393" s="6"/>
      <c r="B393" s="16" t="s">
        <v>389</v>
      </c>
      <c r="C393" s="16" t="s">
        <v>389</v>
      </c>
      <c r="D393" s="16" t="s">
        <v>389</v>
      </c>
    </row>
    <row r="394">
      <c r="A394" s="6"/>
      <c r="B394" s="16" t="s">
        <v>389</v>
      </c>
      <c r="C394" s="16" t="s">
        <v>389</v>
      </c>
      <c r="D394" s="16" t="s">
        <v>389</v>
      </c>
    </row>
    <row r="395">
      <c r="A395" s="6"/>
      <c r="B395" s="16" t="s">
        <v>389</v>
      </c>
      <c r="C395" s="16" t="s">
        <v>389</v>
      </c>
      <c r="D395" s="16" t="s">
        <v>389</v>
      </c>
    </row>
    <row r="396">
      <c r="A396" s="6"/>
      <c r="B396" s="16" t="s">
        <v>389</v>
      </c>
      <c r="C396" s="16" t="s">
        <v>389</v>
      </c>
      <c r="D396" s="16" t="s">
        <v>389</v>
      </c>
    </row>
    <row r="397">
      <c r="A397" s="6"/>
      <c r="B397" s="16" t="s">
        <v>389</v>
      </c>
      <c r="C397" s="16" t="s">
        <v>389</v>
      </c>
      <c r="D397" s="16" t="s">
        <v>389</v>
      </c>
    </row>
    <row r="398">
      <c r="A398" s="6"/>
      <c r="B398" s="16" t="s">
        <v>389</v>
      </c>
      <c r="C398" s="16" t="s">
        <v>389</v>
      </c>
      <c r="D398" s="16" t="s">
        <v>389</v>
      </c>
    </row>
    <row r="399">
      <c r="A399" s="6"/>
      <c r="B399" s="16" t="s">
        <v>389</v>
      </c>
      <c r="C399" s="16" t="s">
        <v>389</v>
      </c>
      <c r="D399" s="16" t="s">
        <v>389</v>
      </c>
    </row>
    <row r="400">
      <c r="A400" s="6"/>
      <c r="B400" s="16" t="s">
        <v>389</v>
      </c>
      <c r="C400" s="16" t="s">
        <v>389</v>
      </c>
      <c r="D400" s="16" t="s">
        <v>389</v>
      </c>
    </row>
    <row r="401">
      <c r="A401" s="6"/>
      <c r="B401" s="16" t="s">
        <v>389</v>
      </c>
      <c r="C401" s="16" t="s">
        <v>389</v>
      </c>
      <c r="D401" s="16" t="s">
        <v>389</v>
      </c>
    </row>
    <row r="402">
      <c r="A402" s="6"/>
      <c r="B402" s="16" t="s">
        <v>389</v>
      </c>
      <c r="C402" s="16" t="s">
        <v>389</v>
      </c>
      <c r="D402" s="16" t="s">
        <v>389</v>
      </c>
    </row>
    <row r="403">
      <c r="A403" s="6"/>
      <c r="B403" s="16" t="s">
        <v>389</v>
      </c>
      <c r="C403" s="16" t="s">
        <v>389</v>
      </c>
      <c r="D403" s="16" t="s">
        <v>389</v>
      </c>
    </row>
    <row r="404">
      <c r="A404" s="6"/>
      <c r="B404" s="16" t="s">
        <v>389</v>
      </c>
      <c r="C404" s="16" t="s">
        <v>389</v>
      </c>
      <c r="D404" s="16" t="s">
        <v>389</v>
      </c>
    </row>
    <row r="405">
      <c r="A405" s="6"/>
      <c r="B405" s="16" t="s">
        <v>389</v>
      </c>
      <c r="C405" s="16" t="s">
        <v>389</v>
      </c>
      <c r="D405" s="16" t="s">
        <v>389</v>
      </c>
    </row>
    <row r="406">
      <c r="A406" s="6"/>
      <c r="B406" s="16" t="s">
        <v>389</v>
      </c>
      <c r="C406" s="16" t="s">
        <v>389</v>
      </c>
      <c r="D406" s="16" t="s">
        <v>389</v>
      </c>
    </row>
    <row r="407">
      <c r="A407" s="6"/>
      <c r="B407" s="16" t="s">
        <v>389</v>
      </c>
      <c r="C407" s="16" t="s">
        <v>389</v>
      </c>
      <c r="D407" s="16" t="s">
        <v>389</v>
      </c>
    </row>
    <row r="408">
      <c r="A408" s="6"/>
      <c r="B408" s="16" t="s">
        <v>389</v>
      </c>
      <c r="C408" s="16" t="s">
        <v>389</v>
      </c>
      <c r="D408" s="16" t="s">
        <v>389</v>
      </c>
    </row>
    <row r="409">
      <c r="A409" s="6"/>
      <c r="B409" s="16" t="s">
        <v>389</v>
      </c>
      <c r="C409" s="16" t="s">
        <v>389</v>
      </c>
      <c r="D409" s="16" t="s">
        <v>389</v>
      </c>
    </row>
    <row r="410">
      <c r="A410" s="6"/>
      <c r="B410" s="16" t="s">
        <v>389</v>
      </c>
      <c r="C410" s="16" t="s">
        <v>389</v>
      </c>
      <c r="D410" s="16" t="s">
        <v>389</v>
      </c>
    </row>
    <row r="411">
      <c r="A411" s="6"/>
      <c r="B411" s="16" t="s">
        <v>389</v>
      </c>
      <c r="C411" s="16" t="s">
        <v>389</v>
      </c>
      <c r="D411" s="16" t="s">
        <v>389</v>
      </c>
    </row>
    <row r="412">
      <c r="A412" s="6"/>
      <c r="B412" s="16" t="s">
        <v>389</v>
      </c>
      <c r="C412" s="16" t="s">
        <v>389</v>
      </c>
      <c r="D412" s="16" t="s">
        <v>389</v>
      </c>
    </row>
    <row r="413">
      <c r="A413" s="6"/>
      <c r="B413" s="16" t="s">
        <v>389</v>
      </c>
      <c r="C413" s="16" t="s">
        <v>389</v>
      </c>
      <c r="D413" s="16" t="s">
        <v>389</v>
      </c>
    </row>
    <row r="414">
      <c r="A414" s="6"/>
      <c r="B414" s="16" t="s">
        <v>389</v>
      </c>
      <c r="C414" s="16" t="s">
        <v>389</v>
      </c>
      <c r="D414" s="16" t="s">
        <v>389</v>
      </c>
    </row>
    <row r="415">
      <c r="A415" s="6"/>
      <c r="B415" s="16" t="s">
        <v>389</v>
      </c>
      <c r="C415" s="16" t="s">
        <v>389</v>
      </c>
      <c r="D415" s="16" t="s">
        <v>389</v>
      </c>
    </row>
    <row r="416">
      <c r="A416" s="6"/>
      <c r="B416" s="16" t="s">
        <v>389</v>
      </c>
      <c r="C416" s="16" t="s">
        <v>389</v>
      </c>
      <c r="D416" s="16" t="s">
        <v>389</v>
      </c>
    </row>
    <row r="417">
      <c r="A417" s="6"/>
      <c r="B417" s="16" t="s">
        <v>389</v>
      </c>
      <c r="C417" s="16" t="s">
        <v>389</v>
      </c>
      <c r="D417" s="16" t="s">
        <v>389</v>
      </c>
    </row>
    <row r="418">
      <c r="A418" s="6"/>
      <c r="B418" s="16" t="s">
        <v>389</v>
      </c>
      <c r="C418" s="16" t="s">
        <v>389</v>
      </c>
      <c r="D418" s="16" t="s">
        <v>389</v>
      </c>
    </row>
    <row r="419">
      <c r="A419" s="6"/>
      <c r="B419" s="16" t="s">
        <v>389</v>
      </c>
      <c r="C419" s="16" t="s">
        <v>389</v>
      </c>
      <c r="D419" s="16" t="s">
        <v>389</v>
      </c>
    </row>
    <row r="420">
      <c r="A420" s="6"/>
      <c r="B420" s="16" t="s">
        <v>389</v>
      </c>
      <c r="C420" s="16" t="s">
        <v>389</v>
      </c>
      <c r="D420" s="16" t="s">
        <v>389</v>
      </c>
    </row>
    <row r="421">
      <c r="A421" s="6"/>
      <c r="B421" s="16" t="s">
        <v>389</v>
      </c>
      <c r="C421" s="16" t="s">
        <v>389</v>
      </c>
      <c r="D421" s="16" t="s">
        <v>389</v>
      </c>
    </row>
    <row r="422">
      <c r="A422" s="6"/>
      <c r="B422" s="16" t="s">
        <v>389</v>
      </c>
      <c r="C422" s="16" t="s">
        <v>389</v>
      </c>
      <c r="D422" s="16" t="s">
        <v>389</v>
      </c>
    </row>
    <row r="423">
      <c r="A423" s="6"/>
      <c r="B423" s="16" t="s">
        <v>389</v>
      </c>
      <c r="C423" s="16" t="s">
        <v>389</v>
      </c>
      <c r="D423" s="16" t="s">
        <v>389</v>
      </c>
    </row>
    <row r="424">
      <c r="A424" s="6"/>
      <c r="B424" s="16" t="s">
        <v>389</v>
      </c>
      <c r="C424" s="16" t="s">
        <v>389</v>
      </c>
      <c r="D424" s="16" t="s">
        <v>389</v>
      </c>
    </row>
    <row r="425">
      <c r="A425" s="6"/>
      <c r="B425" s="16" t="s">
        <v>389</v>
      </c>
      <c r="C425" s="16" t="s">
        <v>389</v>
      </c>
      <c r="D425" s="16" t="s">
        <v>389</v>
      </c>
    </row>
    <row r="426">
      <c r="A426" s="6"/>
      <c r="B426" s="16" t="s">
        <v>389</v>
      </c>
      <c r="C426" s="16" t="s">
        <v>389</v>
      </c>
      <c r="D426" s="16" t="s">
        <v>389</v>
      </c>
    </row>
    <row r="427">
      <c r="A427" s="6"/>
      <c r="B427" s="16" t="s">
        <v>389</v>
      </c>
      <c r="C427" s="16" t="s">
        <v>389</v>
      </c>
      <c r="D427" s="16" t="s">
        <v>389</v>
      </c>
    </row>
    <row r="428">
      <c r="A428" s="6"/>
      <c r="B428" s="16" t="s">
        <v>389</v>
      </c>
      <c r="C428" s="16" t="s">
        <v>389</v>
      </c>
      <c r="D428" s="16" t="s">
        <v>389</v>
      </c>
    </row>
    <row r="429">
      <c r="A429" s="6"/>
      <c r="B429" s="16" t="s">
        <v>389</v>
      </c>
      <c r="C429" s="16" t="s">
        <v>389</v>
      </c>
      <c r="D429" s="16" t="s">
        <v>389</v>
      </c>
    </row>
    <row r="430">
      <c r="A430" s="6"/>
      <c r="B430" s="16" t="s">
        <v>389</v>
      </c>
      <c r="C430" s="16" t="s">
        <v>389</v>
      </c>
      <c r="D430" s="16" t="s">
        <v>389</v>
      </c>
    </row>
    <row r="431">
      <c r="A431" s="6"/>
      <c r="B431" s="16" t="s">
        <v>389</v>
      </c>
      <c r="C431" s="16" t="s">
        <v>389</v>
      </c>
      <c r="D431" s="16" t="s">
        <v>389</v>
      </c>
    </row>
    <row r="432">
      <c r="A432" s="6"/>
      <c r="B432" s="16" t="s">
        <v>389</v>
      </c>
      <c r="C432" s="16" t="s">
        <v>389</v>
      </c>
      <c r="D432" s="16" t="s">
        <v>389</v>
      </c>
    </row>
    <row r="433">
      <c r="A433" s="6"/>
      <c r="B433" s="16" t="s">
        <v>389</v>
      </c>
      <c r="C433" s="16" t="s">
        <v>389</v>
      </c>
      <c r="D433" s="16" t="s">
        <v>389</v>
      </c>
    </row>
    <row r="434">
      <c r="A434" s="6"/>
      <c r="B434" s="16" t="s">
        <v>389</v>
      </c>
      <c r="C434" s="16" t="s">
        <v>389</v>
      </c>
      <c r="D434" s="16" t="s">
        <v>389</v>
      </c>
    </row>
    <row r="435">
      <c r="A435" s="6"/>
      <c r="B435" s="16" t="s">
        <v>389</v>
      </c>
      <c r="C435" s="16" t="s">
        <v>389</v>
      </c>
      <c r="D435" s="16" t="s">
        <v>389</v>
      </c>
    </row>
    <row r="436">
      <c r="A436" s="6"/>
      <c r="B436" s="16" t="s">
        <v>389</v>
      </c>
      <c r="C436" s="16" t="s">
        <v>389</v>
      </c>
      <c r="D436" s="16" t="s">
        <v>389</v>
      </c>
    </row>
    <row r="437">
      <c r="A437" s="6"/>
      <c r="B437" s="16" t="s">
        <v>389</v>
      </c>
      <c r="C437" s="16" t="s">
        <v>389</v>
      </c>
      <c r="D437" s="16" t="s">
        <v>389</v>
      </c>
    </row>
    <row r="438">
      <c r="A438" s="6"/>
      <c r="B438" s="16" t="s">
        <v>389</v>
      </c>
      <c r="C438" s="16" t="s">
        <v>389</v>
      </c>
      <c r="D438" s="16" t="s">
        <v>389</v>
      </c>
    </row>
    <row r="439">
      <c r="A439" s="6"/>
      <c r="B439" s="16" t="s">
        <v>389</v>
      </c>
      <c r="C439" s="16" t="s">
        <v>389</v>
      </c>
      <c r="D439" s="16" t="s">
        <v>389</v>
      </c>
    </row>
    <row r="440">
      <c r="A440" s="6"/>
      <c r="B440" s="16" t="s">
        <v>389</v>
      </c>
      <c r="C440" s="16" t="s">
        <v>389</v>
      </c>
      <c r="D440" s="16" t="s">
        <v>389</v>
      </c>
    </row>
    <row r="441">
      <c r="A441" s="6"/>
      <c r="B441" s="16" t="s">
        <v>389</v>
      </c>
      <c r="C441" s="16" t="s">
        <v>389</v>
      </c>
      <c r="D441" s="16" t="s">
        <v>389</v>
      </c>
    </row>
    <row r="442">
      <c r="A442" s="6"/>
      <c r="B442" s="16" t="s">
        <v>389</v>
      </c>
      <c r="C442" s="16" t="s">
        <v>389</v>
      </c>
      <c r="D442" s="16" t="s">
        <v>389</v>
      </c>
    </row>
    <row r="443">
      <c r="A443" s="6"/>
      <c r="B443" s="16" t="s">
        <v>389</v>
      </c>
      <c r="C443" s="16" t="s">
        <v>389</v>
      </c>
      <c r="D443" s="16" t="s">
        <v>389</v>
      </c>
    </row>
    <row r="444">
      <c r="A444" s="6"/>
      <c r="B444" s="16" t="s">
        <v>389</v>
      </c>
      <c r="C444" s="16" t="s">
        <v>389</v>
      </c>
      <c r="D444" s="16" t="s">
        <v>389</v>
      </c>
    </row>
    <row r="445">
      <c r="A445" s="6"/>
      <c r="B445" s="16" t="s">
        <v>389</v>
      </c>
      <c r="C445" s="16" t="s">
        <v>389</v>
      </c>
      <c r="D445" s="16" t="s">
        <v>389</v>
      </c>
    </row>
    <row r="446">
      <c r="A446" s="6"/>
      <c r="B446" s="16" t="s">
        <v>389</v>
      </c>
      <c r="C446" s="16" t="s">
        <v>389</v>
      </c>
      <c r="D446" s="16" t="s">
        <v>389</v>
      </c>
    </row>
    <row r="447">
      <c r="A447" s="6"/>
      <c r="B447" s="16" t="s">
        <v>389</v>
      </c>
      <c r="C447" s="16" t="s">
        <v>389</v>
      </c>
      <c r="D447" s="16" t="s">
        <v>389</v>
      </c>
    </row>
    <row r="448">
      <c r="A448" s="6"/>
      <c r="B448" s="16" t="s">
        <v>389</v>
      </c>
      <c r="C448" s="16" t="s">
        <v>389</v>
      </c>
      <c r="D448" s="16" t="s">
        <v>389</v>
      </c>
    </row>
    <row r="449">
      <c r="A449" s="6"/>
      <c r="B449" s="16" t="s">
        <v>389</v>
      </c>
      <c r="C449" s="16" t="s">
        <v>389</v>
      </c>
      <c r="D449" s="16" t="s">
        <v>389</v>
      </c>
    </row>
    <row r="450">
      <c r="A450" s="6"/>
      <c r="B450" s="16" t="s">
        <v>389</v>
      </c>
      <c r="C450" s="16" t="s">
        <v>389</v>
      </c>
      <c r="D450" s="16" t="s">
        <v>389</v>
      </c>
    </row>
    <row r="451">
      <c r="A451" s="6"/>
      <c r="B451" s="16" t="s">
        <v>389</v>
      </c>
      <c r="C451" s="16" t="s">
        <v>389</v>
      </c>
      <c r="D451" s="16" t="s">
        <v>389</v>
      </c>
    </row>
    <row r="452">
      <c r="A452" s="6"/>
      <c r="B452" s="16" t="s">
        <v>389</v>
      </c>
      <c r="C452" s="16" t="s">
        <v>389</v>
      </c>
      <c r="D452" s="16" t="s">
        <v>389</v>
      </c>
    </row>
    <row r="453">
      <c r="A453" s="6"/>
      <c r="B453" s="16" t="s">
        <v>389</v>
      </c>
      <c r="C453" s="16" t="s">
        <v>389</v>
      </c>
      <c r="D453" s="16" t="s">
        <v>389</v>
      </c>
    </row>
    <row r="454">
      <c r="A454" s="6"/>
      <c r="B454" s="16" t="s">
        <v>389</v>
      </c>
      <c r="C454" s="16" t="s">
        <v>389</v>
      </c>
      <c r="D454" s="16" t="s">
        <v>389</v>
      </c>
    </row>
    <row r="455">
      <c r="A455" s="6"/>
      <c r="B455" s="16" t="s">
        <v>389</v>
      </c>
      <c r="C455" s="16" t="s">
        <v>389</v>
      </c>
      <c r="D455" s="16" t="s">
        <v>389</v>
      </c>
    </row>
    <row r="456">
      <c r="A456" s="6"/>
      <c r="B456" s="16" t="s">
        <v>389</v>
      </c>
      <c r="C456" s="16" t="s">
        <v>389</v>
      </c>
      <c r="D456" s="16" t="s">
        <v>389</v>
      </c>
    </row>
    <row r="457">
      <c r="A457" s="6"/>
      <c r="B457" s="16" t="s">
        <v>389</v>
      </c>
      <c r="C457" s="16" t="s">
        <v>389</v>
      </c>
      <c r="D457" s="16" t="s">
        <v>389</v>
      </c>
    </row>
    <row r="458">
      <c r="A458" s="6"/>
      <c r="B458" s="16" t="s">
        <v>389</v>
      </c>
      <c r="C458" s="16" t="s">
        <v>389</v>
      </c>
      <c r="D458" s="16" t="s">
        <v>389</v>
      </c>
    </row>
    <row r="459">
      <c r="A459" s="6"/>
      <c r="B459" s="16" t="s">
        <v>389</v>
      </c>
      <c r="C459" s="16" t="s">
        <v>389</v>
      </c>
      <c r="D459" s="16" t="s">
        <v>389</v>
      </c>
    </row>
    <row r="460">
      <c r="A460" s="6"/>
      <c r="B460" s="16" t="s">
        <v>389</v>
      </c>
      <c r="C460" s="16" t="s">
        <v>389</v>
      </c>
      <c r="D460" s="16" t="s">
        <v>389</v>
      </c>
    </row>
    <row r="461">
      <c r="A461" s="6"/>
      <c r="B461" s="16" t="s">
        <v>389</v>
      </c>
      <c r="C461" s="16" t="s">
        <v>389</v>
      </c>
      <c r="D461" s="16" t="s">
        <v>389</v>
      </c>
    </row>
    <row r="462">
      <c r="A462" s="6"/>
      <c r="B462" s="16" t="s">
        <v>389</v>
      </c>
      <c r="C462" s="16" t="s">
        <v>389</v>
      </c>
      <c r="D462" s="16" t="s">
        <v>389</v>
      </c>
    </row>
    <row r="463">
      <c r="A463" s="6"/>
      <c r="B463" s="16" t="s">
        <v>389</v>
      </c>
      <c r="C463" s="16" t="s">
        <v>389</v>
      </c>
      <c r="D463" s="16" t="s">
        <v>389</v>
      </c>
    </row>
    <row r="464">
      <c r="A464" s="6"/>
      <c r="B464" s="16" t="s">
        <v>389</v>
      </c>
      <c r="C464" s="16" t="s">
        <v>389</v>
      </c>
      <c r="D464" s="16" t="s">
        <v>389</v>
      </c>
    </row>
    <row r="465">
      <c r="A465" s="6"/>
      <c r="B465" s="16" t="s">
        <v>389</v>
      </c>
      <c r="C465" s="16" t="s">
        <v>389</v>
      </c>
      <c r="D465" s="16" t="s">
        <v>389</v>
      </c>
    </row>
    <row r="466">
      <c r="A466" s="6"/>
      <c r="B466" s="16" t="s">
        <v>389</v>
      </c>
      <c r="C466" s="16" t="s">
        <v>389</v>
      </c>
      <c r="D466" s="16" t="s">
        <v>389</v>
      </c>
    </row>
    <row r="467">
      <c r="A467" s="6"/>
      <c r="B467" s="16" t="s">
        <v>389</v>
      </c>
      <c r="C467" s="16" t="s">
        <v>389</v>
      </c>
      <c r="D467" s="16" t="s">
        <v>389</v>
      </c>
    </row>
    <row r="468">
      <c r="A468" s="6"/>
      <c r="B468" s="16" t="s">
        <v>389</v>
      </c>
      <c r="C468" s="16" t="s">
        <v>389</v>
      </c>
      <c r="D468" s="16" t="s">
        <v>389</v>
      </c>
    </row>
    <row r="469">
      <c r="A469" s="6"/>
      <c r="B469" s="16" t="s">
        <v>389</v>
      </c>
      <c r="C469" s="16" t="s">
        <v>389</v>
      </c>
      <c r="D469" s="16" t="s">
        <v>389</v>
      </c>
    </row>
    <row r="470">
      <c r="A470" s="6"/>
      <c r="B470" s="16" t="s">
        <v>389</v>
      </c>
      <c r="C470" s="16" t="s">
        <v>389</v>
      </c>
      <c r="D470" s="16" t="s">
        <v>389</v>
      </c>
    </row>
    <row r="471">
      <c r="A471" s="6"/>
      <c r="B471" s="16" t="s">
        <v>389</v>
      </c>
      <c r="C471" s="16" t="s">
        <v>389</v>
      </c>
      <c r="D471" s="16" t="s">
        <v>389</v>
      </c>
    </row>
    <row r="472">
      <c r="A472" s="6"/>
      <c r="B472" s="16" t="s">
        <v>389</v>
      </c>
      <c r="C472" s="16" t="s">
        <v>389</v>
      </c>
      <c r="D472" s="16" t="s">
        <v>389</v>
      </c>
    </row>
    <row r="473">
      <c r="A473" s="6"/>
      <c r="B473" s="16" t="s">
        <v>389</v>
      </c>
      <c r="C473" s="16" t="s">
        <v>389</v>
      </c>
      <c r="D473" s="16" t="s">
        <v>389</v>
      </c>
    </row>
    <row r="474">
      <c r="A474" s="6"/>
      <c r="B474" s="16" t="s">
        <v>389</v>
      </c>
      <c r="C474" s="16" t="s">
        <v>389</v>
      </c>
      <c r="D474" s="16" t="s">
        <v>389</v>
      </c>
    </row>
    <row r="475">
      <c r="A475" s="6"/>
      <c r="B475" s="16" t="s">
        <v>389</v>
      </c>
      <c r="C475" s="16" t="s">
        <v>389</v>
      </c>
      <c r="D475" s="16" t="s">
        <v>389</v>
      </c>
    </row>
    <row r="476">
      <c r="A476" s="6"/>
      <c r="B476" s="16" t="s">
        <v>389</v>
      </c>
      <c r="C476" s="16" t="s">
        <v>389</v>
      </c>
      <c r="D476" s="16" t="s">
        <v>389</v>
      </c>
    </row>
    <row r="477">
      <c r="A477" s="6"/>
      <c r="B477" s="16" t="s">
        <v>389</v>
      </c>
      <c r="C477" s="16" t="s">
        <v>389</v>
      </c>
      <c r="D477" s="16" t="s">
        <v>389</v>
      </c>
    </row>
    <row r="478">
      <c r="A478" s="6"/>
      <c r="B478" s="16" t="s">
        <v>389</v>
      </c>
      <c r="C478" s="16" t="s">
        <v>389</v>
      </c>
      <c r="D478" s="16" t="s">
        <v>389</v>
      </c>
    </row>
    <row r="479">
      <c r="A479" s="6"/>
      <c r="B479" s="16" t="s">
        <v>389</v>
      </c>
      <c r="C479" s="16" t="s">
        <v>389</v>
      </c>
      <c r="D479" s="16" t="s">
        <v>389</v>
      </c>
    </row>
    <row r="480">
      <c r="A480" s="6"/>
      <c r="B480" s="16" t="s">
        <v>389</v>
      </c>
      <c r="C480" s="16" t="s">
        <v>389</v>
      </c>
      <c r="D480" s="16" t="s">
        <v>389</v>
      </c>
    </row>
    <row r="481">
      <c r="A481" s="6"/>
      <c r="B481" s="16" t="s">
        <v>389</v>
      </c>
      <c r="C481" s="16" t="s">
        <v>389</v>
      </c>
      <c r="D481" s="16" t="s">
        <v>389</v>
      </c>
    </row>
    <row r="482">
      <c r="A482" s="6"/>
      <c r="B482" s="16" t="s">
        <v>389</v>
      </c>
      <c r="C482" s="16" t="s">
        <v>389</v>
      </c>
      <c r="D482" s="16" t="s">
        <v>389</v>
      </c>
    </row>
    <row r="483">
      <c r="A483" s="6"/>
      <c r="B483" s="16" t="s">
        <v>389</v>
      </c>
      <c r="C483" s="16" t="s">
        <v>389</v>
      </c>
      <c r="D483" s="16" t="s">
        <v>389</v>
      </c>
    </row>
    <row r="484">
      <c r="A484" s="6"/>
      <c r="B484" s="16" t="s">
        <v>389</v>
      </c>
      <c r="C484" s="16" t="s">
        <v>389</v>
      </c>
      <c r="D484" s="16" t="s">
        <v>389</v>
      </c>
    </row>
    <row r="485">
      <c r="A485" s="6"/>
      <c r="B485" s="16" t="s">
        <v>389</v>
      </c>
      <c r="C485" s="16" t="s">
        <v>389</v>
      </c>
      <c r="D485" s="16" t="s">
        <v>389</v>
      </c>
    </row>
    <row r="486">
      <c r="A486" s="6"/>
      <c r="B486" s="16" t="s">
        <v>389</v>
      </c>
      <c r="C486" s="16" t="s">
        <v>389</v>
      </c>
      <c r="D486" s="16" t="s">
        <v>389</v>
      </c>
    </row>
    <row r="487">
      <c r="A487" s="6"/>
      <c r="B487" s="16" t="s">
        <v>389</v>
      </c>
      <c r="C487" s="16" t="s">
        <v>389</v>
      </c>
      <c r="D487" s="16" t="s">
        <v>389</v>
      </c>
    </row>
    <row r="488">
      <c r="A488" s="6"/>
      <c r="B488" s="16" t="s">
        <v>389</v>
      </c>
      <c r="C488" s="16" t="s">
        <v>389</v>
      </c>
      <c r="D488" s="16" t="s">
        <v>389</v>
      </c>
    </row>
    <row r="489">
      <c r="A489" s="6"/>
      <c r="B489" s="16" t="s">
        <v>389</v>
      </c>
      <c r="C489" s="16" t="s">
        <v>389</v>
      </c>
      <c r="D489" s="16" t="s">
        <v>389</v>
      </c>
    </row>
    <row r="490">
      <c r="A490" s="6"/>
      <c r="B490" s="16" t="s">
        <v>389</v>
      </c>
      <c r="C490" s="16" t="s">
        <v>389</v>
      </c>
      <c r="D490" s="16" t="s">
        <v>389</v>
      </c>
    </row>
    <row r="491">
      <c r="A491" s="6"/>
      <c r="B491" s="16" t="s">
        <v>389</v>
      </c>
      <c r="C491" s="16" t="s">
        <v>389</v>
      </c>
      <c r="D491" s="16" t="s">
        <v>389</v>
      </c>
    </row>
    <row r="492">
      <c r="A492" s="6"/>
      <c r="B492" s="16" t="s">
        <v>389</v>
      </c>
      <c r="C492" s="16" t="s">
        <v>389</v>
      </c>
      <c r="D492" s="16" t="s">
        <v>389</v>
      </c>
    </row>
    <row r="493">
      <c r="A493" s="6"/>
      <c r="B493" s="16" t="s">
        <v>389</v>
      </c>
      <c r="C493" s="16" t="s">
        <v>389</v>
      </c>
      <c r="D493" s="16" t="s">
        <v>389</v>
      </c>
    </row>
    <row r="494">
      <c r="A494" s="6"/>
      <c r="B494" s="16" t="s">
        <v>389</v>
      </c>
      <c r="C494" s="16" t="s">
        <v>389</v>
      </c>
      <c r="D494" s="16" t="s">
        <v>389</v>
      </c>
    </row>
    <row r="495">
      <c r="A495" s="6"/>
      <c r="B495" s="16" t="s">
        <v>389</v>
      </c>
      <c r="C495" s="16" t="s">
        <v>389</v>
      </c>
      <c r="D495" s="16" t="s">
        <v>389</v>
      </c>
    </row>
    <row r="496">
      <c r="A496" s="6"/>
      <c r="B496" s="16" t="s">
        <v>389</v>
      </c>
      <c r="C496" s="16" t="s">
        <v>389</v>
      </c>
      <c r="D496" s="16" t="s">
        <v>389</v>
      </c>
    </row>
    <row r="497">
      <c r="A497" s="6"/>
      <c r="B497" s="16" t="s">
        <v>389</v>
      </c>
      <c r="C497" s="16" t="s">
        <v>389</v>
      </c>
      <c r="D497" s="16" t="s">
        <v>389</v>
      </c>
    </row>
    <row r="498">
      <c r="A498" s="6"/>
      <c r="B498" s="16" t="s">
        <v>389</v>
      </c>
      <c r="C498" s="16" t="s">
        <v>389</v>
      </c>
      <c r="D498" s="16" t="s">
        <v>389</v>
      </c>
    </row>
    <row r="499">
      <c r="A499" s="6"/>
      <c r="B499" s="16" t="s">
        <v>389</v>
      </c>
      <c r="C499" s="16" t="s">
        <v>389</v>
      </c>
      <c r="D499" s="16" t="s">
        <v>389</v>
      </c>
    </row>
    <row r="500">
      <c r="A500" s="6"/>
      <c r="B500" s="16" t="s">
        <v>389</v>
      </c>
      <c r="C500" s="16" t="s">
        <v>389</v>
      </c>
      <c r="D500" s="16" t="s">
        <v>389</v>
      </c>
    </row>
    <row r="501">
      <c r="A501" s="6"/>
      <c r="B501" s="16" t="s">
        <v>389</v>
      </c>
      <c r="C501" s="16" t="s">
        <v>389</v>
      </c>
      <c r="D501" s="16" t="s">
        <v>389</v>
      </c>
    </row>
    <row r="502">
      <c r="A502" s="6"/>
      <c r="B502" s="16" t="s">
        <v>389</v>
      </c>
      <c r="C502" s="16" t="s">
        <v>389</v>
      </c>
      <c r="D502" s="16" t="s">
        <v>389</v>
      </c>
    </row>
    <row r="503">
      <c r="A503" s="6"/>
      <c r="B503" s="16" t="s">
        <v>389</v>
      </c>
      <c r="C503" s="16" t="s">
        <v>389</v>
      </c>
      <c r="D503" s="16" t="s">
        <v>389</v>
      </c>
    </row>
    <row r="504">
      <c r="A504" s="6"/>
      <c r="B504" s="16" t="s">
        <v>389</v>
      </c>
      <c r="C504" s="16" t="s">
        <v>389</v>
      </c>
      <c r="D504" s="16" t="s">
        <v>389</v>
      </c>
    </row>
    <row r="505">
      <c r="A505" s="6"/>
      <c r="B505" s="16" t="s">
        <v>389</v>
      </c>
      <c r="C505" s="16" t="s">
        <v>389</v>
      </c>
      <c r="D505" s="16" t="s">
        <v>389</v>
      </c>
    </row>
    <row r="506">
      <c r="A506" s="6"/>
      <c r="B506" s="16" t="s">
        <v>389</v>
      </c>
      <c r="C506" s="16" t="s">
        <v>389</v>
      </c>
      <c r="D506" s="16" t="s">
        <v>389</v>
      </c>
    </row>
    <row r="507">
      <c r="A507" s="6"/>
      <c r="B507" s="16" t="s">
        <v>389</v>
      </c>
      <c r="C507" s="16" t="s">
        <v>389</v>
      </c>
      <c r="D507" s="16" t="s">
        <v>389</v>
      </c>
    </row>
    <row r="508">
      <c r="A508" s="6"/>
      <c r="B508" s="16" t="s">
        <v>389</v>
      </c>
      <c r="C508" s="16" t="s">
        <v>389</v>
      </c>
      <c r="D508" s="16" t="s">
        <v>389</v>
      </c>
    </row>
    <row r="509">
      <c r="A509" s="6"/>
      <c r="B509" s="16" t="s">
        <v>389</v>
      </c>
      <c r="C509" s="16" t="s">
        <v>389</v>
      </c>
      <c r="D509" s="16" t="s">
        <v>389</v>
      </c>
    </row>
    <row r="510">
      <c r="A510" s="6"/>
      <c r="B510" s="16" t="s">
        <v>389</v>
      </c>
      <c r="C510" s="16" t="s">
        <v>389</v>
      </c>
      <c r="D510" s="16" t="s">
        <v>389</v>
      </c>
    </row>
    <row r="511">
      <c r="A511" s="6"/>
      <c r="B511" s="16" t="s">
        <v>389</v>
      </c>
      <c r="C511" s="16" t="s">
        <v>389</v>
      </c>
      <c r="D511" s="16" t="s">
        <v>389</v>
      </c>
    </row>
    <row r="512">
      <c r="A512" s="6"/>
      <c r="B512" s="16" t="s">
        <v>389</v>
      </c>
      <c r="C512" s="16" t="s">
        <v>389</v>
      </c>
      <c r="D512" s="16" t="s">
        <v>389</v>
      </c>
    </row>
    <row r="513">
      <c r="A513" s="6"/>
      <c r="B513" s="16" t="s">
        <v>389</v>
      </c>
      <c r="C513" s="16" t="s">
        <v>389</v>
      </c>
      <c r="D513" s="16" t="s">
        <v>389</v>
      </c>
    </row>
    <row r="514">
      <c r="A514" s="6"/>
      <c r="B514" s="16" t="s">
        <v>389</v>
      </c>
      <c r="C514" s="16" t="s">
        <v>389</v>
      </c>
      <c r="D514" s="16" t="s">
        <v>389</v>
      </c>
    </row>
    <row r="515">
      <c r="A515" s="6"/>
      <c r="B515" s="16" t="s">
        <v>389</v>
      </c>
      <c r="C515" s="16" t="s">
        <v>389</v>
      </c>
      <c r="D515" s="16" t="s">
        <v>389</v>
      </c>
    </row>
    <row r="516">
      <c r="A516" s="6"/>
      <c r="B516" s="16" t="s">
        <v>389</v>
      </c>
      <c r="C516" s="16" t="s">
        <v>389</v>
      </c>
      <c r="D516" s="16" t="s">
        <v>389</v>
      </c>
    </row>
    <row r="517">
      <c r="A517" s="6"/>
      <c r="B517" s="16" t="s">
        <v>389</v>
      </c>
      <c r="C517" s="16" t="s">
        <v>389</v>
      </c>
      <c r="D517" s="16" t="s">
        <v>389</v>
      </c>
    </row>
    <row r="518">
      <c r="A518" s="6"/>
      <c r="B518" s="16" t="s">
        <v>389</v>
      </c>
      <c r="C518" s="16" t="s">
        <v>389</v>
      </c>
      <c r="D518" s="16" t="s">
        <v>389</v>
      </c>
    </row>
    <row r="519">
      <c r="A519" s="6"/>
      <c r="B519" s="16" t="s">
        <v>389</v>
      </c>
      <c r="C519" s="16" t="s">
        <v>389</v>
      </c>
      <c r="D519" s="16" t="s">
        <v>389</v>
      </c>
    </row>
    <row r="520">
      <c r="A520" s="6"/>
      <c r="B520" s="16" t="s">
        <v>389</v>
      </c>
      <c r="C520" s="16" t="s">
        <v>389</v>
      </c>
      <c r="D520" s="16" t="s">
        <v>389</v>
      </c>
    </row>
    <row r="521">
      <c r="A521" s="6"/>
      <c r="B521" s="16" t="s">
        <v>389</v>
      </c>
      <c r="C521" s="16" t="s">
        <v>389</v>
      </c>
      <c r="D521" s="16" t="s">
        <v>389</v>
      </c>
    </row>
    <row r="522">
      <c r="A522" s="6"/>
      <c r="B522" s="16" t="s">
        <v>389</v>
      </c>
      <c r="C522" s="16" t="s">
        <v>389</v>
      </c>
      <c r="D522" s="16" t="s">
        <v>389</v>
      </c>
    </row>
    <row r="523">
      <c r="A523" s="6"/>
      <c r="B523" s="16" t="s">
        <v>389</v>
      </c>
      <c r="C523" s="16" t="s">
        <v>389</v>
      </c>
      <c r="D523" s="16" t="s">
        <v>389</v>
      </c>
    </row>
    <row r="524">
      <c r="A524" s="6"/>
      <c r="B524" s="16" t="s">
        <v>389</v>
      </c>
      <c r="C524" s="16" t="s">
        <v>389</v>
      </c>
      <c r="D524" s="16" t="s">
        <v>389</v>
      </c>
    </row>
    <row r="525">
      <c r="A525" s="6"/>
      <c r="B525" s="16" t="s">
        <v>389</v>
      </c>
      <c r="C525" s="16" t="s">
        <v>389</v>
      </c>
      <c r="D525" s="16" t="s">
        <v>389</v>
      </c>
    </row>
    <row r="526">
      <c r="A526" s="6"/>
      <c r="B526" s="16" t="s">
        <v>389</v>
      </c>
      <c r="C526" s="16" t="s">
        <v>389</v>
      </c>
      <c r="D526" s="16" t="s">
        <v>389</v>
      </c>
    </row>
    <row r="527">
      <c r="A527" s="6"/>
      <c r="B527" s="16" t="s">
        <v>389</v>
      </c>
      <c r="C527" s="16" t="s">
        <v>389</v>
      </c>
      <c r="D527" s="16" t="s">
        <v>389</v>
      </c>
    </row>
    <row r="528">
      <c r="A528" s="6"/>
      <c r="B528" s="16" t="s">
        <v>389</v>
      </c>
      <c r="C528" s="16" t="s">
        <v>389</v>
      </c>
      <c r="D528" s="16" t="s">
        <v>389</v>
      </c>
    </row>
    <row r="529">
      <c r="A529" s="6"/>
      <c r="B529" s="16" t="s">
        <v>389</v>
      </c>
      <c r="C529" s="16" t="s">
        <v>389</v>
      </c>
      <c r="D529" s="16" t="s">
        <v>389</v>
      </c>
    </row>
    <row r="530">
      <c r="A530" s="6"/>
      <c r="B530" s="16" t="s">
        <v>389</v>
      </c>
      <c r="C530" s="16" t="s">
        <v>389</v>
      </c>
      <c r="D530" s="16" t="s">
        <v>389</v>
      </c>
    </row>
    <row r="531">
      <c r="A531" s="6"/>
      <c r="B531" s="16" t="s">
        <v>389</v>
      </c>
      <c r="C531" s="16" t="s">
        <v>389</v>
      </c>
      <c r="D531" s="16" t="s">
        <v>389</v>
      </c>
    </row>
    <row r="532">
      <c r="A532" s="6"/>
      <c r="B532" s="16" t="s">
        <v>389</v>
      </c>
      <c r="C532" s="16" t="s">
        <v>389</v>
      </c>
      <c r="D532" s="16" t="s">
        <v>389</v>
      </c>
    </row>
    <row r="533">
      <c r="A533" s="6"/>
      <c r="B533" s="16" t="s">
        <v>389</v>
      </c>
      <c r="C533" s="16" t="s">
        <v>389</v>
      </c>
      <c r="D533" s="16" t="s">
        <v>389</v>
      </c>
    </row>
    <row r="534">
      <c r="A534" s="6"/>
      <c r="B534" s="16" t="s">
        <v>389</v>
      </c>
      <c r="C534" s="16" t="s">
        <v>389</v>
      </c>
      <c r="D534" s="16" t="s">
        <v>389</v>
      </c>
    </row>
    <row r="535">
      <c r="A535" s="6"/>
      <c r="B535" s="16" t="s">
        <v>389</v>
      </c>
      <c r="C535" s="16" t="s">
        <v>389</v>
      </c>
      <c r="D535" s="16" t="s">
        <v>389</v>
      </c>
    </row>
    <row r="536">
      <c r="A536" s="6"/>
      <c r="B536" s="16" t="s">
        <v>389</v>
      </c>
      <c r="C536" s="16" t="s">
        <v>389</v>
      </c>
      <c r="D536" s="16" t="s">
        <v>389</v>
      </c>
    </row>
    <row r="537">
      <c r="A537" s="6"/>
      <c r="B537" s="16" t="s">
        <v>389</v>
      </c>
      <c r="C537" s="16" t="s">
        <v>389</v>
      </c>
      <c r="D537" s="16" t="s">
        <v>389</v>
      </c>
    </row>
    <row r="538">
      <c r="A538" s="6"/>
      <c r="B538" s="16" t="s">
        <v>389</v>
      </c>
      <c r="C538" s="16" t="s">
        <v>389</v>
      </c>
      <c r="D538" s="16" t="s">
        <v>389</v>
      </c>
    </row>
    <row r="539">
      <c r="A539" s="6"/>
      <c r="B539" s="16" t="s">
        <v>389</v>
      </c>
      <c r="C539" s="16" t="s">
        <v>389</v>
      </c>
      <c r="D539" s="16" t="s">
        <v>389</v>
      </c>
    </row>
    <row r="540">
      <c r="A540" s="6"/>
      <c r="B540" s="16" t="s">
        <v>389</v>
      </c>
      <c r="C540" s="16" t="s">
        <v>389</v>
      </c>
      <c r="D540" s="16" t="s">
        <v>389</v>
      </c>
    </row>
    <row r="541">
      <c r="A541" s="6"/>
      <c r="B541" s="16" t="s">
        <v>389</v>
      </c>
      <c r="C541" s="16" t="s">
        <v>389</v>
      </c>
      <c r="D541" s="16" t="s">
        <v>389</v>
      </c>
    </row>
    <row r="542">
      <c r="A542" s="6"/>
      <c r="B542" s="16" t="s">
        <v>389</v>
      </c>
      <c r="C542" s="16" t="s">
        <v>389</v>
      </c>
      <c r="D542" s="16" t="s">
        <v>389</v>
      </c>
    </row>
    <row r="543">
      <c r="A543" s="6"/>
      <c r="B543" s="16" t="s">
        <v>389</v>
      </c>
      <c r="C543" s="16" t="s">
        <v>389</v>
      </c>
      <c r="D543" s="16" t="s">
        <v>389</v>
      </c>
    </row>
    <row r="544">
      <c r="A544" s="6"/>
      <c r="B544" s="16" t="s">
        <v>389</v>
      </c>
      <c r="C544" s="16" t="s">
        <v>389</v>
      </c>
      <c r="D544" s="16" t="s">
        <v>389</v>
      </c>
    </row>
    <row r="545">
      <c r="A545" s="6"/>
      <c r="B545" s="16" t="s">
        <v>389</v>
      </c>
      <c r="C545" s="16" t="s">
        <v>389</v>
      </c>
      <c r="D545" s="16" t="s">
        <v>389</v>
      </c>
    </row>
    <row r="546">
      <c r="A546" s="6"/>
      <c r="B546" s="16" t="s">
        <v>389</v>
      </c>
      <c r="C546" s="16" t="s">
        <v>389</v>
      </c>
      <c r="D546" s="16" t="s">
        <v>389</v>
      </c>
    </row>
    <row r="547">
      <c r="A547" s="6"/>
      <c r="B547" s="16" t="s">
        <v>389</v>
      </c>
      <c r="C547" s="16" t="s">
        <v>389</v>
      </c>
      <c r="D547" s="16" t="s">
        <v>389</v>
      </c>
    </row>
    <row r="548">
      <c r="A548" s="6"/>
      <c r="B548" s="16" t="s">
        <v>389</v>
      </c>
      <c r="C548" s="16" t="s">
        <v>389</v>
      </c>
      <c r="D548" s="16" t="s">
        <v>389</v>
      </c>
    </row>
    <row r="549">
      <c r="A549" s="6"/>
      <c r="B549" s="16" t="s">
        <v>389</v>
      </c>
      <c r="C549" s="16" t="s">
        <v>389</v>
      </c>
      <c r="D549" s="16" t="s">
        <v>389</v>
      </c>
    </row>
    <row r="550">
      <c r="A550" s="6"/>
      <c r="B550" s="16" t="s">
        <v>389</v>
      </c>
      <c r="C550" s="16" t="s">
        <v>389</v>
      </c>
      <c r="D550" s="16" t="s">
        <v>389</v>
      </c>
    </row>
    <row r="551">
      <c r="A551" s="6"/>
      <c r="B551" s="16" t="s">
        <v>389</v>
      </c>
      <c r="C551" s="16" t="s">
        <v>389</v>
      </c>
      <c r="D551" s="16" t="s">
        <v>389</v>
      </c>
    </row>
    <row r="552">
      <c r="A552" s="6"/>
      <c r="B552" s="16" t="s">
        <v>389</v>
      </c>
      <c r="C552" s="16" t="s">
        <v>389</v>
      </c>
      <c r="D552" s="16" t="s">
        <v>389</v>
      </c>
    </row>
    <row r="553">
      <c r="A553" s="6"/>
      <c r="B553" s="16" t="s">
        <v>389</v>
      </c>
      <c r="C553" s="16" t="s">
        <v>389</v>
      </c>
      <c r="D553" s="16" t="s">
        <v>389</v>
      </c>
    </row>
    <row r="554">
      <c r="A554" s="6"/>
      <c r="B554" s="16" t="s">
        <v>389</v>
      </c>
      <c r="C554" s="16" t="s">
        <v>389</v>
      </c>
      <c r="D554" s="16" t="s">
        <v>389</v>
      </c>
    </row>
    <row r="555">
      <c r="A555" s="6"/>
      <c r="B555" s="16" t="s">
        <v>389</v>
      </c>
      <c r="C555" s="16" t="s">
        <v>389</v>
      </c>
      <c r="D555" s="16" t="s">
        <v>389</v>
      </c>
    </row>
    <row r="556">
      <c r="A556" s="6"/>
      <c r="B556" s="16" t="s">
        <v>389</v>
      </c>
      <c r="C556" s="16" t="s">
        <v>389</v>
      </c>
      <c r="D556" s="16" t="s">
        <v>389</v>
      </c>
    </row>
    <row r="557">
      <c r="A557" s="6"/>
      <c r="B557" s="16" t="s">
        <v>389</v>
      </c>
      <c r="C557" s="16" t="s">
        <v>389</v>
      </c>
      <c r="D557" s="16" t="s">
        <v>389</v>
      </c>
    </row>
    <row r="558">
      <c r="A558" s="6"/>
      <c r="B558" s="16" t="s">
        <v>389</v>
      </c>
      <c r="C558" s="16" t="s">
        <v>389</v>
      </c>
      <c r="D558" s="16" t="s">
        <v>389</v>
      </c>
    </row>
    <row r="559">
      <c r="A559" s="6"/>
      <c r="B559" s="16" t="s">
        <v>389</v>
      </c>
      <c r="C559" s="16" t="s">
        <v>389</v>
      </c>
      <c r="D559" s="16" t="s">
        <v>389</v>
      </c>
    </row>
    <row r="560">
      <c r="A560" s="6"/>
      <c r="B560" s="16" t="s">
        <v>389</v>
      </c>
      <c r="C560" s="16" t="s">
        <v>389</v>
      </c>
      <c r="D560" s="16" t="s">
        <v>389</v>
      </c>
    </row>
    <row r="561">
      <c r="A561" s="6"/>
      <c r="B561" s="16" t="s">
        <v>389</v>
      </c>
      <c r="C561" s="16" t="s">
        <v>389</v>
      </c>
      <c r="D561" s="16" t="s">
        <v>389</v>
      </c>
    </row>
    <row r="562">
      <c r="A562" s="6"/>
      <c r="B562" s="16" t="s">
        <v>389</v>
      </c>
      <c r="C562" s="16" t="s">
        <v>389</v>
      </c>
      <c r="D562" s="16" t="s">
        <v>389</v>
      </c>
    </row>
    <row r="563">
      <c r="A563" s="6"/>
      <c r="B563" s="16" t="s">
        <v>389</v>
      </c>
      <c r="C563" s="16" t="s">
        <v>389</v>
      </c>
      <c r="D563" s="16" t="s">
        <v>389</v>
      </c>
    </row>
    <row r="564">
      <c r="A564" s="6"/>
      <c r="B564" s="16" t="s">
        <v>389</v>
      </c>
      <c r="C564" s="16" t="s">
        <v>389</v>
      </c>
      <c r="D564" s="16" t="s">
        <v>389</v>
      </c>
    </row>
    <row r="565">
      <c r="A565" s="6"/>
      <c r="B565" s="16" t="s">
        <v>389</v>
      </c>
      <c r="C565" s="16" t="s">
        <v>389</v>
      </c>
      <c r="D565" s="16" t="s">
        <v>389</v>
      </c>
    </row>
    <row r="566">
      <c r="A566" s="6"/>
      <c r="B566" s="16" t="s">
        <v>389</v>
      </c>
      <c r="C566" s="16" t="s">
        <v>389</v>
      </c>
      <c r="D566" s="16" t="s">
        <v>389</v>
      </c>
    </row>
    <row r="567">
      <c r="A567" s="6"/>
      <c r="B567" s="16" t="s">
        <v>389</v>
      </c>
      <c r="C567" s="16" t="s">
        <v>389</v>
      </c>
      <c r="D567" s="16" t="s">
        <v>389</v>
      </c>
    </row>
    <row r="568">
      <c r="A568" s="6"/>
      <c r="B568" s="16" t="s">
        <v>389</v>
      </c>
      <c r="C568" s="16" t="s">
        <v>389</v>
      </c>
      <c r="D568" s="16" t="s">
        <v>389</v>
      </c>
    </row>
    <row r="569">
      <c r="A569" s="6"/>
      <c r="B569" s="16" t="s">
        <v>389</v>
      </c>
      <c r="C569" s="16" t="s">
        <v>389</v>
      </c>
      <c r="D569" s="16" t="s">
        <v>389</v>
      </c>
    </row>
    <row r="570">
      <c r="A570" s="6"/>
      <c r="B570" s="16" t="s">
        <v>389</v>
      </c>
      <c r="C570" s="16" t="s">
        <v>389</v>
      </c>
      <c r="D570" s="16" t="s">
        <v>389</v>
      </c>
    </row>
    <row r="571">
      <c r="A571" s="6"/>
      <c r="B571" s="16" t="s">
        <v>389</v>
      </c>
      <c r="C571" s="16" t="s">
        <v>389</v>
      </c>
      <c r="D571" s="16" t="s">
        <v>389</v>
      </c>
    </row>
    <row r="572">
      <c r="A572" s="6"/>
      <c r="B572" s="16" t="s">
        <v>389</v>
      </c>
      <c r="C572" s="16" t="s">
        <v>389</v>
      </c>
      <c r="D572" s="16" t="s">
        <v>389</v>
      </c>
    </row>
    <row r="573">
      <c r="A573" s="6"/>
      <c r="B573" s="16" t="s">
        <v>389</v>
      </c>
      <c r="C573" s="16" t="s">
        <v>389</v>
      </c>
      <c r="D573" s="16" t="s">
        <v>389</v>
      </c>
    </row>
    <row r="574">
      <c r="A574" s="6"/>
      <c r="B574" s="16" t="s">
        <v>389</v>
      </c>
      <c r="C574" s="16" t="s">
        <v>389</v>
      </c>
      <c r="D574" s="16" t="s">
        <v>389</v>
      </c>
    </row>
    <row r="575">
      <c r="A575" s="6"/>
      <c r="B575" s="16" t="s">
        <v>389</v>
      </c>
      <c r="C575" s="16" t="s">
        <v>389</v>
      </c>
      <c r="D575" s="16" t="s">
        <v>389</v>
      </c>
    </row>
    <row r="576">
      <c r="A576" s="6"/>
      <c r="B576" s="16" t="s">
        <v>389</v>
      </c>
      <c r="C576" s="16" t="s">
        <v>389</v>
      </c>
      <c r="D576" s="16" t="s">
        <v>389</v>
      </c>
    </row>
    <row r="577">
      <c r="A577" s="6"/>
      <c r="B577" s="16" t="s">
        <v>389</v>
      </c>
      <c r="C577" s="16" t="s">
        <v>389</v>
      </c>
      <c r="D577" s="16" t="s">
        <v>389</v>
      </c>
    </row>
    <row r="578">
      <c r="A578" s="6"/>
      <c r="B578" s="16" t="s">
        <v>389</v>
      </c>
      <c r="C578" s="16" t="s">
        <v>389</v>
      </c>
      <c r="D578" s="16" t="s">
        <v>389</v>
      </c>
    </row>
    <row r="579">
      <c r="A579" s="6"/>
      <c r="B579" s="16" t="s">
        <v>389</v>
      </c>
      <c r="C579" s="16" t="s">
        <v>389</v>
      </c>
      <c r="D579" s="16" t="s">
        <v>389</v>
      </c>
    </row>
    <row r="580">
      <c r="A580" s="6"/>
      <c r="B580" s="16" t="s">
        <v>389</v>
      </c>
      <c r="C580" s="16" t="s">
        <v>389</v>
      </c>
      <c r="D580" s="16" t="s">
        <v>389</v>
      </c>
    </row>
    <row r="581">
      <c r="A581" s="6"/>
      <c r="B581" s="16" t="s">
        <v>389</v>
      </c>
      <c r="C581" s="16" t="s">
        <v>389</v>
      </c>
      <c r="D581" s="16" t="s">
        <v>389</v>
      </c>
    </row>
    <row r="582">
      <c r="A582" s="6"/>
      <c r="B582" s="16" t="s">
        <v>389</v>
      </c>
      <c r="C582" s="16" t="s">
        <v>389</v>
      </c>
      <c r="D582" s="16" t="s">
        <v>389</v>
      </c>
    </row>
    <row r="583">
      <c r="A583" s="6"/>
      <c r="B583" s="16" t="s">
        <v>389</v>
      </c>
      <c r="C583" s="16" t="s">
        <v>389</v>
      </c>
      <c r="D583" s="16" t="s">
        <v>389</v>
      </c>
    </row>
    <row r="584">
      <c r="A584" s="6"/>
      <c r="B584" s="16" t="s">
        <v>389</v>
      </c>
      <c r="C584" s="16" t="s">
        <v>389</v>
      </c>
      <c r="D584" s="16" t="s">
        <v>389</v>
      </c>
    </row>
    <row r="585">
      <c r="A585" s="6"/>
      <c r="B585" s="16" t="s">
        <v>389</v>
      </c>
      <c r="C585" s="16" t="s">
        <v>389</v>
      </c>
      <c r="D585" s="16" t="s">
        <v>389</v>
      </c>
    </row>
    <row r="586">
      <c r="A586" s="6"/>
      <c r="B586" s="16" t="s">
        <v>389</v>
      </c>
      <c r="C586" s="16" t="s">
        <v>389</v>
      </c>
      <c r="D586" s="16" t="s">
        <v>389</v>
      </c>
    </row>
    <row r="587">
      <c r="A587" s="6"/>
      <c r="B587" s="16" t="s">
        <v>389</v>
      </c>
      <c r="C587" s="16" t="s">
        <v>389</v>
      </c>
      <c r="D587" s="16" t="s">
        <v>389</v>
      </c>
    </row>
    <row r="588">
      <c r="A588" s="6"/>
      <c r="B588" s="16" t="s">
        <v>389</v>
      </c>
      <c r="C588" s="16" t="s">
        <v>389</v>
      </c>
      <c r="D588" s="16" t="s">
        <v>389</v>
      </c>
    </row>
    <row r="589">
      <c r="A589" s="6"/>
      <c r="B589" s="16" t="s">
        <v>389</v>
      </c>
      <c r="C589" s="16" t="s">
        <v>389</v>
      </c>
      <c r="D589" s="16" t="s">
        <v>389</v>
      </c>
    </row>
    <row r="590">
      <c r="A590" s="6"/>
      <c r="B590" s="16" t="s">
        <v>389</v>
      </c>
      <c r="C590" s="16" t="s">
        <v>389</v>
      </c>
      <c r="D590" s="16" t="s">
        <v>389</v>
      </c>
    </row>
    <row r="591">
      <c r="A591" s="6"/>
      <c r="B591" s="16" t="s">
        <v>389</v>
      </c>
      <c r="C591" s="16" t="s">
        <v>389</v>
      </c>
      <c r="D591" s="16" t="s">
        <v>389</v>
      </c>
    </row>
    <row r="592">
      <c r="A592" s="6"/>
      <c r="B592" s="16" t="s">
        <v>389</v>
      </c>
      <c r="C592" s="16" t="s">
        <v>389</v>
      </c>
      <c r="D592" s="16" t="s">
        <v>389</v>
      </c>
    </row>
    <row r="593">
      <c r="A593" s="6"/>
      <c r="B593" s="16" t="s">
        <v>389</v>
      </c>
      <c r="C593" s="16" t="s">
        <v>389</v>
      </c>
      <c r="D593" s="16" t="s">
        <v>389</v>
      </c>
    </row>
    <row r="594">
      <c r="A594" s="6"/>
      <c r="B594" s="16" t="s">
        <v>389</v>
      </c>
      <c r="C594" s="16" t="s">
        <v>389</v>
      </c>
      <c r="D594" s="16" t="s">
        <v>389</v>
      </c>
    </row>
    <row r="595">
      <c r="A595" s="6"/>
      <c r="B595" s="16" t="s">
        <v>389</v>
      </c>
      <c r="C595" s="16" t="s">
        <v>389</v>
      </c>
      <c r="D595" s="16" t="s">
        <v>389</v>
      </c>
    </row>
    <row r="596">
      <c r="A596" s="6"/>
      <c r="B596" s="16" t="s">
        <v>389</v>
      </c>
      <c r="C596" s="16" t="s">
        <v>389</v>
      </c>
      <c r="D596" s="16" t="s">
        <v>389</v>
      </c>
    </row>
    <row r="597">
      <c r="A597" s="6"/>
      <c r="B597" s="16" t="s">
        <v>389</v>
      </c>
      <c r="C597" s="16" t="s">
        <v>389</v>
      </c>
      <c r="D597" s="16" t="s">
        <v>389</v>
      </c>
    </row>
    <row r="598">
      <c r="A598" s="6"/>
      <c r="B598" s="16" t="s">
        <v>389</v>
      </c>
      <c r="C598" s="16" t="s">
        <v>389</v>
      </c>
      <c r="D598" s="16" t="s">
        <v>389</v>
      </c>
    </row>
    <row r="599">
      <c r="A599" s="6"/>
      <c r="B599" s="16" t="s">
        <v>389</v>
      </c>
      <c r="C599" s="16" t="s">
        <v>389</v>
      </c>
      <c r="D599" s="16" t="s">
        <v>389</v>
      </c>
    </row>
    <row r="600">
      <c r="A600" s="6"/>
      <c r="B600" s="16" t="s">
        <v>389</v>
      </c>
      <c r="C600" s="16" t="s">
        <v>389</v>
      </c>
      <c r="D600" s="16" t="s">
        <v>389</v>
      </c>
    </row>
    <row r="601">
      <c r="A601" s="6"/>
      <c r="B601" s="16" t="s">
        <v>389</v>
      </c>
      <c r="C601" s="16" t="s">
        <v>389</v>
      </c>
      <c r="D601" s="16" t="s">
        <v>389</v>
      </c>
    </row>
    <row r="602">
      <c r="A602" s="6"/>
      <c r="B602" s="16" t="s">
        <v>389</v>
      </c>
      <c r="C602" s="16" t="s">
        <v>389</v>
      </c>
      <c r="D602" s="16" t="s">
        <v>389</v>
      </c>
    </row>
    <row r="603">
      <c r="A603" s="6"/>
      <c r="B603" s="16" t="s">
        <v>389</v>
      </c>
      <c r="C603" s="16" t="s">
        <v>389</v>
      </c>
      <c r="D603" s="16" t="s">
        <v>389</v>
      </c>
    </row>
    <row r="604">
      <c r="A604" s="6"/>
      <c r="B604" s="16" t="s">
        <v>389</v>
      </c>
      <c r="C604" s="16" t="s">
        <v>389</v>
      </c>
      <c r="D604" s="16" t="s">
        <v>389</v>
      </c>
    </row>
    <row r="605">
      <c r="A605" s="6"/>
      <c r="B605" s="16" t="s">
        <v>389</v>
      </c>
      <c r="C605" s="16" t="s">
        <v>389</v>
      </c>
      <c r="D605" s="16" t="s">
        <v>389</v>
      </c>
    </row>
    <row r="606">
      <c r="A606" s="6"/>
      <c r="B606" s="16" t="s">
        <v>389</v>
      </c>
      <c r="C606" s="16" t="s">
        <v>389</v>
      </c>
      <c r="D606" s="16" t="s">
        <v>389</v>
      </c>
    </row>
    <row r="607">
      <c r="A607" s="6"/>
      <c r="B607" s="16" t="s">
        <v>389</v>
      </c>
      <c r="C607" s="16" t="s">
        <v>389</v>
      </c>
      <c r="D607" s="16" t="s">
        <v>389</v>
      </c>
    </row>
    <row r="608">
      <c r="A608" s="6"/>
      <c r="B608" s="16" t="s">
        <v>389</v>
      </c>
      <c r="C608" s="16" t="s">
        <v>389</v>
      </c>
      <c r="D608" s="16" t="s">
        <v>389</v>
      </c>
    </row>
    <row r="609">
      <c r="A609" s="6"/>
      <c r="B609" s="16" t="s">
        <v>389</v>
      </c>
      <c r="C609" s="16" t="s">
        <v>389</v>
      </c>
      <c r="D609" s="16" t="s">
        <v>389</v>
      </c>
    </row>
    <row r="610">
      <c r="A610" s="6"/>
      <c r="B610" s="16" t="s">
        <v>389</v>
      </c>
      <c r="C610" s="16" t="s">
        <v>389</v>
      </c>
      <c r="D610" s="16" t="s">
        <v>389</v>
      </c>
    </row>
    <row r="611">
      <c r="A611" s="6"/>
      <c r="B611" s="16" t="s">
        <v>389</v>
      </c>
      <c r="C611" s="16" t="s">
        <v>389</v>
      </c>
      <c r="D611" s="16" t="s">
        <v>389</v>
      </c>
    </row>
    <row r="612">
      <c r="A612" s="6"/>
      <c r="B612" s="16" t="s">
        <v>389</v>
      </c>
      <c r="C612" s="16" t="s">
        <v>389</v>
      </c>
      <c r="D612" s="16" t="s">
        <v>389</v>
      </c>
    </row>
    <row r="613">
      <c r="A613" s="6"/>
      <c r="B613" s="16" t="s">
        <v>389</v>
      </c>
      <c r="C613" s="16" t="s">
        <v>389</v>
      </c>
      <c r="D613" s="16" t="s">
        <v>389</v>
      </c>
    </row>
    <row r="614">
      <c r="A614" s="6"/>
      <c r="B614" s="16" t="s">
        <v>389</v>
      </c>
      <c r="C614" s="16" t="s">
        <v>389</v>
      </c>
      <c r="D614" s="16" t="s">
        <v>389</v>
      </c>
    </row>
    <row r="615">
      <c r="A615" s="6"/>
      <c r="B615" s="16" t="s">
        <v>389</v>
      </c>
      <c r="C615" s="16" t="s">
        <v>389</v>
      </c>
      <c r="D615" s="16" t="s">
        <v>389</v>
      </c>
    </row>
    <row r="616">
      <c r="A616" s="6"/>
      <c r="B616" s="16" t="s">
        <v>389</v>
      </c>
      <c r="C616" s="16" t="s">
        <v>389</v>
      </c>
      <c r="D616" s="16" t="s">
        <v>389</v>
      </c>
    </row>
    <row r="617">
      <c r="A617" s="6"/>
      <c r="B617" s="16" t="s">
        <v>389</v>
      </c>
      <c r="C617" s="16" t="s">
        <v>389</v>
      </c>
      <c r="D617" s="16" t="s">
        <v>389</v>
      </c>
    </row>
    <row r="618">
      <c r="A618" s="6"/>
      <c r="B618" s="16" t="s">
        <v>389</v>
      </c>
      <c r="C618" s="16" t="s">
        <v>389</v>
      </c>
      <c r="D618" s="16" t="s">
        <v>389</v>
      </c>
    </row>
    <row r="619">
      <c r="A619" s="6"/>
      <c r="B619" s="16" t="s">
        <v>389</v>
      </c>
      <c r="C619" s="16" t="s">
        <v>389</v>
      </c>
      <c r="D619" s="16" t="s">
        <v>389</v>
      </c>
    </row>
    <row r="620">
      <c r="A620" s="6"/>
      <c r="B620" s="16" t="s">
        <v>389</v>
      </c>
      <c r="C620" s="16" t="s">
        <v>389</v>
      </c>
      <c r="D620" s="16" t="s">
        <v>389</v>
      </c>
    </row>
    <row r="621">
      <c r="A621" s="6"/>
      <c r="B621" s="16" t="s">
        <v>389</v>
      </c>
      <c r="C621" s="16" t="s">
        <v>389</v>
      </c>
      <c r="D621" s="16" t="s">
        <v>389</v>
      </c>
    </row>
    <row r="622">
      <c r="A622" s="6"/>
      <c r="B622" s="16" t="s">
        <v>389</v>
      </c>
      <c r="C622" s="16" t="s">
        <v>389</v>
      </c>
      <c r="D622" s="16" t="s">
        <v>389</v>
      </c>
    </row>
    <row r="623">
      <c r="A623" s="6"/>
      <c r="B623" s="16" t="s">
        <v>389</v>
      </c>
      <c r="C623" s="16" t="s">
        <v>389</v>
      </c>
      <c r="D623" s="16" t="s">
        <v>389</v>
      </c>
    </row>
    <row r="624">
      <c r="A624" s="6"/>
      <c r="B624" s="16" t="s">
        <v>389</v>
      </c>
      <c r="C624" s="16" t="s">
        <v>389</v>
      </c>
      <c r="D624" s="16" t="s">
        <v>389</v>
      </c>
    </row>
    <row r="625">
      <c r="A625" s="6"/>
      <c r="B625" s="16" t="s">
        <v>389</v>
      </c>
      <c r="C625" s="16" t="s">
        <v>389</v>
      </c>
      <c r="D625" s="16" t="s">
        <v>389</v>
      </c>
    </row>
    <row r="626">
      <c r="A626" s="6"/>
      <c r="B626" s="16" t="s">
        <v>389</v>
      </c>
      <c r="C626" s="16" t="s">
        <v>389</v>
      </c>
      <c r="D626" s="16" t="s">
        <v>389</v>
      </c>
    </row>
    <row r="627">
      <c r="A627" s="6"/>
      <c r="B627" s="16" t="s">
        <v>389</v>
      </c>
      <c r="C627" s="16" t="s">
        <v>389</v>
      </c>
      <c r="D627" s="16" t="s">
        <v>389</v>
      </c>
    </row>
    <row r="628">
      <c r="A628" s="6"/>
      <c r="B628" s="16" t="s">
        <v>389</v>
      </c>
      <c r="C628" s="16" t="s">
        <v>389</v>
      </c>
      <c r="D628" s="16" t="s">
        <v>389</v>
      </c>
    </row>
    <row r="629">
      <c r="A629" s="6"/>
      <c r="B629" s="16" t="s">
        <v>389</v>
      </c>
      <c r="C629" s="16" t="s">
        <v>389</v>
      </c>
      <c r="D629" s="16" t="s">
        <v>389</v>
      </c>
    </row>
    <row r="630">
      <c r="A630" s="6"/>
      <c r="B630" s="16" t="s">
        <v>389</v>
      </c>
      <c r="C630" s="16" t="s">
        <v>389</v>
      </c>
      <c r="D630" s="16" t="s">
        <v>389</v>
      </c>
    </row>
    <row r="631">
      <c r="A631" s="6"/>
      <c r="B631" s="16" t="s">
        <v>389</v>
      </c>
      <c r="C631" s="16" t="s">
        <v>389</v>
      </c>
      <c r="D631" s="16" t="s">
        <v>389</v>
      </c>
    </row>
    <row r="632">
      <c r="A632" s="6"/>
      <c r="B632" s="16" t="s">
        <v>389</v>
      </c>
      <c r="C632" s="16" t="s">
        <v>389</v>
      </c>
      <c r="D632" s="16" t="s">
        <v>389</v>
      </c>
    </row>
    <row r="633">
      <c r="A633" s="6"/>
      <c r="B633" s="16" t="s">
        <v>389</v>
      </c>
      <c r="C633" s="16" t="s">
        <v>389</v>
      </c>
      <c r="D633" s="16" t="s">
        <v>389</v>
      </c>
    </row>
    <row r="634">
      <c r="A634" s="6"/>
      <c r="B634" s="16" t="s">
        <v>389</v>
      </c>
      <c r="C634" s="16" t="s">
        <v>389</v>
      </c>
      <c r="D634" s="16" t="s">
        <v>389</v>
      </c>
    </row>
    <row r="635">
      <c r="A635" s="6"/>
      <c r="B635" s="16" t="s">
        <v>389</v>
      </c>
      <c r="C635" s="16" t="s">
        <v>389</v>
      </c>
      <c r="D635" s="16" t="s">
        <v>389</v>
      </c>
    </row>
    <row r="636">
      <c r="A636" s="6"/>
      <c r="B636" s="16" t="s">
        <v>389</v>
      </c>
      <c r="C636" s="16" t="s">
        <v>389</v>
      </c>
      <c r="D636" s="16" t="s">
        <v>389</v>
      </c>
    </row>
    <row r="637">
      <c r="A637" s="6"/>
      <c r="B637" s="16" t="s">
        <v>389</v>
      </c>
      <c r="C637" s="16" t="s">
        <v>389</v>
      </c>
      <c r="D637" s="16" t="s">
        <v>389</v>
      </c>
    </row>
    <row r="638">
      <c r="A638" s="6"/>
      <c r="B638" s="16" t="s">
        <v>389</v>
      </c>
      <c r="C638" s="16" t="s">
        <v>389</v>
      </c>
      <c r="D638" s="16" t="s">
        <v>389</v>
      </c>
    </row>
    <row r="639">
      <c r="A639" s="6"/>
      <c r="B639" s="16" t="s">
        <v>389</v>
      </c>
      <c r="C639" s="16" t="s">
        <v>389</v>
      </c>
      <c r="D639" s="16" t="s">
        <v>389</v>
      </c>
    </row>
    <row r="640">
      <c r="A640" s="6"/>
      <c r="B640" s="16" t="s">
        <v>389</v>
      </c>
      <c r="C640" s="16" t="s">
        <v>389</v>
      </c>
      <c r="D640" s="16" t="s">
        <v>389</v>
      </c>
    </row>
    <row r="641">
      <c r="A641" s="6"/>
      <c r="B641" s="16" t="s">
        <v>389</v>
      </c>
      <c r="C641" s="16" t="s">
        <v>389</v>
      </c>
      <c r="D641" s="16" t="s">
        <v>389</v>
      </c>
    </row>
    <row r="642">
      <c r="A642" s="6"/>
      <c r="B642" s="16" t="s">
        <v>389</v>
      </c>
      <c r="C642" s="16" t="s">
        <v>389</v>
      </c>
      <c r="D642" s="16" t="s">
        <v>389</v>
      </c>
    </row>
    <row r="643">
      <c r="A643" s="6"/>
      <c r="B643" s="16" t="s">
        <v>389</v>
      </c>
      <c r="C643" s="16" t="s">
        <v>389</v>
      </c>
      <c r="D643" s="16" t="s">
        <v>389</v>
      </c>
    </row>
    <row r="644">
      <c r="A644" s="6"/>
      <c r="B644" s="16" t="s">
        <v>389</v>
      </c>
      <c r="C644" s="16" t="s">
        <v>389</v>
      </c>
      <c r="D644" s="16" t="s">
        <v>389</v>
      </c>
    </row>
    <row r="645">
      <c r="A645" s="6"/>
      <c r="B645" s="16" t="s">
        <v>389</v>
      </c>
      <c r="C645" s="16" t="s">
        <v>389</v>
      </c>
      <c r="D645" s="16" t="s">
        <v>389</v>
      </c>
    </row>
    <row r="646">
      <c r="A646" s="6"/>
      <c r="B646" s="16" t="s">
        <v>389</v>
      </c>
      <c r="C646" s="16" t="s">
        <v>389</v>
      </c>
      <c r="D646" s="16" t="s">
        <v>389</v>
      </c>
    </row>
    <row r="647">
      <c r="A647" s="6"/>
      <c r="B647" s="16" t="s">
        <v>389</v>
      </c>
      <c r="C647" s="16" t="s">
        <v>389</v>
      </c>
      <c r="D647" s="16" t="s">
        <v>389</v>
      </c>
    </row>
    <row r="648">
      <c r="A648" s="6"/>
      <c r="B648" s="16" t="s">
        <v>389</v>
      </c>
      <c r="C648" s="16" t="s">
        <v>389</v>
      </c>
      <c r="D648" s="16" t="s">
        <v>389</v>
      </c>
    </row>
    <row r="649">
      <c r="A649" s="6"/>
      <c r="B649" s="16" t="s">
        <v>389</v>
      </c>
      <c r="C649" s="16" t="s">
        <v>389</v>
      </c>
      <c r="D649" s="16" t="s">
        <v>389</v>
      </c>
    </row>
    <row r="650">
      <c r="A650" s="6"/>
      <c r="B650" s="16" t="s">
        <v>389</v>
      </c>
      <c r="C650" s="16" t="s">
        <v>389</v>
      </c>
      <c r="D650" s="16" t="s">
        <v>389</v>
      </c>
    </row>
    <row r="651">
      <c r="A651" s="6"/>
      <c r="B651" s="16" t="s">
        <v>389</v>
      </c>
      <c r="C651" s="16" t="s">
        <v>389</v>
      </c>
      <c r="D651" s="16" t="s">
        <v>389</v>
      </c>
    </row>
    <row r="652">
      <c r="A652" s="6"/>
      <c r="B652" s="16" t="s">
        <v>389</v>
      </c>
      <c r="C652" s="16" t="s">
        <v>389</v>
      </c>
      <c r="D652" s="16" t="s">
        <v>389</v>
      </c>
    </row>
    <row r="653">
      <c r="A653" s="6"/>
      <c r="B653" s="16" t="s">
        <v>389</v>
      </c>
      <c r="C653" s="16" t="s">
        <v>389</v>
      </c>
      <c r="D653" s="16" t="s">
        <v>389</v>
      </c>
    </row>
    <row r="654">
      <c r="A654" s="6"/>
      <c r="B654" s="16" t="s">
        <v>389</v>
      </c>
      <c r="C654" s="16" t="s">
        <v>389</v>
      </c>
      <c r="D654" s="16" t="s">
        <v>389</v>
      </c>
    </row>
    <row r="655">
      <c r="A655" s="6"/>
      <c r="B655" s="16" t="s">
        <v>389</v>
      </c>
      <c r="C655" s="16" t="s">
        <v>389</v>
      </c>
      <c r="D655" s="16" t="s">
        <v>389</v>
      </c>
    </row>
    <row r="656">
      <c r="A656" s="6"/>
      <c r="B656" s="16" t="s">
        <v>389</v>
      </c>
      <c r="C656" s="16" t="s">
        <v>389</v>
      </c>
      <c r="D656" s="16" t="s">
        <v>389</v>
      </c>
    </row>
    <row r="657">
      <c r="A657" s="6"/>
      <c r="B657" s="16" t="s">
        <v>389</v>
      </c>
      <c r="C657" s="16" t="s">
        <v>389</v>
      </c>
      <c r="D657" s="16" t="s">
        <v>389</v>
      </c>
    </row>
    <row r="658">
      <c r="A658" s="6"/>
      <c r="B658" s="16" t="s">
        <v>389</v>
      </c>
      <c r="C658" s="16" t="s">
        <v>389</v>
      </c>
      <c r="D658" s="16" t="s">
        <v>389</v>
      </c>
    </row>
    <row r="659">
      <c r="A659" s="6"/>
      <c r="B659" s="16" t="s">
        <v>389</v>
      </c>
      <c r="C659" s="16" t="s">
        <v>389</v>
      </c>
      <c r="D659" s="16" t="s">
        <v>389</v>
      </c>
    </row>
    <row r="660">
      <c r="A660" s="6"/>
      <c r="B660" s="16" t="s">
        <v>389</v>
      </c>
      <c r="C660" s="16" t="s">
        <v>389</v>
      </c>
      <c r="D660" s="16" t="s">
        <v>389</v>
      </c>
    </row>
    <row r="661">
      <c r="A661" s="6"/>
      <c r="B661" s="16" t="s">
        <v>389</v>
      </c>
      <c r="C661" s="16" t="s">
        <v>389</v>
      </c>
      <c r="D661" s="16" t="s">
        <v>389</v>
      </c>
    </row>
    <row r="662">
      <c r="A662" s="6"/>
      <c r="B662" s="16" t="s">
        <v>389</v>
      </c>
      <c r="C662" s="16" t="s">
        <v>389</v>
      </c>
      <c r="D662" s="16" t="s">
        <v>389</v>
      </c>
    </row>
    <row r="663">
      <c r="A663" s="6"/>
      <c r="B663" s="16" t="s">
        <v>389</v>
      </c>
      <c r="C663" s="16" t="s">
        <v>389</v>
      </c>
      <c r="D663" s="16" t="s">
        <v>389</v>
      </c>
    </row>
    <row r="664">
      <c r="A664" s="6"/>
      <c r="B664" s="16" t="s">
        <v>389</v>
      </c>
      <c r="C664" s="16" t="s">
        <v>389</v>
      </c>
      <c r="D664" s="16" t="s">
        <v>389</v>
      </c>
    </row>
    <row r="665">
      <c r="A665" s="6"/>
      <c r="B665" s="16" t="s">
        <v>389</v>
      </c>
      <c r="C665" s="16" t="s">
        <v>389</v>
      </c>
      <c r="D665" s="16" t="s">
        <v>389</v>
      </c>
    </row>
    <row r="666">
      <c r="A666" s="6"/>
      <c r="B666" s="16" t="s">
        <v>389</v>
      </c>
      <c r="C666" s="16" t="s">
        <v>389</v>
      </c>
      <c r="D666" s="16" t="s">
        <v>389</v>
      </c>
    </row>
    <row r="667">
      <c r="A667" s="6"/>
      <c r="B667" s="16" t="s">
        <v>389</v>
      </c>
      <c r="C667" s="16" t="s">
        <v>389</v>
      </c>
      <c r="D667" s="16" t="s">
        <v>389</v>
      </c>
    </row>
    <row r="668">
      <c r="A668" s="6"/>
      <c r="B668" s="16" t="s">
        <v>389</v>
      </c>
      <c r="C668" s="16" t="s">
        <v>389</v>
      </c>
      <c r="D668" s="16" t="s">
        <v>389</v>
      </c>
    </row>
    <row r="669">
      <c r="A669" s="6"/>
      <c r="B669" s="16" t="s">
        <v>389</v>
      </c>
      <c r="C669" s="16" t="s">
        <v>389</v>
      </c>
      <c r="D669" s="16" t="s">
        <v>389</v>
      </c>
    </row>
    <row r="670">
      <c r="A670" s="6"/>
      <c r="B670" s="16" t="s">
        <v>389</v>
      </c>
      <c r="C670" s="16" t="s">
        <v>389</v>
      </c>
      <c r="D670" s="16" t="s">
        <v>389</v>
      </c>
    </row>
    <row r="671">
      <c r="A671" s="6"/>
      <c r="B671" s="16" t="s">
        <v>389</v>
      </c>
      <c r="C671" s="16" t="s">
        <v>389</v>
      </c>
      <c r="D671" s="16" t="s">
        <v>389</v>
      </c>
    </row>
    <row r="672">
      <c r="A672" s="6"/>
      <c r="B672" s="16" t="s">
        <v>389</v>
      </c>
      <c r="C672" s="16" t="s">
        <v>389</v>
      </c>
      <c r="D672" s="16" t="s">
        <v>389</v>
      </c>
    </row>
    <row r="673">
      <c r="A673" s="6"/>
      <c r="B673" s="16" t="s">
        <v>389</v>
      </c>
      <c r="C673" s="16" t="s">
        <v>389</v>
      </c>
      <c r="D673" s="16" t="s">
        <v>389</v>
      </c>
    </row>
    <row r="674">
      <c r="A674" s="6"/>
      <c r="B674" s="16" t="s">
        <v>389</v>
      </c>
      <c r="C674" s="16" t="s">
        <v>389</v>
      </c>
      <c r="D674" s="16" t="s">
        <v>389</v>
      </c>
    </row>
    <row r="675">
      <c r="A675" s="6"/>
      <c r="B675" s="16" t="s">
        <v>389</v>
      </c>
      <c r="C675" s="16" t="s">
        <v>389</v>
      </c>
      <c r="D675" s="16" t="s">
        <v>389</v>
      </c>
    </row>
    <row r="676">
      <c r="A676" s="6"/>
      <c r="B676" s="16" t="s">
        <v>389</v>
      </c>
      <c r="C676" s="16" t="s">
        <v>389</v>
      </c>
      <c r="D676" s="16" t="s">
        <v>389</v>
      </c>
    </row>
    <row r="677">
      <c r="A677" s="6"/>
      <c r="B677" s="16" t="s">
        <v>389</v>
      </c>
      <c r="C677" s="16" t="s">
        <v>389</v>
      </c>
      <c r="D677" s="16" t="s">
        <v>389</v>
      </c>
    </row>
    <row r="678">
      <c r="A678" s="6"/>
      <c r="B678" s="16" t="s">
        <v>389</v>
      </c>
      <c r="C678" s="16" t="s">
        <v>389</v>
      </c>
      <c r="D678" s="16" t="s">
        <v>389</v>
      </c>
    </row>
    <row r="679">
      <c r="A679" s="6"/>
      <c r="B679" s="16" t="s">
        <v>389</v>
      </c>
      <c r="C679" s="16" t="s">
        <v>389</v>
      </c>
      <c r="D679" s="16" t="s">
        <v>389</v>
      </c>
    </row>
    <row r="680">
      <c r="A680" s="6"/>
      <c r="B680" s="16" t="s">
        <v>389</v>
      </c>
      <c r="C680" s="16" t="s">
        <v>389</v>
      </c>
      <c r="D680" s="16" t="s">
        <v>389</v>
      </c>
    </row>
    <row r="681">
      <c r="A681" s="6"/>
      <c r="B681" s="16" t="s">
        <v>389</v>
      </c>
      <c r="C681" s="16" t="s">
        <v>389</v>
      </c>
      <c r="D681" s="16" t="s">
        <v>389</v>
      </c>
    </row>
    <row r="682">
      <c r="A682" s="6"/>
      <c r="B682" s="16" t="s">
        <v>389</v>
      </c>
      <c r="C682" s="16" t="s">
        <v>389</v>
      </c>
      <c r="D682" s="16" t="s">
        <v>389</v>
      </c>
    </row>
    <row r="683">
      <c r="A683" s="6"/>
      <c r="B683" s="16" t="s">
        <v>389</v>
      </c>
      <c r="C683" s="16" t="s">
        <v>389</v>
      </c>
      <c r="D683" s="16" t="s">
        <v>389</v>
      </c>
    </row>
    <row r="684">
      <c r="A684" s="6"/>
      <c r="B684" s="16" t="s">
        <v>389</v>
      </c>
      <c r="C684" s="16" t="s">
        <v>389</v>
      </c>
      <c r="D684" s="16" t="s">
        <v>389</v>
      </c>
    </row>
    <row r="685">
      <c r="A685" s="6"/>
      <c r="B685" s="16" t="s">
        <v>389</v>
      </c>
      <c r="C685" s="16" t="s">
        <v>389</v>
      </c>
      <c r="D685" s="16" t="s">
        <v>389</v>
      </c>
    </row>
    <row r="686">
      <c r="A686" s="6"/>
      <c r="B686" s="16" t="s">
        <v>389</v>
      </c>
      <c r="C686" s="16" t="s">
        <v>389</v>
      </c>
      <c r="D686" s="16" t="s">
        <v>389</v>
      </c>
    </row>
    <row r="687">
      <c r="A687" s="6"/>
      <c r="B687" s="16" t="s">
        <v>389</v>
      </c>
      <c r="C687" s="16" t="s">
        <v>389</v>
      </c>
      <c r="D687" s="16" t="s">
        <v>389</v>
      </c>
    </row>
    <row r="688">
      <c r="A688" s="6"/>
      <c r="B688" s="16" t="s">
        <v>389</v>
      </c>
      <c r="C688" s="16" t="s">
        <v>389</v>
      </c>
      <c r="D688" s="16" t="s">
        <v>389</v>
      </c>
    </row>
    <row r="689">
      <c r="A689" s="6"/>
      <c r="B689" s="16" t="s">
        <v>389</v>
      </c>
      <c r="C689" s="16" t="s">
        <v>389</v>
      </c>
      <c r="D689" s="16" t="s">
        <v>389</v>
      </c>
    </row>
    <row r="690">
      <c r="A690" s="6"/>
      <c r="B690" s="16" t="s">
        <v>389</v>
      </c>
      <c r="C690" s="16" t="s">
        <v>389</v>
      </c>
      <c r="D690" s="16" t="s">
        <v>389</v>
      </c>
    </row>
    <row r="691">
      <c r="A691" s="6"/>
      <c r="B691" s="16" t="s">
        <v>389</v>
      </c>
      <c r="C691" s="16" t="s">
        <v>389</v>
      </c>
      <c r="D691" s="16" t="s">
        <v>389</v>
      </c>
    </row>
    <row r="692">
      <c r="A692" s="6"/>
      <c r="B692" s="16" t="s">
        <v>389</v>
      </c>
      <c r="C692" s="16" t="s">
        <v>389</v>
      </c>
      <c r="D692" s="16" t="s">
        <v>389</v>
      </c>
    </row>
    <row r="693">
      <c r="A693" s="6"/>
      <c r="B693" s="16" t="s">
        <v>389</v>
      </c>
      <c r="C693" s="16" t="s">
        <v>389</v>
      </c>
      <c r="D693" s="16" t="s">
        <v>389</v>
      </c>
    </row>
    <row r="694">
      <c r="A694" s="6"/>
      <c r="B694" s="16" t="s">
        <v>389</v>
      </c>
      <c r="C694" s="16" t="s">
        <v>389</v>
      </c>
      <c r="D694" s="16" t="s">
        <v>389</v>
      </c>
    </row>
    <row r="695">
      <c r="A695" s="6"/>
      <c r="B695" s="16" t="s">
        <v>389</v>
      </c>
      <c r="C695" s="16" t="s">
        <v>389</v>
      </c>
      <c r="D695" s="16" t="s">
        <v>389</v>
      </c>
    </row>
    <row r="696">
      <c r="A696" s="6"/>
      <c r="B696" s="16" t="s">
        <v>389</v>
      </c>
      <c r="C696" s="16" t="s">
        <v>389</v>
      </c>
      <c r="D696" s="16" t="s">
        <v>389</v>
      </c>
    </row>
    <row r="697">
      <c r="A697" s="6"/>
      <c r="B697" s="16" t="s">
        <v>389</v>
      </c>
      <c r="C697" s="16" t="s">
        <v>389</v>
      </c>
      <c r="D697" s="16" t="s">
        <v>389</v>
      </c>
    </row>
    <row r="698">
      <c r="A698" s="6"/>
      <c r="B698" s="16" t="s">
        <v>389</v>
      </c>
      <c r="C698" s="16" t="s">
        <v>389</v>
      </c>
      <c r="D698" s="16" t="s">
        <v>389</v>
      </c>
    </row>
    <row r="699">
      <c r="A699" s="6"/>
      <c r="B699" s="16" t="s">
        <v>389</v>
      </c>
      <c r="C699" s="16" t="s">
        <v>389</v>
      </c>
      <c r="D699" s="16" t="s">
        <v>389</v>
      </c>
    </row>
    <row r="700">
      <c r="A700" s="6"/>
      <c r="B700" s="16" t="s">
        <v>389</v>
      </c>
      <c r="C700" s="16" t="s">
        <v>389</v>
      </c>
      <c r="D700" s="16" t="s">
        <v>389</v>
      </c>
    </row>
    <row r="701">
      <c r="A701" s="6"/>
      <c r="B701" s="16" t="s">
        <v>389</v>
      </c>
      <c r="C701" s="16" t="s">
        <v>389</v>
      </c>
      <c r="D701" s="16" t="s">
        <v>389</v>
      </c>
    </row>
    <row r="702">
      <c r="A702" s="6"/>
      <c r="B702" s="16" t="s">
        <v>389</v>
      </c>
      <c r="C702" s="16" t="s">
        <v>389</v>
      </c>
      <c r="D702" s="16" t="s">
        <v>389</v>
      </c>
    </row>
    <row r="703">
      <c r="A703" s="6"/>
      <c r="B703" s="16" t="s">
        <v>389</v>
      </c>
      <c r="C703" s="16" t="s">
        <v>389</v>
      </c>
      <c r="D703" s="16" t="s">
        <v>389</v>
      </c>
    </row>
    <row r="704">
      <c r="A704" s="6"/>
      <c r="B704" s="16" t="s">
        <v>389</v>
      </c>
      <c r="C704" s="16" t="s">
        <v>389</v>
      </c>
      <c r="D704" s="16" t="s">
        <v>389</v>
      </c>
    </row>
    <row r="705">
      <c r="A705" s="6"/>
      <c r="B705" s="16" t="s">
        <v>389</v>
      </c>
      <c r="C705" s="16" t="s">
        <v>389</v>
      </c>
      <c r="D705" s="16" t="s">
        <v>389</v>
      </c>
    </row>
    <row r="706">
      <c r="A706" s="6"/>
      <c r="B706" s="16" t="s">
        <v>389</v>
      </c>
      <c r="C706" s="16" t="s">
        <v>389</v>
      </c>
      <c r="D706" s="16" t="s">
        <v>389</v>
      </c>
    </row>
    <row r="707">
      <c r="A707" s="6"/>
      <c r="B707" s="16" t="s">
        <v>389</v>
      </c>
      <c r="C707" s="16" t="s">
        <v>389</v>
      </c>
      <c r="D707" s="16" t="s">
        <v>389</v>
      </c>
    </row>
    <row r="708">
      <c r="A708" s="6"/>
      <c r="B708" s="16" t="s">
        <v>389</v>
      </c>
      <c r="C708" s="16" t="s">
        <v>389</v>
      </c>
      <c r="D708" s="16" t="s">
        <v>389</v>
      </c>
    </row>
    <row r="709">
      <c r="A709" s="6"/>
      <c r="B709" s="16" t="s">
        <v>389</v>
      </c>
      <c r="C709" s="16" t="s">
        <v>389</v>
      </c>
      <c r="D709" s="16" t="s">
        <v>389</v>
      </c>
    </row>
    <row r="710">
      <c r="A710" s="6"/>
      <c r="B710" s="16" t="s">
        <v>389</v>
      </c>
      <c r="C710" s="16" t="s">
        <v>389</v>
      </c>
      <c r="D710" s="16" t="s">
        <v>389</v>
      </c>
    </row>
    <row r="711">
      <c r="A711" s="6"/>
      <c r="B711" s="16" t="s">
        <v>389</v>
      </c>
      <c r="C711" s="16" t="s">
        <v>389</v>
      </c>
      <c r="D711" s="16" t="s">
        <v>389</v>
      </c>
    </row>
    <row r="712">
      <c r="A712" s="6"/>
      <c r="B712" s="16" t="s">
        <v>389</v>
      </c>
      <c r="C712" s="16" t="s">
        <v>389</v>
      </c>
      <c r="D712" s="16" t="s">
        <v>389</v>
      </c>
    </row>
    <row r="713">
      <c r="A713" s="6"/>
      <c r="B713" s="16" t="s">
        <v>389</v>
      </c>
      <c r="C713" s="16" t="s">
        <v>389</v>
      </c>
      <c r="D713" s="16" t="s">
        <v>389</v>
      </c>
    </row>
    <row r="714">
      <c r="A714" s="6"/>
      <c r="B714" s="16" t="s">
        <v>389</v>
      </c>
      <c r="C714" s="16" t="s">
        <v>389</v>
      </c>
      <c r="D714" s="16" t="s">
        <v>389</v>
      </c>
    </row>
    <row r="715">
      <c r="A715" s="6"/>
      <c r="B715" s="16" t="s">
        <v>389</v>
      </c>
      <c r="C715" s="16" t="s">
        <v>389</v>
      </c>
      <c r="D715" s="16" t="s">
        <v>389</v>
      </c>
    </row>
    <row r="716">
      <c r="A716" s="6"/>
      <c r="B716" s="16" t="s">
        <v>389</v>
      </c>
      <c r="C716" s="16" t="s">
        <v>389</v>
      </c>
      <c r="D716" s="16" t="s">
        <v>389</v>
      </c>
    </row>
    <row r="717">
      <c r="A717" s="6"/>
      <c r="B717" s="16" t="s">
        <v>389</v>
      </c>
      <c r="C717" s="16" t="s">
        <v>389</v>
      </c>
      <c r="D717" s="16" t="s">
        <v>389</v>
      </c>
    </row>
    <row r="718">
      <c r="A718" s="6"/>
      <c r="B718" s="16" t="s">
        <v>389</v>
      </c>
      <c r="C718" s="16" t="s">
        <v>389</v>
      </c>
      <c r="D718" s="16" t="s">
        <v>389</v>
      </c>
    </row>
    <row r="719">
      <c r="A719" s="6"/>
      <c r="B719" s="16" t="s">
        <v>389</v>
      </c>
      <c r="C719" s="16" t="s">
        <v>389</v>
      </c>
      <c r="D719" s="16" t="s">
        <v>389</v>
      </c>
    </row>
    <row r="720">
      <c r="A720" s="6"/>
      <c r="B720" s="16" t="s">
        <v>389</v>
      </c>
      <c r="C720" s="16" t="s">
        <v>389</v>
      </c>
      <c r="D720" s="16" t="s">
        <v>389</v>
      </c>
    </row>
    <row r="721">
      <c r="A721" s="6"/>
      <c r="B721" s="16" t="s">
        <v>389</v>
      </c>
      <c r="C721" s="16" t="s">
        <v>389</v>
      </c>
      <c r="D721" s="16" t="s">
        <v>389</v>
      </c>
    </row>
    <row r="722">
      <c r="A722" s="6"/>
      <c r="B722" s="16" t="s">
        <v>389</v>
      </c>
      <c r="C722" s="16" t="s">
        <v>389</v>
      </c>
      <c r="D722" s="16" t="s">
        <v>389</v>
      </c>
    </row>
    <row r="723">
      <c r="A723" s="6"/>
      <c r="B723" s="16" t="s">
        <v>389</v>
      </c>
      <c r="C723" s="16" t="s">
        <v>389</v>
      </c>
      <c r="D723" s="16" t="s">
        <v>389</v>
      </c>
    </row>
    <row r="724">
      <c r="A724" s="6"/>
      <c r="B724" s="16" t="s">
        <v>389</v>
      </c>
      <c r="C724" s="16" t="s">
        <v>389</v>
      </c>
      <c r="D724" s="16" t="s">
        <v>389</v>
      </c>
    </row>
    <row r="725">
      <c r="A725" s="6"/>
      <c r="B725" s="16" t="s">
        <v>389</v>
      </c>
      <c r="C725" s="16" t="s">
        <v>389</v>
      </c>
      <c r="D725" s="16" t="s">
        <v>389</v>
      </c>
    </row>
    <row r="726">
      <c r="A726" s="6"/>
      <c r="B726" s="16" t="s">
        <v>389</v>
      </c>
      <c r="C726" s="16" t="s">
        <v>389</v>
      </c>
      <c r="D726" s="16" t="s">
        <v>389</v>
      </c>
    </row>
    <row r="727">
      <c r="A727" s="6"/>
      <c r="B727" s="16" t="s">
        <v>389</v>
      </c>
      <c r="C727" s="16" t="s">
        <v>389</v>
      </c>
      <c r="D727" s="16" t="s">
        <v>389</v>
      </c>
    </row>
    <row r="728">
      <c r="A728" s="6"/>
      <c r="B728" s="16" t="s">
        <v>389</v>
      </c>
      <c r="C728" s="16" t="s">
        <v>389</v>
      </c>
      <c r="D728" s="16" t="s">
        <v>389</v>
      </c>
    </row>
    <row r="729">
      <c r="A729" s="6"/>
      <c r="B729" s="16" t="s">
        <v>389</v>
      </c>
      <c r="C729" s="16" t="s">
        <v>389</v>
      </c>
      <c r="D729" s="16" t="s">
        <v>389</v>
      </c>
    </row>
    <row r="730">
      <c r="A730" s="6"/>
      <c r="B730" s="16" t="s">
        <v>389</v>
      </c>
      <c r="C730" s="16" t="s">
        <v>389</v>
      </c>
      <c r="D730" s="16" t="s">
        <v>389</v>
      </c>
    </row>
    <row r="731">
      <c r="A731" s="6"/>
      <c r="B731" s="16" t="s">
        <v>389</v>
      </c>
      <c r="C731" s="16" t="s">
        <v>389</v>
      </c>
      <c r="D731" s="16" t="s">
        <v>389</v>
      </c>
    </row>
    <row r="732">
      <c r="A732" s="6"/>
      <c r="B732" s="16" t="s">
        <v>389</v>
      </c>
      <c r="C732" s="16" t="s">
        <v>389</v>
      </c>
      <c r="D732" s="16" t="s">
        <v>389</v>
      </c>
    </row>
    <row r="733">
      <c r="A733" s="6"/>
      <c r="B733" s="16" t="s">
        <v>389</v>
      </c>
      <c r="C733" s="16" t="s">
        <v>389</v>
      </c>
      <c r="D733" s="16" t="s">
        <v>389</v>
      </c>
    </row>
    <row r="734">
      <c r="A734" s="6"/>
      <c r="B734" s="16" t="s">
        <v>389</v>
      </c>
      <c r="C734" s="16" t="s">
        <v>389</v>
      </c>
      <c r="D734" s="16" t="s">
        <v>389</v>
      </c>
    </row>
    <row r="735">
      <c r="A735" s="6"/>
      <c r="B735" s="16" t="s">
        <v>389</v>
      </c>
      <c r="C735" s="16" t="s">
        <v>389</v>
      </c>
      <c r="D735" s="16" t="s">
        <v>389</v>
      </c>
    </row>
    <row r="736">
      <c r="A736" s="6"/>
      <c r="B736" s="16" t="s">
        <v>389</v>
      </c>
      <c r="C736" s="16" t="s">
        <v>389</v>
      </c>
      <c r="D736" s="16" t="s">
        <v>389</v>
      </c>
    </row>
    <row r="737">
      <c r="A737" s="6"/>
      <c r="B737" s="16" t="s">
        <v>389</v>
      </c>
      <c r="C737" s="16" t="s">
        <v>389</v>
      </c>
      <c r="D737" s="16" t="s">
        <v>389</v>
      </c>
    </row>
    <row r="738">
      <c r="A738" s="6"/>
      <c r="B738" s="16" t="s">
        <v>389</v>
      </c>
      <c r="C738" s="16" t="s">
        <v>389</v>
      </c>
      <c r="D738" s="16" t="s">
        <v>389</v>
      </c>
    </row>
    <row r="739">
      <c r="A739" s="6"/>
      <c r="B739" s="16" t="s">
        <v>389</v>
      </c>
      <c r="C739" s="16" t="s">
        <v>389</v>
      </c>
      <c r="D739" s="16" t="s">
        <v>389</v>
      </c>
    </row>
    <row r="740">
      <c r="A740" s="6"/>
      <c r="B740" s="16" t="s">
        <v>389</v>
      </c>
      <c r="C740" s="16" t="s">
        <v>389</v>
      </c>
      <c r="D740" s="16" t="s">
        <v>389</v>
      </c>
    </row>
    <row r="741">
      <c r="A741" s="6"/>
      <c r="B741" s="16" t="s">
        <v>389</v>
      </c>
      <c r="C741" s="16" t="s">
        <v>389</v>
      </c>
      <c r="D741" s="16" t="s">
        <v>389</v>
      </c>
    </row>
    <row r="742">
      <c r="A742" s="6"/>
      <c r="B742" s="16" t="s">
        <v>389</v>
      </c>
      <c r="C742" s="16" t="s">
        <v>389</v>
      </c>
      <c r="D742" s="16" t="s">
        <v>389</v>
      </c>
    </row>
    <row r="743">
      <c r="A743" s="6"/>
      <c r="B743" s="16" t="s">
        <v>389</v>
      </c>
      <c r="C743" s="16" t="s">
        <v>389</v>
      </c>
      <c r="D743" s="16" t="s">
        <v>389</v>
      </c>
    </row>
    <row r="744">
      <c r="A744" s="6"/>
      <c r="B744" s="16" t="s">
        <v>389</v>
      </c>
      <c r="C744" s="16" t="s">
        <v>389</v>
      </c>
      <c r="D744" s="16" t="s">
        <v>389</v>
      </c>
    </row>
    <row r="745">
      <c r="A745" s="6"/>
      <c r="B745" s="16" t="s">
        <v>389</v>
      </c>
      <c r="C745" s="16" t="s">
        <v>389</v>
      </c>
      <c r="D745" s="16" t="s">
        <v>389</v>
      </c>
    </row>
    <row r="746">
      <c r="A746" s="6"/>
      <c r="B746" s="16" t="s">
        <v>389</v>
      </c>
      <c r="C746" s="16" t="s">
        <v>389</v>
      </c>
      <c r="D746" s="16" t="s">
        <v>389</v>
      </c>
    </row>
    <row r="747">
      <c r="A747" s="6"/>
      <c r="B747" s="16" t="s">
        <v>389</v>
      </c>
      <c r="C747" s="16" t="s">
        <v>389</v>
      </c>
      <c r="D747" s="16" t="s">
        <v>389</v>
      </c>
    </row>
    <row r="748">
      <c r="A748" s="6"/>
      <c r="B748" s="16" t="s">
        <v>389</v>
      </c>
      <c r="C748" s="16" t="s">
        <v>389</v>
      </c>
      <c r="D748" s="16" t="s">
        <v>389</v>
      </c>
    </row>
    <row r="749">
      <c r="A749" s="6"/>
      <c r="B749" s="16" t="s">
        <v>389</v>
      </c>
      <c r="C749" s="16" t="s">
        <v>389</v>
      </c>
      <c r="D749" s="16" t="s">
        <v>389</v>
      </c>
    </row>
    <row r="750">
      <c r="A750" s="6"/>
      <c r="B750" s="16" t="s">
        <v>389</v>
      </c>
      <c r="C750" s="16" t="s">
        <v>389</v>
      </c>
      <c r="D750" s="16" t="s">
        <v>389</v>
      </c>
    </row>
    <row r="751">
      <c r="A751" s="6"/>
      <c r="B751" s="16" t="s">
        <v>389</v>
      </c>
      <c r="C751" s="16" t="s">
        <v>389</v>
      </c>
      <c r="D751" s="16" t="s">
        <v>389</v>
      </c>
    </row>
    <row r="752">
      <c r="A752" s="6"/>
      <c r="B752" s="16" t="s">
        <v>389</v>
      </c>
      <c r="C752" s="16" t="s">
        <v>389</v>
      </c>
      <c r="D752" s="16" t="s">
        <v>389</v>
      </c>
    </row>
    <row r="753">
      <c r="A753" s="6"/>
      <c r="B753" s="16" t="s">
        <v>389</v>
      </c>
      <c r="C753" s="16" t="s">
        <v>389</v>
      </c>
      <c r="D753" s="16" t="s">
        <v>389</v>
      </c>
    </row>
    <row r="754">
      <c r="A754" s="6"/>
      <c r="B754" s="16" t="s">
        <v>389</v>
      </c>
      <c r="C754" s="16" t="s">
        <v>389</v>
      </c>
      <c r="D754" s="16" t="s">
        <v>389</v>
      </c>
    </row>
    <row r="755">
      <c r="A755" s="6"/>
      <c r="B755" s="16" t="s">
        <v>389</v>
      </c>
      <c r="C755" s="16" t="s">
        <v>389</v>
      </c>
      <c r="D755" s="16" t="s">
        <v>389</v>
      </c>
    </row>
    <row r="756">
      <c r="A756" s="6"/>
      <c r="B756" s="16" t="s">
        <v>389</v>
      </c>
      <c r="C756" s="16" t="s">
        <v>389</v>
      </c>
      <c r="D756" s="16" t="s">
        <v>389</v>
      </c>
    </row>
    <row r="757">
      <c r="A757" s="6"/>
      <c r="B757" s="16" t="s">
        <v>389</v>
      </c>
      <c r="C757" s="16" t="s">
        <v>389</v>
      </c>
      <c r="D757" s="16" t="s">
        <v>389</v>
      </c>
    </row>
    <row r="758">
      <c r="A758" s="6"/>
      <c r="B758" s="16" t="s">
        <v>389</v>
      </c>
      <c r="C758" s="16" t="s">
        <v>389</v>
      </c>
      <c r="D758" s="16" t="s">
        <v>389</v>
      </c>
    </row>
    <row r="759">
      <c r="A759" s="6"/>
      <c r="B759" s="16" t="s">
        <v>389</v>
      </c>
      <c r="C759" s="16" t="s">
        <v>389</v>
      </c>
      <c r="D759" s="16" t="s">
        <v>389</v>
      </c>
    </row>
    <row r="760">
      <c r="A760" s="6"/>
      <c r="B760" s="16" t="s">
        <v>389</v>
      </c>
      <c r="C760" s="16" t="s">
        <v>389</v>
      </c>
      <c r="D760" s="16" t="s">
        <v>389</v>
      </c>
    </row>
    <row r="761">
      <c r="A761" s="6"/>
      <c r="B761" s="16" t="s">
        <v>389</v>
      </c>
      <c r="C761" s="16" t="s">
        <v>389</v>
      </c>
      <c r="D761" s="16" t="s">
        <v>389</v>
      </c>
    </row>
    <row r="762">
      <c r="A762" s="6"/>
      <c r="B762" s="16" t="s">
        <v>389</v>
      </c>
      <c r="C762" s="16" t="s">
        <v>389</v>
      </c>
      <c r="D762" s="16" t="s">
        <v>389</v>
      </c>
    </row>
    <row r="763">
      <c r="A763" s="6"/>
      <c r="B763" s="16" t="s">
        <v>389</v>
      </c>
      <c r="C763" s="16" t="s">
        <v>389</v>
      </c>
      <c r="D763" s="16" t="s">
        <v>389</v>
      </c>
    </row>
    <row r="764">
      <c r="A764" s="6"/>
      <c r="B764" s="16" t="s">
        <v>389</v>
      </c>
      <c r="C764" s="16" t="s">
        <v>389</v>
      </c>
      <c r="D764" s="16" t="s">
        <v>389</v>
      </c>
    </row>
    <row r="765">
      <c r="A765" s="6"/>
      <c r="B765" s="16" t="s">
        <v>389</v>
      </c>
      <c r="C765" s="16" t="s">
        <v>389</v>
      </c>
      <c r="D765" s="16" t="s">
        <v>389</v>
      </c>
    </row>
    <row r="766">
      <c r="A766" s="6"/>
      <c r="B766" s="16" t="s">
        <v>389</v>
      </c>
      <c r="C766" s="16" t="s">
        <v>389</v>
      </c>
      <c r="D766" s="16" t="s">
        <v>389</v>
      </c>
    </row>
    <row r="767">
      <c r="A767" s="6"/>
      <c r="B767" s="16" t="s">
        <v>389</v>
      </c>
      <c r="C767" s="16" t="s">
        <v>389</v>
      </c>
      <c r="D767" s="16" t="s">
        <v>389</v>
      </c>
    </row>
    <row r="768">
      <c r="A768" s="6"/>
      <c r="B768" s="16" t="s">
        <v>389</v>
      </c>
      <c r="C768" s="16" t="s">
        <v>389</v>
      </c>
      <c r="D768" s="16" t="s">
        <v>389</v>
      </c>
    </row>
    <row r="769">
      <c r="A769" s="6"/>
      <c r="B769" s="16" t="s">
        <v>389</v>
      </c>
      <c r="C769" s="16" t="s">
        <v>389</v>
      </c>
      <c r="D769" s="16" t="s">
        <v>389</v>
      </c>
    </row>
    <row r="770">
      <c r="A770" s="6"/>
      <c r="B770" s="16" t="s">
        <v>389</v>
      </c>
      <c r="C770" s="16" t="s">
        <v>389</v>
      </c>
      <c r="D770" s="16" t="s">
        <v>389</v>
      </c>
    </row>
    <row r="771">
      <c r="A771" s="6"/>
      <c r="B771" s="16" t="s">
        <v>389</v>
      </c>
      <c r="C771" s="16" t="s">
        <v>389</v>
      </c>
      <c r="D771" s="16" t="s">
        <v>389</v>
      </c>
    </row>
    <row r="772">
      <c r="A772" s="6"/>
      <c r="B772" s="16" t="s">
        <v>389</v>
      </c>
      <c r="C772" s="16" t="s">
        <v>389</v>
      </c>
      <c r="D772" s="16" t="s">
        <v>389</v>
      </c>
    </row>
    <row r="773">
      <c r="A773" s="6"/>
      <c r="B773" s="16" t="s">
        <v>389</v>
      </c>
      <c r="C773" s="16" t="s">
        <v>389</v>
      </c>
      <c r="D773" s="16" t="s">
        <v>389</v>
      </c>
    </row>
    <row r="774">
      <c r="A774" s="6"/>
      <c r="B774" s="16" t="s">
        <v>389</v>
      </c>
      <c r="C774" s="16" t="s">
        <v>389</v>
      </c>
      <c r="D774" s="16" t="s">
        <v>389</v>
      </c>
    </row>
    <row r="775">
      <c r="A775" s="6"/>
      <c r="B775" s="16" t="s">
        <v>389</v>
      </c>
      <c r="C775" s="16" t="s">
        <v>389</v>
      </c>
      <c r="D775" s="16" t="s">
        <v>389</v>
      </c>
    </row>
    <row r="776">
      <c r="A776" s="6"/>
      <c r="B776" s="16" t="s">
        <v>389</v>
      </c>
      <c r="C776" s="16" t="s">
        <v>389</v>
      </c>
      <c r="D776" s="16" t="s">
        <v>389</v>
      </c>
    </row>
    <row r="777">
      <c r="A777" s="6"/>
      <c r="B777" s="16" t="s">
        <v>389</v>
      </c>
      <c r="C777" s="16" t="s">
        <v>389</v>
      </c>
      <c r="D777" s="16" t="s">
        <v>389</v>
      </c>
    </row>
    <row r="778">
      <c r="A778" s="6"/>
      <c r="B778" s="16" t="s">
        <v>389</v>
      </c>
      <c r="C778" s="16" t="s">
        <v>389</v>
      </c>
      <c r="D778" s="16" t="s">
        <v>389</v>
      </c>
    </row>
    <row r="779">
      <c r="A779" s="6"/>
      <c r="B779" s="16" t="s">
        <v>389</v>
      </c>
      <c r="C779" s="16" t="s">
        <v>389</v>
      </c>
      <c r="D779" s="16" t="s">
        <v>389</v>
      </c>
    </row>
    <row r="780">
      <c r="A780" s="6"/>
      <c r="B780" s="16" t="s">
        <v>389</v>
      </c>
      <c r="C780" s="16" t="s">
        <v>389</v>
      </c>
      <c r="D780" s="16" t="s">
        <v>389</v>
      </c>
    </row>
    <row r="781">
      <c r="A781" s="6"/>
      <c r="B781" s="16" t="s">
        <v>389</v>
      </c>
      <c r="C781" s="16" t="s">
        <v>389</v>
      </c>
      <c r="D781" s="16" t="s">
        <v>389</v>
      </c>
    </row>
    <row r="782">
      <c r="A782" s="6"/>
      <c r="B782" s="16" t="s">
        <v>389</v>
      </c>
      <c r="C782" s="16" t="s">
        <v>389</v>
      </c>
      <c r="D782" s="16" t="s">
        <v>389</v>
      </c>
    </row>
    <row r="783">
      <c r="A783" s="6"/>
      <c r="B783" s="16" t="s">
        <v>389</v>
      </c>
      <c r="C783" s="16" t="s">
        <v>389</v>
      </c>
      <c r="D783" s="16" t="s">
        <v>389</v>
      </c>
    </row>
    <row r="784">
      <c r="A784" s="6"/>
      <c r="B784" s="16" t="s">
        <v>389</v>
      </c>
      <c r="C784" s="16" t="s">
        <v>389</v>
      </c>
      <c r="D784" s="16" t="s">
        <v>389</v>
      </c>
    </row>
    <row r="785">
      <c r="A785" s="6"/>
      <c r="B785" s="16" t="s">
        <v>389</v>
      </c>
      <c r="C785" s="16" t="s">
        <v>389</v>
      </c>
      <c r="D785" s="16" t="s">
        <v>389</v>
      </c>
    </row>
    <row r="786">
      <c r="A786" s="6"/>
      <c r="B786" s="16" t="s">
        <v>389</v>
      </c>
      <c r="C786" s="16" t="s">
        <v>389</v>
      </c>
      <c r="D786" s="16" t="s">
        <v>389</v>
      </c>
    </row>
    <row r="787">
      <c r="A787" s="6"/>
      <c r="B787" s="16" t="s">
        <v>389</v>
      </c>
      <c r="C787" s="16" t="s">
        <v>389</v>
      </c>
      <c r="D787" s="16" t="s">
        <v>389</v>
      </c>
    </row>
    <row r="788">
      <c r="A788" s="6"/>
      <c r="B788" s="16" t="s">
        <v>389</v>
      </c>
      <c r="C788" s="16" t="s">
        <v>389</v>
      </c>
      <c r="D788" s="16" t="s">
        <v>389</v>
      </c>
    </row>
    <row r="789">
      <c r="A789" s="6"/>
      <c r="B789" s="16" t="s">
        <v>389</v>
      </c>
      <c r="C789" s="16" t="s">
        <v>389</v>
      </c>
      <c r="D789" s="16" t="s">
        <v>389</v>
      </c>
    </row>
    <row r="790">
      <c r="A790" s="6"/>
      <c r="B790" s="16" t="s">
        <v>389</v>
      </c>
      <c r="C790" s="16" t="s">
        <v>389</v>
      </c>
      <c r="D790" s="16" t="s">
        <v>389</v>
      </c>
    </row>
    <row r="791">
      <c r="A791" s="6"/>
      <c r="B791" s="16" t="s">
        <v>389</v>
      </c>
      <c r="C791" s="16" t="s">
        <v>389</v>
      </c>
      <c r="D791" s="16" t="s">
        <v>389</v>
      </c>
    </row>
    <row r="792">
      <c r="A792" s="6"/>
      <c r="B792" s="16" t="s">
        <v>389</v>
      </c>
      <c r="C792" s="16" t="s">
        <v>389</v>
      </c>
      <c r="D792" s="16" t="s">
        <v>389</v>
      </c>
    </row>
    <row r="793">
      <c r="A793" s="6"/>
      <c r="B793" s="16" t="s">
        <v>389</v>
      </c>
      <c r="C793" s="16" t="s">
        <v>389</v>
      </c>
      <c r="D793" s="16" t="s">
        <v>389</v>
      </c>
    </row>
    <row r="794">
      <c r="A794" s="6"/>
      <c r="B794" s="16" t="s">
        <v>389</v>
      </c>
      <c r="C794" s="16" t="s">
        <v>389</v>
      </c>
      <c r="D794" s="16" t="s">
        <v>389</v>
      </c>
    </row>
    <row r="795">
      <c r="A795" s="6"/>
      <c r="B795" s="16" t="s">
        <v>389</v>
      </c>
      <c r="C795" s="16" t="s">
        <v>389</v>
      </c>
      <c r="D795" s="16" t="s">
        <v>389</v>
      </c>
    </row>
    <row r="796">
      <c r="A796" s="6"/>
      <c r="B796" s="16" t="s">
        <v>389</v>
      </c>
      <c r="C796" s="16" t="s">
        <v>389</v>
      </c>
      <c r="D796" s="16" t="s">
        <v>389</v>
      </c>
    </row>
    <row r="797">
      <c r="A797" s="6"/>
      <c r="B797" s="16" t="s">
        <v>389</v>
      </c>
      <c r="C797" s="16" t="s">
        <v>389</v>
      </c>
      <c r="D797" s="16" t="s">
        <v>389</v>
      </c>
    </row>
    <row r="798">
      <c r="A798" s="6"/>
      <c r="B798" s="16" t="s">
        <v>389</v>
      </c>
      <c r="C798" s="16" t="s">
        <v>389</v>
      </c>
      <c r="D798" s="16" t="s">
        <v>389</v>
      </c>
    </row>
    <row r="799">
      <c r="A799" s="6"/>
      <c r="B799" s="16" t="s">
        <v>389</v>
      </c>
      <c r="C799" s="16" t="s">
        <v>389</v>
      </c>
      <c r="D799" s="16" t="s">
        <v>389</v>
      </c>
    </row>
    <row r="800">
      <c r="A800" s="6"/>
      <c r="B800" s="16" t="s">
        <v>389</v>
      </c>
      <c r="C800" s="16" t="s">
        <v>389</v>
      </c>
      <c r="D800" s="16" t="s">
        <v>389</v>
      </c>
    </row>
    <row r="801">
      <c r="A801" s="6"/>
      <c r="B801" s="16" t="s">
        <v>389</v>
      </c>
      <c r="C801" s="16" t="s">
        <v>389</v>
      </c>
      <c r="D801" s="16" t="s">
        <v>389</v>
      </c>
    </row>
    <row r="802">
      <c r="A802" s="6"/>
      <c r="B802" s="16" t="s">
        <v>389</v>
      </c>
      <c r="C802" s="16" t="s">
        <v>389</v>
      </c>
      <c r="D802" s="16" t="s">
        <v>389</v>
      </c>
    </row>
    <row r="803">
      <c r="A803" s="6"/>
      <c r="B803" s="16" t="s">
        <v>389</v>
      </c>
      <c r="C803" s="16" t="s">
        <v>389</v>
      </c>
      <c r="D803" s="16" t="s">
        <v>389</v>
      </c>
    </row>
    <row r="804">
      <c r="A804" s="6"/>
      <c r="B804" s="16" t="s">
        <v>389</v>
      </c>
      <c r="C804" s="16" t="s">
        <v>389</v>
      </c>
      <c r="D804" s="16" t="s">
        <v>389</v>
      </c>
    </row>
    <row r="805">
      <c r="A805" s="6"/>
      <c r="B805" s="16" t="s">
        <v>389</v>
      </c>
      <c r="C805" s="16" t="s">
        <v>389</v>
      </c>
      <c r="D805" s="16" t="s">
        <v>389</v>
      </c>
    </row>
    <row r="806">
      <c r="A806" s="6"/>
      <c r="B806" s="16" t="s">
        <v>389</v>
      </c>
      <c r="C806" s="16" t="s">
        <v>389</v>
      </c>
      <c r="D806" s="16" t="s">
        <v>389</v>
      </c>
    </row>
    <row r="807">
      <c r="A807" s="6"/>
      <c r="B807" s="16" t="s">
        <v>389</v>
      </c>
      <c r="C807" s="16" t="s">
        <v>389</v>
      </c>
      <c r="D807" s="16" t="s">
        <v>389</v>
      </c>
    </row>
    <row r="808">
      <c r="A808" s="6"/>
      <c r="B808" s="16" t="s">
        <v>389</v>
      </c>
      <c r="C808" s="16" t="s">
        <v>389</v>
      </c>
      <c r="D808" s="16" t="s">
        <v>389</v>
      </c>
    </row>
    <row r="809">
      <c r="A809" s="6"/>
      <c r="B809" s="16" t="s">
        <v>389</v>
      </c>
      <c r="C809" s="16" t="s">
        <v>389</v>
      </c>
      <c r="D809" s="16" t="s">
        <v>389</v>
      </c>
    </row>
    <row r="810">
      <c r="A810" s="6"/>
      <c r="B810" s="16" t="s">
        <v>389</v>
      </c>
      <c r="C810" s="16" t="s">
        <v>389</v>
      </c>
      <c r="D810" s="16" t="s">
        <v>389</v>
      </c>
    </row>
    <row r="811">
      <c r="A811" s="6"/>
      <c r="B811" s="16" t="s">
        <v>389</v>
      </c>
      <c r="C811" s="16" t="s">
        <v>389</v>
      </c>
      <c r="D811" s="16" t="s">
        <v>389</v>
      </c>
    </row>
    <row r="812">
      <c r="A812" s="6"/>
      <c r="B812" s="16" t="s">
        <v>389</v>
      </c>
      <c r="C812" s="16" t="s">
        <v>389</v>
      </c>
      <c r="D812" s="16" t="s">
        <v>389</v>
      </c>
    </row>
    <row r="813">
      <c r="A813" s="6"/>
      <c r="B813" s="16" t="s">
        <v>389</v>
      </c>
      <c r="C813" s="16" t="s">
        <v>389</v>
      </c>
      <c r="D813" s="16" t="s">
        <v>389</v>
      </c>
    </row>
    <row r="814">
      <c r="A814" s="6"/>
      <c r="B814" s="16" t="s">
        <v>389</v>
      </c>
      <c r="C814" s="16" t="s">
        <v>389</v>
      </c>
      <c r="D814" s="16" t="s">
        <v>389</v>
      </c>
    </row>
    <row r="815">
      <c r="A815" s="6"/>
      <c r="B815" s="16" t="s">
        <v>389</v>
      </c>
      <c r="C815" s="16" t="s">
        <v>389</v>
      </c>
      <c r="D815" s="16" t="s">
        <v>389</v>
      </c>
    </row>
    <row r="816">
      <c r="A816" s="6"/>
      <c r="B816" s="16" t="s">
        <v>389</v>
      </c>
      <c r="C816" s="16" t="s">
        <v>389</v>
      </c>
      <c r="D816" s="16" t="s">
        <v>389</v>
      </c>
    </row>
    <row r="817">
      <c r="A817" s="6"/>
      <c r="B817" s="16" t="s">
        <v>389</v>
      </c>
      <c r="C817" s="16" t="s">
        <v>389</v>
      </c>
      <c r="D817" s="16" t="s">
        <v>389</v>
      </c>
    </row>
    <row r="818">
      <c r="A818" s="6"/>
      <c r="B818" s="16" t="s">
        <v>389</v>
      </c>
      <c r="C818" s="16" t="s">
        <v>389</v>
      </c>
      <c r="D818" s="16" t="s">
        <v>389</v>
      </c>
    </row>
    <row r="819">
      <c r="A819" s="6"/>
      <c r="B819" s="16" t="s">
        <v>389</v>
      </c>
      <c r="C819" s="16" t="s">
        <v>389</v>
      </c>
      <c r="D819" s="16" t="s">
        <v>389</v>
      </c>
    </row>
    <row r="820">
      <c r="A820" s="6"/>
      <c r="B820" s="16" t="s">
        <v>389</v>
      </c>
      <c r="C820" s="16" t="s">
        <v>389</v>
      </c>
      <c r="D820" s="16" t="s">
        <v>389</v>
      </c>
    </row>
    <row r="821">
      <c r="A821" s="6"/>
      <c r="B821" s="16" t="s">
        <v>389</v>
      </c>
      <c r="C821" s="16" t="s">
        <v>389</v>
      </c>
      <c r="D821" s="16" t="s">
        <v>389</v>
      </c>
    </row>
    <row r="822">
      <c r="A822" s="6"/>
      <c r="B822" s="16" t="s">
        <v>389</v>
      </c>
      <c r="C822" s="16" t="s">
        <v>389</v>
      </c>
      <c r="D822" s="16" t="s">
        <v>389</v>
      </c>
    </row>
    <row r="823">
      <c r="A823" s="6"/>
      <c r="B823" s="16" t="s">
        <v>389</v>
      </c>
      <c r="C823" s="16" t="s">
        <v>389</v>
      </c>
      <c r="D823" s="16" t="s">
        <v>389</v>
      </c>
    </row>
    <row r="824">
      <c r="A824" s="6"/>
      <c r="B824" s="16" t="s">
        <v>389</v>
      </c>
      <c r="C824" s="16" t="s">
        <v>389</v>
      </c>
      <c r="D824" s="16" t="s">
        <v>389</v>
      </c>
    </row>
    <row r="825">
      <c r="A825" s="6"/>
      <c r="B825" s="16" t="s">
        <v>389</v>
      </c>
      <c r="C825" s="16" t="s">
        <v>389</v>
      </c>
      <c r="D825" s="16" t="s">
        <v>389</v>
      </c>
    </row>
    <row r="826">
      <c r="A826" s="6"/>
      <c r="B826" s="16" t="s">
        <v>389</v>
      </c>
      <c r="C826" s="16" t="s">
        <v>389</v>
      </c>
      <c r="D826" s="16" t="s">
        <v>389</v>
      </c>
    </row>
    <row r="827">
      <c r="A827" s="6"/>
      <c r="B827" s="16" t="s">
        <v>389</v>
      </c>
      <c r="C827" s="16" t="s">
        <v>389</v>
      </c>
      <c r="D827" s="16" t="s">
        <v>389</v>
      </c>
    </row>
    <row r="828">
      <c r="A828" s="6"/>
      <c r="B828" s="16" t="s">
        <v>389</v>
      </c>
      <c r="C828" s="16" t="s">
        <v>389</v>
      </c>
      <c r="D828" s="16" t="s">
        <v>389</v>
      </c>
    </row>
    <row r="829">
      <c r="A829" s="6"/>
      <c r="B829" s="16" t="s">
        <v>389</v>
      </c>
      <c r="C829" s="16" t="s">
        <v>389</v>
      </c>
      <c r="D829" s="16" t="s">
        <v>389</v>
      </c>
    </row>
    <row r="830">
      <c r="A830" s="6"/>
      <c r="B830" s="16" t="s">
        <v>389</v>
      </c>
      <c r="C830" s="16" t="s">
        <v>389</v>
      </c>
      <c r="D830" s="16" t="s">
        <v>389</v>
      </c>
    </row>
    <row r="831">
      <c r="A831" s="6"/>
      <c r="B831" s="16" t="s">
        <v>389</v>
      </c>
      <c r="C831" s="16" t="s">
        <v>389</v>
      </c>
      <c r="D831" s="16" t="s">
        <v>389</v>
      </c>
    </row>
    <row r="832">
      <c r="A832" s="6"/>
      <c r="B832" s="16" t="s">
        <v>389</v>
      </c>
      <c r="C832" s="16" t="s">
        <v>389</v>
      </c>
      <c r="D832" s="16" t="s">
        <v>389</v>
      </c>
    </row>
    <row r="833">
      <c r="A833" s="6"/>
      <c r="B833" s="16" t="s">
        <v>389</v>
      </c>
      <c r="C833" s="16" t="s">
        <v>389</v>
      </c>
      <c r="D833" s="16" t="s">
        <v>389</v>
      </c>
    </row>
    <row r="834">
      <c r="A834" s="6"/>
      <c r="B834" s="16" t="s">
        <v>389</v>
      </c>
      <c r="C834" s="16" t="s">
        <v>389</v>
      </c>
      <c r="D834" s="16" t="s">
        <v>389</v>
      </c>
    </row>
    <row r="835">
      <c r="A835" s="6"/>
      <c r="B835" s="16" t="s">
        <v>389</v>
      </c>
      <c r="C835" s="16" t="s">
        <v>389</v>
      </c>
      <c r="D835" s="16" t="s">
        <v>389</v>
      </c>
    </row>
    <row r="836">
      <c r="A836" s="6"/>
      <c r="B836" s="16" t="s">
        <v>389</v>
      </c>
      <c r="C836" s="16" t="s">
        <v>389</v>
      </c>
      <c r="D836" s="16" t="s">
        <v>389</v>
      </c>
    </row>
    <row r="837">
      <c r="A837" s="6"/>
      <c r="B837" s="16" t="s">
        <v>389</v>
      </c>
      <c r="C837" s="16" t="s">
        <v>389</v>
      </c>
      <c r="D837" s="16" t="s">
        <v>389</v>
      </c>
    </row>
    <row r="838">
      <c r="A838" s="6"/>
      <c r="B838" s="16" t="s">
        <v>389</v>
      </c>
      <c r="C838" s="16" t="s">
        <v>389</v>
      </c>
      <c r="D838" s="16" t="s">
        <v>389</v>
      </c>
    </row>
    <row r="839">
      <c r="A839" s="6"/>
      <c r="B839" s="16" t="s">
        <v>389</v>
      </c>
      <c r="C839" s="16" t="s">
        <v>389</v>
      </c>
      <c r="D839" s="16" t="s">
        <v>389</v>
      </c>
    </row>
    <row r="840">
      <c r="A840" s="6"/>
      <c r="B840" s="16" t="s">
        <v>389</v>
      </c>
      <c r="C840" s="16" t="s">
        <v>389</v>
      </c>
      <c r="D840" s="16" t="s">
        <v>389</v>
      </c>
    </row>
    <row r="841">
      <c r="A841" s="6"/>
      <c r="B841" s="16" t="s">
        <v>389</v>
      </c>
      <c r="C841" s="16" t="s">
        <v>389</v>
      </c>
      <c r="D841" s="16" t="s">
        <v>389</v>
      </c>
    </row>
    <row r="842">
      <c r="A842" s="6"/>
      <c r="B842" s="16" t="s">
        <v>389</v>
      </c>
      <c r="C842" s="16" t="s">
        <v>389</v>
      </c>
      <c r="D842" s="16" t="s">
        <v>389</v>
      </c>
    </row>
    <row r="843">
      <c r="A843" s="6"/>
      <c r="B843" s="16" t="s">
        <v>389</v>
      </c>
      <c r="C843" s="16" t="s">
        <v>389</v>
      </c>
      <c r="D843" s="16" t="s">
        <v>389</v>
      </c>
    </row>
    <row r="844">
      <c r="A844" s="6"/>
      <c r="B844" s="16" t="s">
        <v>389</v>
      </c>
      <c r="C844" s="16" t="s">
        <v>389</v>
      </c>
      <c r="D844" s="16" t="s">
        <v>389</v>
      </c>
    </row>
    <row r="845">
      <c r="A845" s="6"/>
      <c r="B845" s="16" t="s">
        <v>389</v>
      </c>
      <c r="C845" s="16" t="s">
        <v>389</v>
      </c>
      <c r="D845" s="16" t="s">
        <v>389</v>
      </c>
    </row>
    <row r="846">
      <c r="A846" s="6"/>
      <c r="B846" s="16" t="s">
        <v>389</v>
      </c>
      <c r="C846" s="16" t="s">
        <v>389</v>
      </c>
      <c r="D846" s="16" t="s">
        <v>389</v>
      </c>
    </row>
    <row r="847">
      <c r="A847" s="6"/>
      <c r="B847" s="16" t="s">
        <v>389</v>
      </c>
      <c r="C847" s="16" t="s">
        <v>389</v>
      </c>
      <c r="D847" s="16" t="s">
        <v>389</v>
      </c>
    </row>
    <row r="848">
      <c r="A848" s="6"/>
      <c r="B848" s="16" t="s">
        <v>389</v>
      </c>
      <c r="C848" s="16" t="s">
        <v>389</v>
      </c>
      <c r="D848" s="16" t="s">
        <v>389</v>
      </c>
    </row>
    <row r="849">
      <c r="A849" s="6"/>
      <c r="B849" s="16" t="s">
        <v>389</v>
      </c>
      <c r="C849" s="16" t="s">
        <v>389</v>
      </c>
      <c r="D849" s="16" t="s">
        <v>389</v>
      </c>
    </row>
    <row r="850">
      <c r="A850" s="6"/>
      <c r="B850" s="16" t="s">
        <v>389</v>
      </c>
      <c r="C850" s="16" t="s">
        <v>389</v>
      </c>
      <c r="D850" s="16" t="s">
        <v>389</v>
      </c>
    </row>
    <row r="851">
      <c r="A851" s="6"/>
      <c r="B851" s="16" t="s">
        <v>389</v>
      </c>
      <c r="C851" s="16" t="s">
        <v>389</v>
      </c>
      <c r="D851" s="16" t="s">
        <v>389</v>
      </c>
    </row>
    <row r="852">
      <c r="A852" s="6"/>
      <c r="B852" s="16" t="s">
        <v>389</v>
      </c>
      <c r="C852" s="16" t="s">
        <v>389</v>
      </c>
      <c r="D852" s="16" t="s">
        <v>389</v>
      </c>
    </row>
    <row r="853">
      <c r="A853" s="6"/>
      <c r="B853" s="16" t="s">
        <v>389</v>
      </c>
      <c r="C853" s="16" t="s">
        <v>389</v>
      </c>
      <c r="D853" s="16" t="s">
        <v>389</v>
      </c>
    </row>
    <row r="854">
      <c r="A854" s="6"/>
      <c r="B854" s="16" t="s">
        <v>389</v>
      </c>
      <c r="C854" s="16" t="s">
        <v>389</v>
      </c>
      <c r="D854" s="16" t="s">
        <v>389</v>
      </c>
    </row>
    <row r="855">
      <c r="A855" s="6"/>
      <c r="B855" s="16" t="s">
        <v>389</v>
      </c>
      <c r="C855" s="16" t="s">
        <v>389</v>
      </c>
      <c r="D855" s="16" t="s">
        <v>389</v>
      </c>
    </row>
    <row r="856">
      <c r="A856" s="6"/>
      <c r="B856" s="16" t="s">
        <v>389</v>
      </c>
      <c r="C856" s="16" t="s">
        <v>389</v>
      </c>
      <c r="D856" s="16" t="s">
        <v>389</v>
      </c>
    </row>
    <row r="857">
      <c r="A857" s="6"/>
      <c r="B857" s="16" t="s">
        <v>389</v>
      </c>
      <c r="C857" s="16" t="s">
        <v>389</v>
      </c>
      <c r="D857" s="16" t="s">
        <v>389</v>
      </c>
    </row>
    <row r="858">
      <c r="A858" s="6"/>
      <c r="B858" s="16" t="s">
        <v>389</v>
      </c>
      <c r="C858" s="16" t="s">
        <v>389</v>
      </c>
      <c r="D858" s="16" t="s">
        <v>389</v>
      </c>
    </row>
    <row r="859">
      <c r="A859" s="6"/>
      <c r="B859" s="16" t="s">
        <v>389</v>
      </c>
      <c r="C859" s="16" t="s">
        <v>389</v>
      </c>
      <c r="D859" s="16" t="s">
        <v>389</v>
      </c>
    </row>
    <row r="860">
      <c r="A860" s="6"/>
      <c r="B860" s="16" t="s">
        <v>389</v>
      </c>
      <c r="C860" s="16" t="s">
        <v>389</v>
      </c>
      <c r="D860" s="16" t="s">
        <v>389</v>
      </c>
    </row>
    <row r="861">
      <c r="A861" s="6"/>
      <c r="B861" s="16" t="s">
        <v>389</v>
      </c>
      <c r="C861" s="16" t="s">
        <v>389</v>
      </c>
      <c r="D861" s="16" t="s">
        <v>389</v>
      </c>
    </row>
    <row r="862">
      <c r="A862" s="6"/>
      <c r="B862" s="16" t="s">
        <v>389</v>
      </c>
      <c r="C862" s="16" t="s">
        <v>389</v>
      </c>
      <c r="D862" s="16" t="s">
        <v>389</v>
      </c>
    </row>
    <row r="863">
      <c r="A863" s="6"/>
      <c r="B863" s="16" t="s">
        <v>389</v>
      </c>
      <c r="C863" s="16" t="s">
        <v>389</v>
      </c>
      <c r="D863" s="16" t="s">
        <v>389</v>
      </c>
    </row>
    <row r="864">
      <c r="A864" s="6"/>
      <c r="B864" s="16" t="s">
        <v>389</v>
      </c>
      <c r="C864" s="16" t="s">
        <v>389</v>
      </c>
      <c r="D864" s="16" t="s">
        <v>389</v>
      </c>
    </row>
    <row r="865">
      <c r="A865" s="6"/>
      <c r="B865" s="16" t="s">
        <v>389</v>
      </c>
      <c r="C865" s="16" t="s">
        <v>389</v>
      </c>
      <c r="D865" s="16" t="s">
        <v>389</v>
      </c>
    </row>
    <row r="866">
      <c r="A866" s="6"/>
      <c r="B866" s="16" t="s">
        <v>389</v>
      </c>
      <c r="C866" s="16" t="s">
        <v>389</v>
      </c>
      <c r="D866" s="16" t="s">
        <v>389</v>
      </c>
    </row>
    <row r="867">
      <c r="A867" s="6"/>
      <c r="B867" s="16" t="s">
        <v>389</v>
      </c>
      <c r="C867" s="16" t="s">
        <v>389</v>
      </c>
      <c r="D867" s="16" t="s">
        <v>389</v>
      </c>
    </row>
    <row r="868">
      <c r="A868" s="6"/>
      <c r="B868" s="16" t="s">
        <v>389</v>
      </c>
      <c r="C868" s="16" t="s">
        <v>389</v>
      </c>
      <c r="D868" s="16" t="s">
        <v>389</v>
      </c>
    </row>
    <row r="869">
      <c r="A869" s="6"/>
      <c r="B869" s="16" t="s">
        <v>389</v>
      </c>
      <c r="C869" s="16" t="s">
        <v>389</v>
      </c>
      <c r="D869" s="16" t="s">
        <v>389</v>
      </c>
    </row>
    <row r="870">
      <c r="A870" s="6"/>
      <c r="B870" s="16" t="s">
        <v>389</v>
      </c>
      <c r="C870" s="16" t="s">
        <v>389</v>
      </c>
      <c r="D870" s="16" t="s">
        <v>389</v>
      </c>
    </row>
    <row r="871">
      <c r="A871" s="6"/>
      <c r="B871" s="16" t="s">
        <v>389</v>
      </c>
      <c r="C871" s="16" t="s">
        <v>389</v>
      </c>
      <c r="D871" s="16" t="s">
        <v>389</v>
      </c>
    </row>
    <row r="872">
      <c r="A872" s="6"/>
      <c r="B872" s="16" t="s">
        <v>389</v>
      </c>
      <c r="C872" s="16" t="s">
        <v>389</v>
      </c>
      <c r="D872" s="16" t="s">
        <v>389</v>
      </c>
    </row>
    <row r="873">
      <c r="A873" s="6"/>
      <c r="B873" s="16" t="s">
        <v>389</v>
      </c>
      <c r="C873" s="16" t="s">
        <v>389</v>
      </c>
      <c r="D873" s="16" t="s">
        <v>389</v>
      </c>
    </row>
    <row r="874">
      <c r="A874" s="6"/>
      <c r="B874" s="16" t="s">
        <v>389</v>
      </c>
      <c r="C874" s="16" t="s">
        <v>389</v>
      </c>
      <c r="D874" s="16" t="s">
        <v>389</v>
      </c>
    </row>
    <row r="875">
      <c r="A875" s="6"/>
      <c r="B875" s="16" t="s">
        <v>389</v>
      </c>
      <c r="C875" s="16" t="s">
        <v>389</v>
      </c>
      <c r="D875" s="16" t="s">
        <v>389</v>
      </c>
    </row>
    <row r="876">
      <c r="A876" s="6"/>
      <c r="B876" s="16" t="s">
        <v>389</v>
      </c>
      <c r="C876" s="16" t="s">
        <v>389</v>
      </c>
      <c r="D876" s="16" t="s">
        <v>389</v>
      </c>
    </row>
    <row r="877">
      <c r="A877" s="6"/>
      <c r="B877" s="16" t="s">
        <v>389</v>
      </c>
      <c r="C877" s="16" t="s">
        <v>389</v>
      </c>
      <c r="D877" s="16" t="s">
        <v>389</v>
      </c>
    </row>
    <row r="878">
      <c r="A878" s="6"/>
      <c r="B878" s="16" t="s">
        <v>389</v>
      </c>
      <c r="C878" s="16" t="s">
        <v>389</v>
      </c>
      <c r="D878" s="16" t="s">
        <v>389</v>
      </c>
    </row>
    <row r="879">
      <c r="A879" s="6"/>
      <c r="B879" s="16" t="s">
        <v>389</v>
      </c>
      <c r="C879" s="16" t="s">
        <v>389</v>
      </c>
      <c r="D879" s="16" t="s">
        <v>389</v>
      </c>
    </row>
    <row r="880">
      <c r="A880" s="6"/>
      <c r="B880" s="16" t="s">
        <v>389</v>
      </c>
      <c r="C880" s="16" t="s">
        <v>389</v>
      </c>
      <c r="D880" s="16" t="s">
        <v>389</v>
      </c>
    </row>
    <row r="881">
      <c r="A881" s="6"/>
      <c r="B881" s="16" t="s">
        <v>389</v>
      </c>
      <c r="C881" s="16" t="s">
        <v>389</v>
      </c>
      <c r="D881" s="16" t="s">
        <v>389</v>
      </c>
    </row>
    <row r="882">
      <c r="A882" s="6"/>
      <c r="B882" s="16" t="s">
        <v>389</v>
      </c>
      <c r="C882" s="16" t="s">
        <v>389</v>
      </c>
      <c r="D882" s="16" t="s">
        <v>389</v>
      </c>
    </row>
    <row r="883">
      <c r="A883" s="6"/>
      <c r="B883" s="16" t="s">
        <v>389</v>
      </c>
      <c r="C883" s="16" t="s">
        <v>389</v>
      </c>
      <c r="D883" s="16" t="s">
        <v>389</v>
      </c>
    </row>
    <row r="884">
      <c r="A884" s="6"/>
      <c r="B884" s="16" t="s">
        <v>389</v>
      </c>
      <c r="C884" s="16" t="s">
        <v>389</v>
      </c>
      <c r="D884" s="16" t="s">
        <v>389</v>
      </c>
    </row>
    <row r="885">
      <c r="A885" s="6"/>
      <c r="B885" s="16" t="s">
        <v>389</v>
      </c>
      <c r="C885" s="16" t="s">
        <v>389</v>
      </c>
      <c r="D885" s="16" t="s">
        <v>389</v>
      </c>
    </row>
    <row r="886">
      <c r="A886" s="6"/>
      <c r="B886" s="16" t="s">
        <v>389</v>
      </c>
      <c r="C886" s="16" t="s">
        <v>389</v>
      </c>
      <c r="D886" s="16" t="s">
        <v>389</v>
      </c>
    </row>
    <row r="887">
      <c r="A887" s="6"/>
      <c r="B887" s="16" t="s">
        <v>389</v>
      </c>
      <c r="C887" s="16" t="s">
        <v>389</v>
      </c>
      <c r="D887" s="16" t="s">
        <v>389</v>
      </c>
    </row>
    <row r="888">
      <c r="A888" s="6"/>
      <c r="B888" s="16" t="s">
        <v>389</v>
      </c>
      <c r="C888" s="16" t="s">
        <v>389</v>
      </c>
      <c r="D888" s="16" t="s">
        <v>389</v>
      </c>
    </row>
    <row r="889">
      <c r="A889" s="6"/>
      <c r="B889" s="16" t="s">
        <v>389</v>
      </c>
      <c r="C889" s="16" t="s">
        <v>389</v>
      </c>
      <c r="D889" s="16" t="s">
        <v>389</v>
      </c>
    </row>
    <row r="890">
      <c r="A890" s="6"/>
      <c r="B890" s="16" t="s">
        <v>389</v>
      </c>
      <c r="C890" s="16" t="s">
        <v>389</v>
      </c>
      <c r="D890" s="16" t="s">
        <v>389</v>
      </c>
    </row>
    <row r="891">
      <c r="A891" s="6"/>
      <c r="B891" s="16" t="s">
        <v>389</v>
      </c>
      <c r="C891" s="16" t="s">
        <v>389</v>
      </c>
      <c r="D891" s="16" t="s">
        <v>389</v>
      </c>
    </row>
    <row r="892">
      <c r="A892" s="6"/>
      <c r="B892" s="16" t="s">
        <v>389</v>
      </c>
      <c r="C892" s="16" t="s">
        <v>389</v>
      </c>
      <c r="D892" s="16" t="s">
        <v>389</v>
      </c>
    </row>
    <row r="893">
      <c r="A893" s="6"/>
      <c r="B893" s="16" t="s">
        <v>389</v>
      </c>
      <c r="C893" s="16" t="s">
        <v>389</v>
      </c>
      <c r="D893" s="16" t="s">
        <v>389</v>
      </c>
    </row>
    <row r="894">
      <c r="A894" s="6"/>
      <c r="B894" s="16" t="s">
        <v>389</v>
      </c>
      <c r="C894" s="16" t="s">
        <v>389</v>
      </c>
      <c r="D894" s="16" t="s">
        <v>389</v>
      </c>
    </row>
    <row r="895">
      <c r="A895" s="6"/>
      <c r="B895" s="16" t="s">
        <v>389</v>
      </c>
      <c r="C895" s="16" t="s">
        <v>389</v>
      </c>
      <c r="D895" s="16" t="s">
        <v>389</v>
      </c>
    </row>
    <row r="896">
      <c r="A896" s="6"/>
      <c r="B896" s="16" t="s">
        <v>389</v>
      </c>
      <c r="C896" s="16" t="s">
        <v>389</v>
      </c>
      <c r="D896" s="16" t="s">
        <v>389</v>
      </c>
    </row>
    <row r="897">
      <c r="A897" s="6"/>
      <c r="B897" s="16" t="s">
        <v>389</v>
      </c>
      <c r="C897" s="16" t="s">
        <v>389</v>
      </c>
      <c r="D897" s="16" t="s">
        <v>389</v>
      </c>
    </row>
    <row r="898">
      <c r="A898" s="6"/>
      <c r="B898" s="16" t="s">
        <v>389</v>
      </c>
      <c r="C898" s="16" t="s">
        <v>389</v>
      </c>
      <c r="D898" s="16" t="s">
        <v>389</v>
      </c>
    </row>
    <row r="899">
      <c r="A899" s="6"/>
      <c r="B899" s="16" t="s">
        <v>389</v>
      </c>
      <c r="C899" s="16" t="s">
        <v>389</v>
      </c>
      <c r="D899" s="16" t="s">
        <v>389</v>
      </c>
    </row>
    <row r="900">
      <c r="A900" s="6"/>
      <c r="B900" s="16" t="s">
        <v>389</v>
      </c>
      <c r="C900" s="16" t="s">
        <v>389</v>
      </c>
      <c r="D900" s="16" t="s">
        <v>389</v>
      </c>
    </row>
    <row r="901">
      <c r="A901" s="6"/>
      <c r="B901" s="16" t="s">
        <v>389</v>
      </c>
      <c r="C901" s="16" t="s">
        <v>389</v>
      </c>
      <c r="D901" s="16" t="s">
        <v>389</v>
      </c>
    </row>
    <row r="902">
      <c r="A902" s="6"/>
      <c r="B902" s="16" t="s">
        <v>389</v>
      </c>
      <c r="C902" s="16" t="s">
        <v>389</v>
      </c>
      <c r="D902" s="16" t="s">
        <v>389</v>
      </c>
    </row>
    <row r="903">
      <c r="A903" s="6"/>
      <c r="B903" s="16" t="s">
        <v>389</v>
      </c>
      <c r="C903" s="16" t="s">
        <v>389</v>
      </c>
      <c r="D903" s="16" t="s">
        <v>389</v>
      </c>
    </row>
    <row r="904">
      <c r="A904" s="6"/>
      <c r="B904" s="16" t="s">
        <v>389</v>
      </c>
      <c r="C904" s="16" t="s">
        <v>389</v>
      </c>
      <c r="D904" s="16" t="s">
        <v>389</v>
      </c>
    </row>
    <row r="905">
      <c r="A905" s="6"/>
      <c r="B905" s="16" t="s">
        <v>389</v>
      </c>
      <c r="C905" s="16" t="s">
        <v>389</v>
      </c>
      <c r="D905" s="16" t="s">
        <v>389</v>
      </c>
    </row>
    <row r="906">
      <c r="A906" s="6"/>
      <c r="B906" s="16" t="s">
        <v>389</v>
      </c>
      <c r="C906" s="16" t="s">
        <v>389</v>
      </c>
      <c r="D906" s="16" t="s">
        <v>389</v>
      </c>
    </row>
    <row r="907">
      <c r="A907" s="6"/>
      <c r="B907" s="16" t="s">
        <v>389</v>
      </c>
      <c r="C907" s="16" t="s">
        <v>389</v>
      </c>
      <c r="D907" s="16" t="s">
        <v>389</v>
      </c>
    </row>
    <row r="908">
      <c r="A908" s="6"/>
      <c r="B908" s="16" t="s">
        <v>389</v>
      </c>
      <c r="C908" s="16" t="s">
        <v>389</v>
      </c>
      <c r="D908" s="16" t="s">
        <v>389</v>
      </c>
    </row>
    <row r="909">
      <c r="A909" s="6"/>
      <c r="B909" s="16" t="s">
        <v>389</v>
      </c>
      <c r="C909" s="16" t="s">
        <v>389</v>
      </c>
      <c r="D909" s="16" t="s">
        <v>389</v>
      </c>
    </row>
    <row r="910">
      <c r="A910" s="6"/>
      <c r="B910" s="16" t="s">
        <v>389</v>
      </c>
      <c r="C910" s="16" t="s">
        <v>389</v>
      </c>
      <c r="D910" s="16" t="s">
        <v>389</v>
      </c>
    </row>
    <row r="911">
      <c r="A911" s="6"/>
      <c r="B911" s="16" t="s">
        <v>389</v>
      </c>
      <c r="C911" s="16" t="s">
        <v>389</v>
      </c>
      <c r="D911" s="16" t="s">
        <v>389</v>
      </c>
    </row>
    <row r="912">
      <c r="A912" s="6"/>
      <c r="B912" s="16" t="s">
        <v>389</v>
      </c>
      <c r="C912" s="16" t="s">
        <v>389</v>
      </c>
      <c r="D912" s="16" t="s">
        <v>389</v>
      </c>
    </row>
    <row r="913">
      <c r="A913" s="6"/>
      <c r="B913" s="16" t="s">
        <v>389</v>
      </c>
      <c r="C913" s="16" t="s">
        <v>389</v>
      </c>
      <c r="D913" s="16" t="s">
        <v>389</v>
      </c>
    </row>
    <row r="914">
      <c r="A914" s="6"/>
      <c r="B914" s="16" t="s">
        <v>389</v>
      </c>
      <c r="C914" s="16" t="s">
        <v>389</v>
      </c>
      <c r="D914" s="16" t="s">
        <v>389</v>
      </c>
    </row>
    <row r="915">
      <c r="A915" s="6"/>
      <c r="B915" s="16" t="s">
        <v>389</v>
      </c>
      <c r="C915" s="16" t="s">
        <v>389</v>
      </c>
      <c r="D915" s="16" t="s">
        <v>389</v>
      </c>
    </row>
    <row r="916">
      <c r="A916" s="6"/>
      <c r="B916" s="16" t="s">
        <v>389</v>
      </c>
      <c r="C916" s="16" t="s">
        <v>389</v>
      </c>
      <c r="D916" s="16" t="s">
        <v>389</v>
      </c>
    </row>
    <row r="917">
      <c r="A917" s="6"/>
      <c r="B917" s="16" t="s">
        <v>389</v>
      </c>
      <c r="C917" s="16" t="s">
        <v>389</v>
      </c>
      <c r="D917" s="16" t="s">
        <v>389</v>
      </c>
    </row>
    <row r="918">
      <c r="A918" s="6"/>
      <c r="B918" s="16" t="s">
        <v>389</v>
      </c>
      <c r="C918" s="16" t="s">
        <v>389</v>
      </c>
      <c r="D918" s="16" t="s">
        <v>389</v>
      </c>
    </row>
    <row r="919">
      <c r="A919" s="6"/>
      <c r="B919" s="16" t="s">
        <v>389</v>
      </c>
      <c r="C919" s="16" t="s">
        <v>389</v>
      </c>
      <c r="D919" s="16" t="s">
        <v>389</v>
      </c>
    </row>
    <row r="920">
      <c r="A920" s="6"/>
      <c r="B920" s="16" t="s">
        <v>389</v>
      </c>
      <c r="C920" s="16" t="s">
        <v>389</v>
      </c>
      <c r="D920" s="16" t="s">
        <v>389</v>
      </c>
    </row>
    <row r="921">
      <c r="A921" s="6"/>
      <c r="B921" s="16" t="s">
        <v>389</v>
      </c>
      <c r="C921" s="16" t="s">
        <v>389</v>
      </c>
      <c r="D921" s="16" t="s">
        <v>389</v>
      </c>
    </row>
    <row r="922">
      <c r="A922" s="6"/>
      <c r="B922" s="16" t="s">
        <v>389</v>
      </c>
      <c r="C922" s="16" t="s">
        <v>389</v>
      </c>
      <c r="D922" s="16" t="s">
        <v>389</v>
      </c>
    </row>
    <row r="923">
      <c r="A923" s="6"/>
      <c r="B923" s="16" t="s">
        <v>389</v>
      </c>
      <c r="C923" s="16" t="s">
        <v>389</v>
      </c>
      <c r="D923" s="16" t="s">
        <v>389</v>
      </c>
    </row>
    <row r="924">
      <c r="A924" s="6"/>
      <c r="B924" s="16" t="s">
        <v>389</v>
      </c>
      <c r="C924" s="16" t="s">
        <v>389</v>
      </c>
      <c r="D924" s="16" t="s">
        <v>389</v>
      </c>
    </row>
    <row r="925">
      <c r="A925" s="6"/>
      <c r="B925" s="16" t="s">
        <v>389</v>
      </c>
      <c r="C925" s="16" t="s">
        <v>389</v>
      </c>
      <c r="D925" s="16" t="s">
        <v>389</v>
      </c>
    </row>
    <row r="926">
      <c r="A926" s="6"/>
      <c r="B926" s="16" t="s">
        <v>389</v>
      </c>
      <c r="C926" s="16" t="s">
        <v>389</v>
      </c>
      <c r="D926" s="16" t="s">
        <v>389</v>
      </c>
    </row>
    <row r="927">
      <c r="A927" s="6"/>
      <c r="B927" s="16" t="s">
        <v>389</v>
      </c>
      <c r="C927" s="16" t="s">
        <v>389</v>
      </c>
      <c r="D927" s="16" t="s">
        <v>389</v>
      </c>
    </row>
    <row r="928">
      <c r="A928" s="6"/>
      <c r="B928" s="16" t="s">
        <v>389</v>
      </c>
      <c r="C928" s="16" t="s">
        <v>389</v>
      </c>
      <c r="D928" s="16" t="s">
        <v>389</v>
      </c>
    </row>
    <row r="929">
      <c r="A929" s="6"/>
      <c r="B929" s="16" t="s">
        <v>389</v>
      </c>
      <c r="C929" s="16" t="s">
        <v>389</v>
      </c>
      <c r="D929" s="16" t="s">
        <v>389</v>
      </c>
    </row>
    <row r="930">
      <c r="A930" s="6"/>
      <c r="B930" s="16" t="s">
        <v>389</v>
      </c>
      <c r="C930" s="16" t="s">
        <v>389</v>
      </c>
      <c r="D930" s="16" t="s">
        <v>389</v>
      </c>
    </row>
    <row r="931">
      <c r="A931" s="6"/>
      <c r="B931" s="16" t="s">
        <v>389</v>
      </c>
      <c r="C931" s="16" t="s">
        <v>389</v>
      </c>
      <c r="D931" s="16" t="s">
        <v>389</v>
      </c>
    </row>
    <row r="932">
      <c r="A932" s="6"/>
      <c r="B932" s="16" t="s">
        <v>389</v>
      </c>
      <c r="C932" s="16" t="s">
        <v>389</v>
      </c>
      <c r="D932" s="16" t="s">
        <v>389</v>
      </c>
    </row>
    <row r="933">
      <c r="A933" s="6"/>
      <c r="B933" s="16" t="s">
        <v>389</v>
      </c>
      <c r="C933" s="16" t="s">
        <v>389</v>
      </c>
      <c r="D933" s="16" t="s">
        <v>389</v>
      </c>
    </row>
    <row r="934">
      <c r="A934" s="6"/>
      <c r="B934" s="16" t="s">
        <v>389</v>
      </c>
      <c r="C934" s="16" t="s">
        <v>389</v>
      </c>
      <c r="D934" s="16" t="s">
        <v>389</v>
      </c>
    </row>
    <row r="935">
      <c r="A935" s="6"/>
      <c r="B935" s="16" t="s">
        <v>389</v>
      </c>
      <c r="C935" s="16" t="s">
        <v>389</v>
      </c>
      <c r="D935" s="16" t="s">
        <v>389</v>
      </c>
    </row>
    <row r="936">
      <c r="A936" s="6"/>
      <c r="B936" s="16" t="s">
        <v>389</v>
      </c>
      <c r="C936" s="16" t="s">
        <v>389</v>
      </c>
      <c r="D936" s="16" t="s">
        <v>389</v>
      </c>
    </row>
    <row r="937">
      <c r="A937" s="6"/>
      <c r="B937" s="16" t="s">
        <v>389</v>
      </c>
      <c r="C937" s="16" t="s">
        <v>389</v>
      </c>
      <c r="D937" s="16" t="s">
        <v>389</v>
      </c>
    </row>
    <row r="938">
      <c r="A938" s="6"/>
      <c r="B938" s="16" t="s">
        <v>389</v>
      </c>
      <c r="C938" s="16" t="s">
        <v>389</v>
      </c>
      <c r="D938" s="16" t="s">
        <v>389</v>
      </c>
    </row>
    <row r="939">
      <c r="A939" s="6"/>
      <c r="B939" s="16" t="s">
        <v>389</v>
      </c>
      <c r="C939" s="16" t="s">
        <v>389</v>
      </c>
      <c r="D939" s="16" t="s">
        <v>389</v>
      </c>
    </row>
    <row r="940">
      <c r="A940" s="6"/>
      <c r="B940" s="16" t="s">
        <v>389</v>
      </c>
      <c r="C940" s="16" t="s">
        <v>389</v>
      </c>
      <c r="D940" s="16" t="s">
        <v>389</v>
      </c>
    </row>
    <row r="941">
      <c r="A941" s="6"/>
      <c r="B941" s="16" t="s">
        <v>389</v>
      </c>
      <c r="C941" s="16" t="s">
        <v>389</v>
      </c>
      <c r="D941" s="16" t="s">
        <v>389</v>
      </c>
    </row>
    <row r="942">
      <c r="A942" s="6"/>
      <c r="B942" s="16" t="s">
        <v>389</v>
      </c>
      <c r="C942" s="16" t="s">
        <v>389</v>
      </c>
      <c r="D942" s="16" t="s">
        <v>389</v>
      </c>
    </row>
    <row r="943">
      <c r="A943" s="6"/>
      <c r="B943" s="16" t="s">
        <v>389</v>
      </c>
      <c r="C943" s="16" t="s">
        <v>389</v>
      </c>
      <c r="D943" s="16" t="s">
        <v>389</v>
      </c>
    </row>
    <row r="944">
      <c r="A944" s="6"/>
      <c r="B944" s="16" t="s">
        <v>389</v>
      </c>
      <c r="C944" s="16" t="s">
        <v>389</v>
      </c>
      <c r="D944" s="16" t="s">
        <v>389</v>
      </c>
    </row>
    <row r="945">
      <c r="A945" s="6"/>
      <c r="B945" s="16" t="s">
        <v>389</v>
      </c>
      <c r="C945" s="16" t="s">
        <v>389</v>
      </c>
      <c r="D945" s="16" t="s">
        <v>389</v>
      </c>
    </row>
    <row r="946">
      <c r="A946" s="6"/>
      <c r="B946" s="16" t="s">
        <v>389</v>
      </c>
      <c r="C946" s="16" t="s">
        <v>389</v>
      </c>
      <c r="D946" s="16" t="s">
        <v>389</v>
      </c>
    </row>
    <row r="947">
      <c r="A947" s="6"/>
      <c r="B947" s="16" t="s">
        <v>389</v>
      </c>
      <c r="C947" s="16" t="s">
        <v>389</v>
      </c>
      <c r="D947" s="16" t="s">
        <v>389</v>
      </c>
    </row>
    <row r="948">
      <c r="A948" s="6"/>
      <c r="B948" s="16" t="s">
        <v>389</v>
      </c>
      <c r="C948" s="16" t="s">
        <v>389</v>
      </c>
      <c r="D948" s="16" t="s">
        <v>389</v>
      </c>
    </row>
    <row r="949">
      <c r="A949" s="6"/>
      <c r="B949" s="16" t="s">
        <v>389</v>
      </c>
      <c r="C949" s="16" t="s">
        <v>389</v>
      </c>
      <c r="D949" s="16" t="s">
        <v>389</v>
      </c>
    </row>
    <row r="950">
      <c r="A950" s="6"/>
      <c r="B950" s="16" t="s">
        <v>389</v>
      </c>
      <c r="C950" s="16" t="s">
        <v>389</v>
      </c>
      <c r="D950" s="16" t="s">
        <v>389</v>
      </c>
    </row>
    <row r="951">
      <c r="A951" s="6"/>
      <c r="B951" s="16" t="s">
        <v>389</v>
      </c>
      <c r="C951" s="16" t="s">
        <v>389</v>
      </c>
      <c r="D951" s="16" t="s">
        <v>389</v>
      </c>
    </row>
    <row r="952">
      <c r="A952" s="6"/>
      <c r="B952" s="16" t="s">
        <v>389</v>
      </c>
      <c r="C952" s="16" t="s">
        <v>389</v>
      </c>
      <c r="D952" s="16" t="s">
        <v>389</v>
      </c>
    </row>
    <row r="953">
      <c r="A953" s="6"/>
      <c r="B953" s="16" t="s">
        <v>389</v>
      </c>
      <c r="C953" s="16" t="s">
        <v>389</v>
      </c>
      <c r="D953" s="16" t="s">
        <v>389</v>
      </c>
    </row>
    <row r="954">
      <c r="A954" s="6"/>
      <c r="B954" s="16" t="s">
        <v>389</v>
      </c>
      <c r="C954" s="16" t="s">
        <v>389</v>
      </c>
      <c r="D954" s="16" t="s">
        <v>389</v>
      </c>
    </row>
    <row r="955">
      <c r="A955" s="6"/>
      <c r="B955" s="16" t="s">
        <v>389</v>
      </c>
      <c r="C955" s="16" t="s">
        <v>389</v>
      </c>
      <c r="D955" s="16" t="s">
        <v>389</v>
      </c>
    </row>
    <row r="956">
      <c r="A956" s="6"/>
      <c r="B956" s="16" t="s">
        <v>389</v>
      </c>
      <c r="C956" s="16" t="s">
        <v>389</v>
      </c>
      <c r="D956" s="16" t="s">
        <v>389</v>
      </c>
    </row>
    <row r="957">
      <c r="A957" s="6"/>
      <c r="B957" s="16" t="s">
        <v>389</v>
      </c>
      <c r="C957" s="16" t="s">
        <v>389</v>
      </c>
      <c r="D957" s="16" t="s">
        <v>389</v>
      </c>
    </row>
    <row r="958">
      <c r="A958" s="6"/>
      <c r="B958" s="16" t="s">
        <v>389</v>
      </c>
      <c r="C958" s="16" t="s">
        <v>389</v>
      </c>
      <c r="D958" s="16" t="s">
        <v>389</v>
      </c>
    </row>
    <row r="959">
      <c r="A959" s="6"/>
      <c r="B959" s="16" t="s">
        <v>389</v>
      </c>
      <c r="C959" s="16" t="s">
        <v>389</v>
      </c>
      <c r="D959" s="16" t="s">
        <v>389</v>
      </c>
    </row>
    <row r="960">
      <c r="A960" s="6"/>
      <c r="B960" s="16" t="s">
        <v>389</v>
      </c>
      <c r="C960" s="16" t="s">
        <v>389</v>
      </c>
      <c r="D960" s="16" t="s">
        <v>389</v>
      </c>
    </row>
    <row r="961">
      <c r="A961" s="6"/>
      <c r="B961" s="16" t="s">
        <v>389</v>
      </c>
      <c r="C961" s="16" t="s">
        <v>389</v>
      </c>
      <c r="D961" s="16" t="s">
        <v>389</v>
      </c>
    </row>
    <row r="962">
      <c r="A962" s="6"/>
      <c r="B962" s="16" t="s">
        <v>389</v>
      </c>
      <c r="C962" s="16" t="s">
        <v>389</v>
      </c>
      <c r="D962" s="16" t="s">
        <v>389</v>
      </c>
    </row>
    <row r="963">
      <c r="A963" s="6"/>
      <c r="B963" s="16" t="s">
        <v>389</v>
      </c>
      <c r="C963" s="16" t="s">
        <v>389</v>
      </c>
      <c r="D963" s="16" t="s">
        <v>389</v>
      </c>
    </row>
    <row r="964">
      <c r="A964" s="6"/>
      <c r="B964" s="16" t="s">
        <v>389</v>
      </c>
      <c r="C964" s="16" t="s">
        <v>389</v>
      </c>
      <c r="D964" s="16" t="s">
        <v>389</v>
      </c>
    </row>
    <row r="965">
      <c r="A965" s="6"/>
      <c r="B965" s="16" t="s">
        <v>389</v>
      </c>
      <c r="C965" s="16" t="s">
        <v>389</v>
      </c>
      <c r="D965" s="16" t="s">
        <v>389</v>
      </c>
    </row>
    <row r="966">
      <c r="A966" s="6"/>
      <c r="B966" s="16" t="s">
        <v>389</v>
      </c>
      <c r="C966" s="16" t="s">
        <v>389</v>
      </c>
      <c r="D966" s="16" t="s">
        <v>389</v>
      </c>
    </row>
    <row r="967">
      <c r="A967" s="6"/>
      <c r="B967" s="16" t="s">
        <v>389</v>
      </c>
      <c r="C967" s="16" t="s">
        <v>389</v>
      </c>
      <c r="D967" s="16" t="s">
        <v>389</v>
      </c>
    </row>
    <row r="968">
      <c r="A968" s="6"/>
      <c r="B968" s="16" t="s">
        <v>389</v>
      </c>
      <c r="C968" s="16" t="s">
        <v>389</v>
      </c>
      <c r="D968" s="16" t="s">
        <v>389</v>
      </c>
    </row>
    <row r="969">
      <c r="A969" s="6"/>
      <c r="B969" s="16" t="s">
        <v>389</v>
      </c>
      <c r="C969" s="16" t="s">
        <v>389</v>
      </c>
      <c r="D969" s="16" t="s">
        <v>389</v>
      </c>
    </row>
    <row r="970">
      <c r="A970" s="6"/>
      <c r="B970" s="16" t="s">
        <v>389</v>
      </c>
      <c r="C970" s="16" t="s">
        <v>389</v>
      </c>
      <c r="D970" s="16" t="s">
        <v>389</v>
      </c>
    </row>
    <row r="971">
      <c r="A971" s="6"/>
      <c r="B971" s="16" t="s">
        <v>389</v>
      </c>
      <c r="C971" s="16" t="s">
        <v>389</v>
      </c>
      <c r="D971" s="16" t="s">
        <v>389</v>
      </c>
    </row>
    <row r="972">
      <c r="A972" s="6"/>
      <c r="B972" s="16" t="s">
        <v>389</v>
      </c>
      <c r="C972" s="16" t="s">
        <v>389</v>
      </c>
      <c r="D972" s="16" t="s">
        <v>389</v>
      </c>
    </row>
    <row r="973">
      <c r="A973" s="6"/>
      <c r="B973" s="16" t="s">
        <v>389</v>
      </c>
      <c r="C973" s="16" t="s">
        <v>389</v>
      </c>
      <c r="D973" s="16" t="s">
        <v>389</v>
      </c>
    </row>
    <row r="974">
      <c r="A974" s="6"/>
      <c r="B974" s="16" t="s">
        <v>389</v>
      </c>
      <c r="C974" s="16" t="s">
        <v>389</v>
      </c>
      <c r="D974" s="16" t="s">
        <v>389</v>
      </c>
    </row>
    <row r="975">
      <c r="A975" s="6"/>
      <c r="B975" s="16" t="s">
        <v>389</v>
      </c>
      <c r="C975" s="16" t="s">
        <v>389</v>
      </c>
      <c r="D975" s="16" t="s">
        <v>389</v>
      </c>
    </row>
    <row r="976">
      <c r="A976" s="6"/>
      <c r="B976" s="16" t="s">
        <v>389</v>
      </c>
      <c r="C976" s="16" t="s">
        <v>389</v>
      </c>
      <c r="D976" s="16" t="s">
        <v>389</v>
      </c>
    </row>
    <row r="977">
      <c r="A977" s="6"/>
      <c r="B977" s="16" t="s">
        <v>389</v>
      </c>
      <c r="C977" s="16" t="s">
        <v>389</v>
      </c>
      <c r="D977" s="16" t="s">
        <v>389</v>
      </c>
    </row>
    <row r="978">
      <c r="A978" s="6"/>
      <c r="B978" s="16" t="s">
        <v>389</v>
      </c>
      <c r="C978" s="16" t="s">
        <v>389</v>
      </c>
      <c r="D978" s="16" t="s">
        <v>389</v>
      </c>
    </row>
    <row r="979">
      <c r="A979" s="6"/>
      <c r="B979" s="16" t="s">
        <v>389</v>
      </c>
      <c r="C979" s="16" t="s">
        <v>389</v>
      </c>
      <c r="D979" s="16" t="s">
        <v>389</v>
      </c>
    </row>
    <row r="980">
      <c r="A980" s="6"/>
      <c r="B980" s="16" t="s">
        <v>389</v>
      </c>
      <c r="C980" s="16" t="s">
        <v>389</v>
      </c>
      <c r="D980" s="16" t="s">
        <v>389</v>
      </c>
    </row>
    <row r="981">
      <c r="A981" s="6"/>
      <c r="B981" s="16" t="s">
        <v>389</v>
      </c>
      <c r="C981" s="16" t="s">
        <v>389</v>
      </c>
      <c r="D981" s="16" t="s">
        <v>389</v>
      </c>
    </row>
    <row r="982">
      <c r="A982" s="6"/>
      <c r="B982" s="16" t="s">
        <v>389</v>
      </c>
      <c r="C982" s="16" t="s">
        <v>389</v>
      </c>
      <c r="D982" s="16" t="s">
        <v>389</v>
      </c>
    </row>
    <row r="983">
      <c r="A983" s="6"/>
      <c r="B983" s="16" t="s">
        <v>389</v>
      </c>
      <c r="C983" s="16" t="s">
        <v>389</v>
      </c>
      <c r="D983" s="16" t="s">
        <v>389</v>
      </c>
    </row>
    <row r="984">
      <c r="A984" s="6"/>
      <c r="B984" s="16" t="s">
        <v>389</v>
      </c>
      <c r="C984" s="16" t="s">
        <v>389</v>
      </c>
      <c r="D984" s="16" t="s">
        <v>389</v>
      </c>
    </row>
    <row r="985">
      <c r="A985" s="6"/>
      <c r="B985" s="16" t="s">
        <v>389</v>
      </c>
      <c r="C985" s="16" t="s">
        <v>389</v>
      </c>
      <c r="D985" s="16" t="s">
        <v>389</v>
      </c>
    </row>
    <row r="986">
      <c r="A986" s="6"/>
      <c r="B986" s="16" t="s">
        <v>389</v>
      </c>
      <c r="C986" s="16" t="s">
        <v>389</v>
      </c>
      <c r="D986" s="16" t="s">
        <v>389</v>
      </c>
    </row>
    <row r="987">
      <c r="A987" s="6"/>
      <c r="B987" s="16" t="s">
        <v>389</v>
      </c>
      <c r="C987" s="16" t="s">
        <v>389</v>
      </c>
      <c r="D987" s="16" t="s">
        <v>389</v>
      </c>
    </row>
    <row r="988">
      <c r="A988" s="6"/>
      <c r="B988" s="16" t="s">
        <v>389</v>
      </c>
      <c r="C988" s="16" t="s">
        <v>389</v>
      </c>
      <c r="D988" s="16" t="s">
        <v>389</v>
      </c>
    </row>
    <row r="989">
      <c r="A989" s="6"/>
      <c r="B989" s="16" t="s">
        <v>389</v>
      </c>
      <c r="C989" s="16" t="s">
        <v>389</v>
      </c>
      <c r="D989" s="16" t="s">
        <v>389</v>
      </c>
    </row>
    <row r="990">
      <c r="A990" s="6"/>
      <c r="B990" s="16" t="s">
        <v>389</v>
      </c>
      <c r="C990" s="16" t="s">
        <v>389</v>
      </c>
      <c r="D990" s="16" t="s">
        <v>389</v>
      </c>
    </row>
    <row r="991">
      <c r="A991" s="6"/>
      <c r="B991" s="16" t="s">
        <v>389</v>
      </c>
      <c r="C991" s="16" t="s">
        <v>389</v>
      </c>
      <c r="D991" s="16" t="s">
        <v>389</v>
      </c>
    </row>
    <row r="992">
      <c r="A992" s="6"/>
      <c r="B992" s="16" t="s">
        <v>389</v>
      </c>
      <c r="C992" s="16" t="s">
        <v>389</v>
      </c>
      <c r="D992" s="16" t="s">
        <v>389</v>
      </c>
    </row>
    <row r="993">
      <c r="A993" s="6"/>
      <c r="B993" s="16" t="s">
        <v>389</v>
      </c>
      <c r="C993" s="16" t="s">
        <v>389</v>
      </c>
      <c r="D993" s="16" t="s">
        <v>389</v>
      </c>
    </row>
    <row r="994">
      <c r="A994" s="6"/>
      <c r="B994" s="16" t="s">
        <v>389</v>
      </c>
      <c r="C994" s="16" t="s">
        <v>389</v>
      </c>
      <c r="D994" s="16" t="s">
        <v>389</v>
      </c>
    </row>
    <row r="995">
      <c r="A995" s="6"/>
      <c r="B995" s="16" t="s">
        <v>389</v>
      </c>
      <c r="C995" s="16" t="s">
        <v>389</v>
      </c>
      <c r="D995" s="16" t="s">
        <v>389</v>
      </c>
    </row>
    <row r="996">
      <c r="A996" s="6"/>
      <c r="B996" s="16" t="s">
        <v>389</v>
      </c>
      <c r="C996" s="16" t="s">
        <v>389</v>
      </c>
      <c r="D996" s="16" t="s">
        <v>389</v>
      </c>
    </row>
    <row r="997">
      <c r="A997" s="6"/>
      <c r="B997" s="16" t="s">
        <v>389</v>
      </c>
      <c r="C997" s="16" t="s">
        <v>389</v>
      </c>
      <c r="D997" s="16" t="s">
        <v>389</v>
      </c>
    </row>
    <row r="998">
      <c r="A998" s="6"/>
      <c r="B998" s="16" t="s">
        <v>389</v>
      </c>
      <c r="C998" s="16" t="s">
        <v>389</v>
      </c>
      <c r="D998" s="16" t="s">
        <v>389</v>
      </c>
    </row>
    <row r="999">
      <c r="A999" s="6"/>
      <c r="B999" s="16" t="s">
        <v>389</v>
      </c>
      <c r="C999" s="16" t="s">
        <v>389</v>
      </c>
      <c r="D999" s="16" t="s">
        <v>389</v>
      </c>
    </row>
    <row r="1000">
      <c r="A1000" s="6"/>
      <c r="B1000" s="16" t="s">
        <v>389</v>
      </c>
      <c r="C1000" s="16" t="s">
        <v>389</v>
      </c>
      <c r="D1000" s="16" t="s">
        <v>389</v>
      </c>
    </row>
  </sheetData>
  <mergeCells count="1">
    <mergeCell ref="A1: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390</v>
      </c>
      <c r="B1" s="30"/>
      <c r="C1" s="30"/>
      <c r="D1" s="30"/>
      <c r="E1" s="30"/>
      <c r="F1" s="30"/>
      <c r="G1" s="30"/>
      <c r="H1" s="30"/>
      <c r="I1" s="30"/>
      <c r="J1" s="30"/>
      <c r="K1" s="30"/>
      <c r="L1" s="30"/>
      <c r="M1" s="30"/>
      <c r="N1" s="30"/>
      <c r="O1" s="30"/>
      <c r="P1" s="30"/>
      <c r="Q1" s="30"/>
      <c r="R1" s="30"/>
      <c r="S1" s="30"/>
      <c r="T1" s="30"/>
      <c r="U1" s="30"/>
      <c r="V1" s="30"/>
      <c r="W1" s="30"/>
      <c r="X1" s="30"/>
      <c r="Y1" s="30"/>
      <c r="Z1" s="30"/>
    </row>
    <row r="2">
      <c r="A2" s="29" t="s">
        <v>391</v>
      </c>
      <c r="B2" s="30"/>
      <c r="C2" s="30"/>
      <c r="D2" s="30"/>
      <c r="E2" s="30"/>
      <c r="F2" s="30"/>
      <c r="G2" s="30"/>
      <c r="H2" s="30"/>
      <c r="I2" s="30"/>
      <c r="J2" s="30"/>
      <c r="K2" s="30"/>
      <c r="L2" s="30"/>
      <c r="M2" s="30"/>
      <c r="N2" s="30"/>
      <c r="O2" s="30"/>
      <c r="P2" s="30"/>
      <c r="Q2" s="30"/>
      <c r="R2" s="30"/>
      <c r="S2" s="30"/>
      <c r="T2" s="30"/>
      <c r="U2" s="30"/>
      <c r="V2" s="30"/>
      <c r="W2" s="30"/>
      <c r="X2" s="30"/>
      <c r="Y2" s="30"/>
      <c r="Z2" s="30"/>
    </row>
    <row r="3">
      <c r="A3" s="30"/>
      <c r="B3" s="30"/>
      <c r="C3" s="30"/>
      <c r="D3" s="30"/>
      <c r="E3" s="30"/>
      <c r="F3" s="30"/>
      <c r="G3" s="30"/>
      <c r="H3" s="30"/>
      <c r="I3" s="30"/>
      <c r="J3" s="30"/>
      <c r="K3" s="30"/>
      <c r="L3" s="30"/>
      <c r="M3" s="30"/>
      <c r="N3" s="30"/>
      <c r="O3" s="30"/>
      <c r="P3" s="30"/>
      <c r="Q3" s="30"/>
      <c r="R3" s="30"/>
      <c r="S3" s="30"/>
      <c r="T3" s="30"/>
      <c r="U3" s="30"/>
      <c r="V3" s="30"/>
      <c r="W3" s="30"/>
      <c r="X3" s="30"/>
      <c r="Y3" s="30"/>
      <c r="Z3" s="30"/>
    </row>
    <row r="4">
      <c r="A4" s="29" t="s">
        <v>392</v>
      </c>
      <c r="B4" s="30"/>
      <c r="C4" s="30"/>
      <c r="D4" s="30"/>
      <c r="E4" s="30"/>
      <c r="F4" s="30"/>
      <c r="G4" s="30"/>
      <c r="H4" s="30"/>
      <c r="I4" s="30"/>
      <c r="J4" s="30"/>
      <c r="K4" s="30"/>
      <c r="L4" s="30"/>
      <c r="M4" s="30"/>
      <c r="N4" s="30"/>
      <c r="O4" s="30"/>
      <c r="P4" s="30"/>
      <c r="Q4" s="30"/>
      <c r="R4" s="30"/>
      <c r="S4" s="30"/>
      <c r="T4" s="30"/>
      <c r="U4" s="30"/>
      <c r="V4" s="30"/>
      <c r="W4" s="30"/>
      <c r="X4" s="30"/>
      <c r="Y4" s="30"/>
      <c r="Z4" s="30"/>
    </row>
    <row r="5">
      <c r="A5" s="31"/>
      <c r="B5" s="30"/>
      <c r="C5" s="30"/>
      <c r="D5" s="30"/>
      <c r="E5" s="30"/>
      <c r="F5" s="30"/>
      <c r="G5" s="30"/>
      <c r="H5" s="30"/>
      <c r="I5" s="30"/>
      <c r="J5" s="30"/>
      <c r="K5" s="30"/>
      <c r="L5" s="30"/>
      <c r="M5" s="30"/>
      <c r="N5" s="30"/>
      <c r="O5" s="30"/>
      <c r="P5" s="30"/>
      <c r="Q5" s="30"/>
      <c r="R5" s="30"/>
      <c r="S5" s="30"/>
      <c r="T5" s="30"/>
      <c r="U5" s="30"/>
      <c r="V5" s="30"/>
      <c r="W5" s="30"/>
      <c r="X5" s="30"/>
      <c r="Y5" s="30"/>
      <c r="Z5" s="30"/>
    </row>
    <row r="6">
      <c r="A6" s="29" t="s">
        <v>393</v>
      </c>
      <c r="B6" s="30"/>
      <c r="C6" s="30"/>
      <c r="D6" s="30"/>
      <c r="E6" s="30"/>
      <c r="F6" s="30"/>
      <c r="G6" s="30"/>
      <c r="H6" s="30"/>
      <c r="I6" s="30"/>
      <c r="J6" s="30"/>
      <c r="K6" s="30"/>
      <c r="L6" s="30"/>
      <c r="M6" s="30"/>
      <c r="N6" s="30"/>
      <c r="O6" s="30"/>
      <c r="P6" s="30"/>
      <c r="Q6" s="30"/>
      <c r="R6" s="30"/>
      <c r="S6" s="30"/>
      <c r="T6" s="30"/>
      <c r="U6" s="30"/>
      <c r="V6" s="30"/>
      <c r="W6" s="30"/>
      <c r="X6" s="30"/>
      <c r="Y6" s="30"/>
      <c r="Z6" s="30"/>
    </row>
    <row r="7">
      <c r="A7" s="31"/>
      <c r="B7" s="30"/>
      <c r="C7" s="30"/>
      <c r="D7" s="30"/>
      <c r="E7" s="30"/>
      <c r="F7" s="30"/>
      <c r="G7" s="30"/>
      <c r="H7" s="30"/>
      <c r="I7" s="30"/>
      <c r="J7" s="30"/>
      <c r="K7" s="30"/>
      <c r="L7" s="30"/>
      <c r="M7" s="30"/>
      <c r="N7" s="30"/>
      <c r="O7" s="30"/>
      <c r="P7" s="30"/>
      <c r="Q7" s="30"/>
      <c r="R7" s="30"/>
      <c r="S7" s="30"/>
      <c r="T7" s="30"/>
      <c r="U7" s="30"/>
      <c r="V7" s="30"/>
      <c r="W7" s="30"/>
      <c r="X7" s="30"/>
      <c r="Y7" s="30"/>
      <c r="Z7" s="30"/>
    </row>
    <row r="8">
      <c r="A8" s="29" t="s">
        <v>394</v>
      </c>
      <c r="B8" s="30"/>
      <c r="C8" s="30"/>
      <c r="D8" s="30"/>
      <c r="E8" s="30"/>
      <c r="F8" s="30"/>
      <c r="G8" s="30"/>
      <c r="H8" s="30"/>
      <c r="I8" s="30"/>
      <c r="J8" s="30"/>
      <c r="K8" s="30"/>
      <c r="L8" s="30"/>
      <c r="M8" s="30"/>
      <c r="N8" s="30"/>
      <c r="O8" s="30"/>
      <c r="P8" s="30"/>
      <c r="Q8" s="30"/>
      <c r="R8" s="30"/>
      <c r="S8" s="30"/>
      <c r="T8" s="30"/>
      <c r="U8" s="30"/>
      <c r="V8" s="30"/>
      <c r="W8" s="30"/>
      <c r="X8" s="30"/>
      <c r="Y8" s="30"/>
      <c r="Z8" s="30"/>
    </row>
    <row r="9">
      <c r="A9" s="31"/>
      <c r="B9" s="30"/>
      <c r="C9" s="30"/>
      <c r="D9" s="30"/>
      <c r="E9" s="30"/>
      <c r="F9" s="30"/>
      <c r="G9" s="30"/>
      <c r="H9" s="30"/>
      <c r="I9" s="30"/>
      <c r="J9" s="30"/>
      <c r="K9" s="30"/>
      <c r="L9" s="30"/>
      <c r="M9" s="30"/>
      <c r="N9" s="30"/>
      <c r="O9" s="30"/>
      <c r="P9" s="30"/>
      <c r="Q9" s="30"/>
      <c r="R9" s="30"/>
      <c r="S9" s="30"/>
      <c r="T9" s="30"/>
      <c r="U9" s="30"/>
      <c r="V9" s="30"/>
      <c r="W9" s="30"/>
      <c r="X9" s="30"/>
      <c r="Y9" s="30"/>
      <c r="Z9" s="30"/>
    </row>
    <row r="10">
      <c r="A10" s="29" t="s">
        <v>395</v>
      </c>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29" t="s">
        <v>396</v>
      </c>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29" t="s">
        <v>397</v>
      </c>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29" t="s">
        <v>398</v>
      </c>
      <c r="B16" s="32"/>
      <c r="C16" s="32"/>
      <c r="D16" s="30"/>
      <c r="E16" s="30"/>
      <c r="F16" s="30"/>
      <c r="G16" s="30"/>
      <c r="H16" s="30"/>
      <c r="I16" s="30"/>
      <c r="J16" s="30"/>
      <c r="K16" s="30"/>
      <c r="L16" s="30"/>
      <c r="M16" s="30"/>
      <c r="N16" s="30"/>
      <c r="O16" s="30"/>
      <c r="P16" s="30"/>
      <c r="Q16" s="30"/>
      <c r="R16" s="30"/>
      <c r="S16" s="30"/>
      <c r="T16" s="30"/>
      <c r="U16" s="30"/>
      <c r="V16" s="30"/>
      <c r="W16" s="30"/>
      <c r="X16" s="30"/>
      <c r="Y16" s="30"/>
      <c r="Z16" s="30"/>
    </row>
    <row r="17">
      <c r="A17" s="31"/>
      <c r="B17" s="29"/>
      <c r="C17" s="29"/>
      <c r="D17" s="30"/>
      <c r="E17" s="30"/>
      <c r="F17" s="30"/>
      <c r="G17" s="30"/>
      <c r="H17" s="30"/>
      <c r="I17" s="30"/>
      <c r="J17" s="30"/>
      <c r="K17" s="30"/>
      <c r="L17" s="30"/>
      <c r="M17" s="30"/>
      <c r="N17" s="30"/>
      <c r="O17" s="30"/>
      <c r="P17" s="30"/>
      <c r="Q17" s="30"/>
      <c r="R17" s="30"/>
      <c r="S17" s="30"/>
      <c r="T17" s="30"/>
      <c r="U17" s="30"/>
      <c r="V17" s="30"/>
      <c r="W17" s="30"/>
      <c r="X17" s="30"/>
      <c r="Y17" s="30"/>
      <c r="Z17" s="30"/>
    </row>
    <row r="18">
      <c r="A18" s="29" t="s">
        <v>399</v>
      </c>
      <c r="B18" s="29"/>
      <c r="C18" s="29"/>
      <c r="D18" s="30"/>
      <c r="E18" s="30"/>
      <c r="F18" s="30"/>
      <c r="G18" s="30"/>
      <c r="H18" s="30"/>
      <c r="I18" s="30"/>
      <c r="J18" s="30"/>
      <c r="K18" s="30"/>
      <c r="L18" s="30"/>
      <c r="M18" s="30"/>
      <c r="N18" s="30"/>
      <c r="O18" s="30"/>
      <c r="P18" s="30"/>
      <c r="Q18" s="30"/>
      <c r="R18" s="30"/>
      <c r="S18" s="30"/>
      <c r="T18" s="30"/>
      <c r="U18" s="30"/>
      <c r="V18" s="30"/>
      <c r="W18" s="30"/>
      <c r="X18" s="30"/>
      <c r="Y18" s="30"/>
      <c r="Z18" s="30"/>
    </row>
    <row r="19">
      <c r="A19" s="29" t="s">
        <v>400</v>
      </c>
      <c r="B19" s="29"/>
      <c r="C19" s="29"/>
      <c r="D19" s="30"/>
      <c r="E19" s="30"/>
      <c r="F19" s="30"/>
      <c r="G19" s="30"/>
      <c r="H19" s="30"/>
      <c r="I19" s="30"/>
      <c r="J19" s="30"/>
      <c r="K19" s="30"/>
      <c r="L19" s="30"/>
      <c r="M19" s="30"/>
      <c r="N19" s="30"/>
      <c r="O19" s="30"/>
      <c r="P19" s="30"/>
      <c r="Q19" s="30"/>
      <c r="R19" s="30"/>
      <c r="S19" s="30"/>
      <c r="T19" s="30"/>
      <c r="U19" s="30"/>
      <c r="V19" s="30"/>
      <c r="W19" s="30"/>
      <c r="X19" s="30"/>
      <c r="Y19" s="30"/>
      <c r="Z19" s="30"/>
    </row>
    <row r="20">
      <c r="A20" s="31"/>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29" t="s">
        <v>401</v>
      </c>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1"/>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29" t="s">
        <v>402</v>
      </c>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1"/>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2" t="s">
        <v>403</v>
      </c>
      <c r="B25" s="32" t="s">
        <v>404</v>
      </c>
      <c r="C25" s="32" t="s">
        <v>405</v>
      </c>
      <c r="D25" s="30"/>
      <c r="E25" s="30"/>
      <c r="F25" s="30"/>
      <c r="G25" s="30"/>
      <c r="H25" s="30"/>
      <c r="I25" s="30"/>
      <c r="J25" s="30"/>
      <c r="K25" s="30"/>
      <c r="L25" s="30"/>
      <c r="M25" s="30"/>
      <c r="N25" s="30"/>
      <c r="O25" s="30"/>
      <c r="P25" s="30"/>
      <c r="Q25" s="30"/>
      <c r="R25" s="30"/>
      <c r="S25" s="30"/>
      <c r="T25" s="30"/>
      <c r="U25" s="30"/>
      <c r="V25" s="30"/>
      <c r="W25" s="30"/>
      <c r="X25" s="30"/>
      <c r="Y25" s="30"/>
      <c r="Z25" s="30"/>
    </row>
    <row r="26">
      <c r="A26" s="29" t="s">
        <v>406</v>
      </c>
      <c r="B26" s="29" t="s">
        <v>364</v>
      </c>
      <c r="C26" s="29" t="s">
        <v>407</v>
      </c>
      <c r="D26" s="30"/>
      <c r="E26" s="30"/>
      <c r="F26" s="30"/>
      <c r="G26" s="30"/>
      <c r="H26" s="30"/>
      <c r="I26" s="30"/>
      <c r="J26" s="30"/>
      <c r="K26" s="30"/>
      <c r="L26" s="30"/>
      <c r="M26" s="30"/>
      <c r="N26" s="30"/>
      <c r="O26" s="30"/>
      <c r="P26" s="30"/>
      <c r="Q26" s="30"/>
      <c r="R26" s="30"/>
      <c r="S26" s="30"/>
      <c r="T26" s="30"/>
      <c r="U26" s="30"/>
      <c r="V26" s="30"/>
      <c r="W26" s="30"/>
      <c r="X26" s="30"/>
      <c r="Y26" s="30"/>
      <c r="Z26" s="30"/>
    </row>
    <row r="27">
      <c r="A27" s="29" t="s">
        <v>408</v>
      </c>
      <c r="B27" s="29" t="s">
        <v>16</v>
      </c>
      <c r="C27" s="29" t="s">
        <v>409</v>
      </c>
      <c r="D27" s="30"/>
      <c r="E27" s="30"/>
      <c r="F27" s="30"/>
      <c r="G27" s="30"/>
      <c r="H27" s="30"/>
      <c r="I27" s="30"/>
      <c r="J27" s="30"/>
      <c r="K27" s="30"/>
      <c r="L27" s="30"/>
      <c r="M27" s="30"/>
      <c r="N27" s="30"/>
      <c r="O27" s="30"/>
      <c r="P27" s="30"/>
      <c r="Q27" s="30"/>
      <c r="R27" s="30"/>
      <c r="S27" s="30"/>
      <c r="T27" s="30"/>
      <c r="U27" s="30"/>
      <c r="V27" s="30"/>
      <c r="W27" s="30"/>
      <c r="X27" s="30"/>
      <c r="Y27" s="30"/>
      <c r="Z27" s="30"/>
    </row>
    <row r="28">
      <c r="A28" s="29" t="s">
        <v>410</v>
      </c>
      <c r="B28" s="29" t="s">
        <v>18</v>
      </c>
      <c r="C28" s="29" t="s">
        <v>411</v>
      </c>
      <c r="D28" s="30"/>
      <c r="E28" s="30"/>
      <c r="F28" s="30"/>
      <c r="G28" s="30"/>
      <c r="H28" s="30"/>
      <c r="I28" s="30"/>
      <c r="J28" s="30"/>
      <c r="K28" s="30"/>
      <c r="L28" s="30"/>
      <c r="M28" s="30"/>
      <c r="N28" s="30"/>
      <c r="O28" s="30"/>
      <c r="P28" s="30"/>
      <c r="Q28" s="30"/>
      <c r="R28" s="30"/>
      <c r="S28" s="30"/>
      <c r="T28" s="30"/>
      <c r="U28" s="30"/>
      <c r="V28" s="30"/>
      <c r="W28" s="30"/>
      <c r="X28" s="30"/>
      <c r="Y28" s="30"/>
      <c r="Z28" s="30"/>
    </row>
    <row r="29">
      <c r="A29" s="29" t="s">
        <v>412</v>
      </c>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29" t="s">
        <v>413</v>
      </c>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29" t="s">
        <v>414</v>
      </c>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29" t="s">
        <v>415</v>
      </c>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29" t="s">
        <v>416</v>
      </c>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29" t="s">
        <v>417</v>
      </c>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29" t="s">
        <v>418</v>
      </c>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29" t="s">
        <v>419</v>
      </c>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1"/>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29" t="s">
        <v>420</v>
      </c>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1"/>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29" t="s">
        <v>421</v>
      </c>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1"/>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29" t="s">
        <v>422</v>
      </c>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1"/>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29" t="s">
        <v>423</v>
      </c>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1"/>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29" t="s">
        <v>424</v>
      </c>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1"/>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29" t="s">
        <v>393</v>
      </c>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1"/>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29" t="s">
        <v>425</v>
      </c>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1"/>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29" t="s">
        <v>426</v>
      </c>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1"/>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29" t="s">
        <v>427</v>
      </c>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1"/>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29" t="s">
        <v>428</v>
      </c>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1"/>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29" t="s">
        <v>429</v>
      </c>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1"/>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2" t="s">
        <v>403</v>
      </c>
      <c r="B66" s="32" t="s">
        <v>404</v>
      </c>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29" t="s">
        <v>430</v>
      </c>
      <c r="B67" s="29" t="s">
        <v>361</v>
      </c>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29" t="s">
        <v>431</v>
      </c>
      <c r="B68" s="29" t="s">
        <v>362</v>
      </c>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29" t="s">
        <v>432</v>
      </c>
      <c r="B69" s="29" t="s">
        <v>363</v>
      </c>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29" t="s">
        <v>433</v>
      </c>
      <c r="B70" s="29" t="s">
        <v>364</v>
      </c>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1"/>
      <c r="B71" s="29"/>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29" t="s">
        <v>434</v>
      </c>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1"/>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29" t="s">
        <v>435</v>
      </c>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1"/>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29" t="s">
        <v>436</v>
      </c>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1"/>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29" t="s">
        <v>437</v>
      </c>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1"/>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29" t="s">
        <v>438</v>
      </c>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1"/>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29" t="s">
        <v>439</v>
      </c>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1"/>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29" t="s">
        <v>440</v>
      </c>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29" t="s">
        <v>441</v>
      </c>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29" t="s">
        <v>16</v>
      </c>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29" t="s">
        <v>18</v>
      </c>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1"/>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29" t="s">
        <v>364</v>
      </c>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29" t="s">
        <v>442</v>
      </c>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1"/>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29" t="s">
        <v>443</v>
      </c>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1"/>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29" t="s">
        <v>444</v>
      </c>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29" t="s">
        <v>388</v>
      </c>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29" t="s">
        <v>445</v>
      </c>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29" t="s">
        <v>446</v>
      </c>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1"/>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29" t="s">
        <v>447</v>
      </c>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29" t="s">
        <v>448</v>
      </c>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1"/>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29" t="s">
        <v>449</v>
      </c>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1"/>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29" t="s">
        <v>450</v>
      </c>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1"/>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29" t="s">
        <v>451</v>
      </c>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1"/>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29" t="s">
        <v>452</v>
      </c>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1"/>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29" t="s">
        <v>453</v>
      </c>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1"/>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29" t="s">
        <v>454</v>
      </c>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29" t="s">
        <v>455</v>
      </c>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29" t="s">
        <v>456</v>
      </c>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29" t="s">
        <v>457</v>
      </c>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29" t="s">
        <v>458</v>
      </c>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29" t="s">
        <v>459</v>
      </c>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29" t="s">
        <v>460</v>
      </c>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29" t="s">
        <v>461</v>
      </c>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29" t="s">
        <v>462</v>
      </c>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29" t="s">
        <v>463</v>
      </c>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29" t="s">
        <v>464</v>
      </c>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29" t="s">
        <v>465</v>
      </c>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29" t="s">
        <v>466</v>
      </c>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29" t="s">
        <v>467</v>
      </c>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29" t="s">
        <v>468</v>
      </c>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29" t="s">
        <v>469</v>
      </c>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rawing r:id="rId1"/>
</worksheet>
</file>