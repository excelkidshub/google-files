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dmissions" sheetId="1" state="visible" r:id="rId1"/>
    <sheet xmlns:r="http://schemas.openxmlformats.org/officeDocument/2006/relationships" name="Teachers_Training" sheetId="2" state="visible" r:id="rId2"/>
    <sheet xmlns:r="http://schemas.openxmlformats.org/officeDocument/2006/relationships" name="payments" sheetId="3" state="visible" r:id="rId3"/>
    <sheet xmlns:r="http://schemas.openxmlformats.org/officeDocument/2006/relationships" name="batches" sheetId="4" state="visible" r:id="rId4"/>
    <sheet xmlns:r="http://schemas.openxmlformats.org/officeDocument/2006/relationships" name="expenses" sheetId="5" state="visible" r:id="rId5"/>
    <sheet xmlns:r="http://schemas.openxmlformats.org/officeDocument/2006/relationships" name="finance-summary" sheetId="6" state="visible" r:id="rId6"/>
    <sheet xmlns:r="http://schemas.openxmlformats.org/officeDocument/2006/relationships" name="batch-dashboard" sheetId="7" state="visible" r:id="rId7"/>
    <sheet xmlns:r="http://schemas.openxmlformats.org/officeDocument/2006/relationships" name="admission_queue" sheetId="8" state="visible" r:id="rId8"/>
  </sheets>
  <definedNames/>
  <calcPr calcId="124519" fullCalcOnLoad="1"/>
</workbook>
</file>

<file path=xl/styles.xml><?xml version="1.0" encoding="utf-8"?>
<styleSheet xmlns="http://schemas.openxmlformats.org/spreadsheetml/2006/main">
  <numFmts count="9">
    <numFmt numFmtId="164" formatCode="M/d/yyyy"/>
    <numFmt numFmtId="165" formatCode="yyyy\-mm\-dd"/>
    <numFmt numFmtId="166" formatCode="\₹#,##0.00"/>
    <numFmt numFmtId="167" formatCode="yyyy-mm-dd"/>
    <numFmt numFmtId="168" formatCode="dd-mmm-yyyy h:mm:ss"/>
    <numFmt numFmtId="169" formatCode="m/d/yyyy h:mm:ss"/>
    <numFmt numFmtId="170" formatCode="d mmm yyyy"/>
    <numFmt numFmtId="171" formatCode="yyyy\-mm\-dd\ h:mm:ss"/>
    <numFmt numFmtId="172" formatCode="yyyy&quot;-&quot;mm&quot;-&quot;dd"/>
  </numFmts>
  <fonts count="13">
    <font>
      <name val="Calibri"/>
      <color theme="1"/>
      <sz val="11"/>
      <scheme val="minor"/>
    </font>
    <font>
      <name val="Calibri"/>
      <b val="1"/>
      <color rgb="FF1F2937"/>
      <sz val="11"/>
    </font>
    <font>
      <name val="Calibri"/>
      <b val="1"/>
      <color rgb="FF1F2937"/>
      <scheme val="minor"/>
    </font>
    <font>
      <name val="Calibri"/>
      <color theme="1"/>
      <sz val="11"/>
    </font>
    <font>
      <name val="Consolas"/>
      <color rgb="FF8C8C8C"/>
      <sz val="8"/>
    </font>
    <font>
      <name val="Calibri"/>
      <color theme="1"/>
      <scheme val="minor"/>
    </font>
    <font>
      <name val="Arial"/>
      <color theme="1"/>
    </font>
    <font>
      <name val="Calibri"/>
      <b val="1"/>
      <color theme="1"/>
      <scheme val="minor"/>
    </font>
    <font>
      <name val="&quot;Segoe UI&quot;"/>
      <color rgb="FF333333"/>
      <sz val="11"/>
    </font>
    <font>
      <name val="Calibri"/>
      <b val="1"/>
      <color rgb="FF1F2937"/>
      <sz val="14"/>
      <scheme val="minor"/>
    </font>
    <font/>
    <font>
      <name val="Calibri"/>
      <b val="1"/>
      <color rgb="FF334155"/>
      <scheme val="minor"/>
    </font>
    <font>
      <b val="1"/>
      <color rgb="001F2937"/>
    </font>
  </fonts>
  <fills count="11">
    <fill>
      <patternFill/>
    </fill>
    <fill>
      <patternFill patternType="lightGray"/>
    </fill>
    <fill>
      <patternFill patternType="solid">
        <fgColor rgb="FFD9EAF7"/>
        <bgColor rgb="FFD9EAF7"/>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FF0000"/>
        <bgColor rgb="FFFF0000"/>
      </patternFill>
    </fill>
    <fill>
      <patternFill patternType="solid">
        <fgColor rgb="FFDCEAF7"/>
        <bgColor rgb="FFDCEAF7"/>
      </patternFill>
    </fill>
    <fill>
      <patternFill patternType="solid">
        <fgColor rgb="FFF8FAFC"/>
        <bgColor rgb="FFF8FAFC"/>
      </patternFill>
    </fill>
    <fill>
      <patternFill patternType="solid">
        <fgColor rgb="FFEAF4EA"/>
        <bgColor rgb="FFEAF4EA"/>
      </patternFill>
    </fill>
    <fill>
      <patternFill patternType="solid">
        <fgColor rgb="00D9EAF7"/>
      </patternFill>
    </fill>
  </fills>
  <borders count="8">
    <border/>
    <border>
      <left style="thin">
        <color rgb="FFCBD5E1"/>
      </left>
      <right style="thin">
        <color rgb="FFCBD5E1"/>
      </right>
      <top style="thin">
        <color rgb="FFCBD5E1"/>
      </top>
      <bottom style="thin">
        <color rgb="FFCBD5E1"/>
      </bottom>
    </border>
    <border>
      <left style="thin">
        <color rgb="FFCBD5E1"/>
      </left>
      <top style="thin">
        <color rgb="FFCBD5E1"/>
      </top>
      <bottom style="thin">
        <color rgb="FFCBD5E1"/>
      </bottom>
    </border>
    <border>
      <top style="thin">
        <color rgb="FFCBD5E1"/>
      </top>
      <bottom style="thin">
        <color rgb="FFCBD5E1"/>
      </bottom>
    </border>
    <border>
      <right style="thin">
        <color rgb="FFCBD5E1"/>
      </right>
      <top style="thin">
        <color rgb="FFCBD5E1"/>
      </top>
      <bottom style="thin">
        <color rgb="FFCBD5E1"/>
      </bottom>
    </border>
    <border>
      <top style="thin">
        <color rgb="FFCBD5E1"/>
      </top>
    </border>
    <border>
      <right style="thin">
        <color rgb="FFCBD5E1"/>
      </right>
      <top style="thin">
        <color rgb="FFCBD5E1"/>
      </top>
    </border>
    <border>
      <left style="thin">
        <color rgb="00CBD5E1"/>
      </left>
      <right style="thin">
        <color rgb="00CBD5E1"/>
      </right>
      <top style="thin">
        <color rgb="00CBD5E1"/>
      </top>
      <bottom style="thin">
        <color rgb="00CBD5E1"/>
      </bottom>
    </border>
  </borders>
  <cellStyleXfs count="1">
    <xf numFmtId="0" fontId="0" fillId="0" borderId="0"/>
  </cellStyleXfs>
  <cellXfs count="106">
    <xf numFmtId="0" fontId="0" fillId="0" borderId="0" applyAlignment="1" pivotButton="0" quotePrefix="0" xfId="0">
      <alignment vertical="bottom"/>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0" borderId="1" applyAlignment="1" pivotButton="0" quotePrefix="0" xfId="0">
      <alignment horizontal="center" vertical="center"/>
    </xf>
    <xf numFmtId="0" fontId="1" fillId="4" borderId="1" applyAlignment="1" pivotButton="0" quotePrefix="0" xfId="0">
      <alignment horizontal="center" vertical="center"/>
    </xf>
    <xf numFmtId="164" fontId="1" fillId="2" borderId="1"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xf>
    <xf numFmtId="0" fontId="2" fillId="5"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left"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165" fontId="3" fillId="0" borderId="1" applyAlignment="1" pivotButton="0" quotePrefix="0" xfId="0">
      <alignment horizontal="left" vertical="center"/>
    </xf>
    <xf numFmtId="166" fontId="3" fillId="0" borderId="1" applyAlignment="1" pivotButton="0" quotePrefix="0" xfId="0">
      <alignment horizontal="left" vertical="center"/>
    </xf>
    <xf numFmtId="166" fontId="3" fillId="4" borderId="1" applyAlignment="1" pivotButton="0" quotePrefix="0" xfId="0">
      <alignment horizontal="left" vertical="center"/>
    </xf>
    <xf numFmtId="166" fontId="4" fillId="0" borderId="0" pivotButton="0" quotePrefix="0" xfId="0"/>
    <xf numFmtId="164" fontId="3" fillId="0" borderId="1" applyAlignment="1" pivotButton="0" quotePrefix="0" xfId="0">
      <alignment horizontal="center" vertical="center"/>
    </xf>
    <xf numFmtId="0" fontId="3" fillId="0" borderId="1" pivotButton="0" quotePrefix="0" xfId="0"/>
    <xf numFmtId="167" fontId="3" fillId="0" borderId="1" pivotButton="0" quotePrefix="0" xfId="0"/>
    <xf numFmtId="167" fontId="3" fillId="5" borderId="0" pivotButton="0" quotePrefix="0" xfId="0"/>
    <xf numFmtId="167" fontId="3" fillId="0" borderId="0" pivotButton="0" quotePrefix="0" xfId="0"/>
    <xf numFmtId="166" fontId="3" fillId="0" borderId="1" applyAlignment="1" pivotButton="0" quotePrefix="0" xfId="0">
      <alignment horizontal="left" vertical="center"/>
    </xf>
    <xf numFmtId="0" fontId="5" fillId="0" borderId="0" pivotButton="0" quotePrefix="0" xfId="0"/>
    <xf numFmtId="166" fontId="3" fillId="4" borderId="1" applyAlignment="1" pivotButton="0" quotePrefix="0" xfId="0">
      <alignment horizontal="left" vertical="center"/>
    </xf>
    <xf numFmtId="0" fontId="3" fillId="5" borderId="0" pivotButton="0" quotePrefix="0" xfId="0"/>
    <xf numFmtId="0" fontId="3" fillId="0" borderId="0" pivotButton="0" quotePrefix="0" xfId="0"/>
    <xf numFmtId="166" fontId="6" fillId="4" borderId="0" applyAlignment="1" pivotButton="0" quotePrefix="0" xfId="0">
      <alignment horizontal="right" vertical="bottom"/>
    </xf>
    <xf numFmtId="166" fontId="6" fillId="0" borderId="0" applyAlignment="1" pivotButton="0" quotePrefix="0" xfId="0">
      <alignment horizontal="right" vertical="bottom"/>
    </xf>
    <xf numFmtId="0" fontId="6" fillId="3"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3" fillId="0" borderId="1" applyAlignment="1" pivotButton="0" quotePrefix="0" xfId="0">
      <alignment horizontal="left" vertical="center"/>
    </xf>
    <xf numFmtId="164" fontId="6" fillId="0" borderId="0" applyAlignment="1" pivotButton="0" quotePrefix="0" xfId="0">
      <alignment horizontal="center" vertical="bottom"/>
    </xf>
    <xf numFmtId="0" fontId="6" fillId="0" borderId="0" applyAlignment="1" pivotButton="0" quotePrefix="0" xfId="0">
      <alignment horizontal="right" vertical="bottom"/>
    </xf>
    <xf numFmtId="0" fontId="6" fillId="0" borderId="0" applyAlignment="1" pivotButton="0" quotePrefix="0" xfId="0">
      <alignment vertical="bottom"/>
    </xf>
    <xf numFmtId="0" fontId="6" fillId="0" borderId="0" applyAlignment="1" pivotButton="0" quotePrefix="0" xfId="0">
      <alignment vertical="bottom"/>
    </xf>
    <xf numFmtId="0" fontId="6" fillId="0" borderId="0" applyAlignment="1" pivotButton="0" quotePrefix="0" xfId="0">
      <alignment horizontal="right" vertical="bottom"/>
    </xf>
    <xf numFmtId="0" fontId="6" fillId="0"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166" fontId="6" fillId="0" borderId="0" applyAlignment="1" pivotButton="0" quotePrefix="0" xfId="0">
      <alignment vertical="bottom"/>
    </xf>
    <xf numFmtId="166" fontId="6" fillId="4" borderId="0" applyAlignment="1" pivotButton="0" quotePrefix="0" xfId="0">
      <alignment vertical="bottom"/>
    </xf>
    <xf numFmtId="0" fontId="6" fillId="3" borderId="0" applyAlignment="1" pivotButton="0" quotePrefix="0" xfId="0">
      <alignment vertical="bottom"/>
    </xf>
    <xf numFmtId="0" fontId="5" fillId="0" borderId="0" pivotButton="0" quotePrefix="0" xfId="0"/>
    <xf numFmtId="166" fontId="6" fillId="4" borderId="0" applyAlignment="1" pivotButton="0" quotePrefix="0" xfId="0">
      <alignment horizontal="right" vertical="bottom"/>
    </xf>
    <xf numFmtId="0" fontId="5" fillId="3" borderId="0" pivotButton="0" quotePrefix="0" xfId="0"/>
    <xf numFmtId="0" fontId="3" fillId="6" borderId="1" applyAlignment="1" pivotButton="0" quotePrefix="0" xfId="0">
      <alignment horizontal="left" vertical="center"/>
    </xf>
    <xf numFmtId="0" fontId="3" fillId="3" borderId="1" applyAlignment="1" pivotButton="0" quotePrefix="0" xfId="0">
      <alignment horizontal="left" vertical="center"/>
    </xf>
    <xf numFmtId="168" fontId="5" fillId="0" borderId="0" pivotButton="0" quotePrefix="0" xfId="0"/>
    <xf numFmtId="0" fontId="5" fillId="0" borderId="0" pivotButton="0" quotePrefix="0" xfId="0"/>
    <xf numFmtId="0" fontId="5" fillId="4" borderId="0" pivotButton="0" quotePrefix="0" xfId="0"/>
    <xf numFmtId="164" fontId="5" fillId="0" borderId="0" applyAlignment="1" pivotButton="0" quotePrefix="0" xfId="0">
      <alignment horizontal="center"/>
    </xf>
    <xf numFmtId="0" fontId="5" fillId="5" borderId="0" pivotButton="0" quotePrefix="0" xfId="0"/>
    <xf numFmtId="0" fontId="5" fillId="4" borderId="0" pivotButton="0" quotePrefix="0" xfId="0"/>
    <xf numFmtId="0" fontId="5" fillId="5" borderId="0" pivotButton="0" quotePrefix="0" xfId="0"/>
    <xf numFmtId="169" fontId="5" fillId="0" borderId="0" applyAlignment="1" pivotButton="0" quotePrefix="0" xfId="0">
      <alignment horizontal="center"/>
    </xf>
    <xf numFmtId="0" fontId="3" fillId="6" borderId="1" applyAlignment="1" pivotButton="0" quotePrefix="0" xfId="0">
      <alignment horizontal="center" vertical="center"/>
    </xf>
    <xf numFmtId="0" fontId="5" fillId="6" borderId="0" pivotButton="0" quotePrefix="0" xfId="0"/>
    <xf numFmtId="0" fontId="5" fillId="6" borderId="0" pivotButton="0" quotePrefix="0" xfId="0"/>
    <xf numFmtId="0" fontId="5" fillId="6" borderId="0" pivotButton="0" quotePrefix="0" xfId="0"/>
    <xf numFmtId="0" fontId="5" fillId="6" borderId="0" applyAlignment="1" pivotButton="0" quotePrefix="0" xfId="0">
      <alignment horizontal="center"/>
    </xf>
    <xf numFmtId="170" fontId="5" fillId="6" borderId="0" pivotButton="0" quotePrefix="0" xfId="0"/>
    <xf numFmtId="0" fontId="5" fillId="0" borderId="0" applyAlignment="1" pivotButton="0" quotePrefix="0" xfId="0">
      <alignment horizontal="center"/>
    </xf>
    <xf numFmtId="0" fontId="7" fillId="5" borderId="0" pivotButton="0" quotePrefix="0" xfId="0"/>
    <xf numFmtId="171" fontId="3" fillId="0" borderId="0" pivotButton="0" quotePrefix="0" xfId="0"/>
    <xf numFmtId="167" fontId="5" fillId="0" borderId="0" pivotButton="0" quotePrefix="0" xfId="0"/>
    <xf numFmtId="172" fontId="1" fillId="2" borderId="1" applyAlignment="1" pivotButton="0" quotePrefix="0" xfId="0">
      <alignment horizontal="center" vertical="center"/>
    </xf>
    <xf numFmtId="172" fontId="3" fillId="0" borderId="1" applyAlignment="1" pivotButton="0" quotePrefix="0" xfId="0">
      <alignment horizontal="center" vertical="center"/>
    </xf>
    <xf numFmtId="172" fontId="3" fillId="0" borderId="1" applyAlignment="1" pivotButton="0" quotePrefix="0" xfId="0">
      <alignment horizontal="center" vertical="center"/>
    </xf>
    <xf numFmtId="172" fontId="3" fillId="0" borderId="0" applyAlignment="1" pivotButton="0" quotePrefix="0" xfId="0">
      <alignment horizontal="center"/>
    </xf>
    <xf numFmtId="172" fontId="5" fillId="0" borderId="0" applyAlignment="1" pivotButton="0" quotePrefix="0" xfId="0">
      <alignment horizontal="center"/>
    </xf>
    <xf numFmtId="172" fontId="5" fillId="4" borderId="0" applyAlignment="1" pivotButton="0" quotePrefix="0" xfId="0">
      <alignment horizontal="center"/>
    </xf>
    <xf numFmtId="172" fontId="5" fillId="4" borderId="0" applyAlignment="1" pivotButton="0" quotePrefix="0" xfId="0">
      <alignment horizontal="center"/>
    </xf>
    <xf numFmtId="0" fontId="8" fillId="4" borderId="0" applyAlignment="1" pivotButton="0" quotePrefix="0" xfId="0">
      <alignment horizontal="center"/>
    </xf>
    <xf numFmtId="172" fontId="5" fillId="0" borderId="0" applyAlignment="1" pivotButton="0" quotePrefix="0" xfId="0">
      <alignment horizontal="center"/>
    </xf>
    <xf numFmtId="0" fontId="9" fillId="7" borderId="2" applyAlignment="1" pivotButton="0" quotePrefix="0" xfId="0">
      <alignment horizontal="center" vertical="center"/>
    </xf>
    <xf numFmtId="0" fontId="10" fillId="0" borderId="3" pivotButton="0" quotePrefix="0" xfId="0"/>
    <xf numFmtId="0" fontId="10" fillId="0" borderId="4" pivotButton="0" quotePrefix="0" xfId="0"/>
    <xf numFmtId="0" fontId="11" fillId="8" borderId="1" applyAlignment="1" pivotButton="0" quotePrefix="0" xfId="0">
      <alignment horizontal="left" vertical="center"/>
    </xf>
    <xf numFmtId="0" fontId="3" fillId="8" borderId="2" applyAlignment="1" pivotButton="0" quotePrefix="0" xfId="0">
      <alignment horizontal="left" vertical="center"/>
    </xf>
    <xf numFmtId="0" fontId="11" fillId="9" borderId="2" applyAlignment="1" pivotButton="0" quotePrefix="0" xfId="0">
      <alignment horizontal="left" vertical="center"/>
    </xf>
    <xf numFmtId="0" fontId="3" fillId="8" borderId="2" applyAlignment="1" pivotButton="0" quotePrefix="0" xfId="0">
      <alignment horizontal="left" vertical="top" wrapText="1"/>
    </xf>
    <xf numFmtId="0" fontId="0" fillId="0" borderId="0" pivotButton="0" quotePrefix="0" xfId="0"/>
    <xf numFmtId="0" fontId="12" fillId="10" borderId="7" applyAlignment="1" pivotButton="0" quotePrefix="0" xfId="0">
      <alignment horizontal="center" vertical="center"/>
    </xf>
    <xf numFmtId="164" fontId="12" fillId="10" borderId="7" applyAlignment="1" pivotButton="0" quotePrefix="0" xfId="0">
      <alignment horizontal="center" vertical="center"/>
    </xf>
    <xf numFmtId="0" fontId="3" fillId="0" borderId="7" applyAlignment="1" pivotButton="0" quotePrefix="0" xfId="0">
      <alignment horizontal="center" vertical="center"/>
    </xf>
    <xf numFmtId="0" fontId="0" fillId="0" borderId="7" applyAlignment="1" pivotButton="0" quotePrefix="0" xfId="0">
      <alignment horizontal="left" vertical="center"/>
    </xf>
    <xf numFmtId="167" fontId="3" fillId="0" borderId="7" applyAlignment="1" pivotButton="0" quotePrefix="0" xfId="0">
      <alignment horizontal="left" vertical="center"/>
    </xf>
    <xf numFmtId="0" fontId="0" fillId="0" borderId="7" applyAlignment="1" pivotButton="0" quotePrefix="0" xfId="0">
      <alignment horizontal="center" vertical="center"/>
    </xf>
    <xf numFmtId="167" fontId="0" fillId="0" borderId="7" applyAlignment="1" pivotButton="0" quotePrefix="0" xfId="0">
      <alignment horizontal="left" vertical="center"/>
    </xf>
    <xf numFmtId="167" fontId="3" fillId="5" borderId="7" applyAlignment="1" pivotButton="0" quotePrefix="0" xfId="0">
      <alignment horizontal="center" vertical="center"/>
    </xf>
    <xf numFmtId="167" fontId="3" fillId="0" borderId="7" applyAlignment="1" pivotButton="0" quotePrefix="0" xfId="0">
      <alignment horizontal="center" vertical="center"/>
    </xf>
    <xf numFmtId="0" fontId="3" fillId="5" borderId="7" applyAlignment="1" pivotButton="0" quotePrefix="0" xfId="0">
      <alignment horizontal="center" vertical="center"/>
    </xf>
    <xf numFmtId="0" fontId="5" fillId="5" borderId="7" applyAlignment="1" pivotButton="0" quotePrefix="0" xfId="0">
      <alignment horizontal="center" vertical="center"/>
    </xf>
    <xf numFmtId="0" fontId="5" fillId="0" borderId="7" applyAlignment="1" pivotButton="0" quotePrefix="0" xfId="0">
      <alignment horizontal="center" vertical="center"/>
    </xf>
    <xf numFmtId="0" fontId="5" fillId="6" borderId="7" applyAlignment="1" pivotButton="0" quotePrefix="0" xfId="0">
      <alignment horizontal="center" vertical="center"/>
    </xf>
    <xf numFmtId="167" fontId="5" fillId="6" borderId="7" applyAlignment="1" pivotButton="0" quotePrefix="0" xfId="0">
      <alignment horizontal="left" vertical="center"/>
    </xf>
    <xf numFmtId="0" fontId="7" fillId="5" borderId="7" applyAlignment="1" pivotButton="0" quotePrefix="0" xfId="0">
      <alignment horizontal="center" vertical="center"/>
    </xf>
    <xf numFmtId="0" fontId="9" fillId="7" borderId="1" applyAlignment="1" pivotButton="0" quotePrefix="0" xfId="0">
      <alignment horizontal="center" vertical="center"/>
    </xf>
    <xf numFmtId="0" fontId="0" fillId="0" borderId="3" pivotButton="0" quotePrefix="0" xfId="0"/>
    <xf numFmtId="0" fontId="0" fillId="0" borderId="4" pivotButton="0" quotePrefix="0" xfId="0"/>
    <xf numFmtId="0" fontId="3" fillId="8" borderId="1" applyAlignment="1" pivotButton="0" quotePrefix="0" xfId="0">
      <alignment horizontal="left" vertical="center"/>
    </xf>
    <xf numFmtId="0" fontId="11" fillId="9" borderId="1" applyAlignment="1" pivotButton="0" quotePrefix="0" xfId="0">
      <alignment horizontal="left" vertical="center"/>
    </xf>
    <xf numFmtId="0" fontId="3" fillId="8"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P1080"/>
  <sheetViews>
    <sheetView workbookViewId="0">
      <selection activeCell="A1" sqref="A1"/>
    </sheetView>
  </sheetViews>
  <sheetFormatPr baseColWidth="8" defaultColWidth="14.43" defaultRowHeight="15" customHeight="1"/>
  <cols>
    <col width="14" customWidth="1" style="84" min="1" max="1"/>
    <col width="24.57" customWidth="1" style="84" min="2" max="2"/>
    <col width="11.29" customWidth="1" style="84" min="3" max="3"/>
    <col width="7.57" customWidth="1" style="84" min="4" max="4"/>
    <col width="8.859999999999999" customWidth="1" style="84" min="5" max="5"/>
    <col width="9.140000000000001" customWidth="1" style="84" min="6" max="6"/>
    <col width="28.29" customWidth="1" style="84" min="7" max="7"/>
    <col width="5" customWidth="1" style="84" min="8" max="8"/>
    <col width="8" customWidth="1" style="84" min="9" max="9"/>
    <col width="10.86" customWidth="1" style="84" min="10" max="10"/>
    <col width="8.859999999999999" customWidth="1" style="84" min="11" max="11"/>
    <col width="10.29" customWidth="1" style="84" min="12" max="12"/>
    <col width="18.29" customWidth="1" style="84" min="13" max="13"/>
    <col width="11" customWidth="1" style="84" min="14" max="14"/>
    <col width="12" customWidth="1" style="84" min="15" max="15"/>
    <col width="11.14" customWidth="1" style="84" min="16" max="16"/>
    <col width="12.71" customWidth="1" style="84" min="17" max="17"/>
    <col width="11" customWidth="1" style="84" min="18" max="18"/>
    <col width="10" customWidth="1" style="84" min="19" max="19"/>
    <col width="18.86" customWidth="1" style="84" min="20" max="20"/>
    <col width="10.86" customWidth="1" style="84" min="21" max="21"/>
    <col width="11.86" customWidth="1" style="84" min="22" max="22"/>
    <col width="13.57" customWidth="1" style="84" min="23" max="23"/>
    <col width="17" customWidth="1" style="84" min="24" max="24"/>
    <col width="15.14" customWidth="1" style="84" min="25" max="25"/>
    <col width="15" customWidth="1" style="84" min="26" max="27"/>
    <col width="14" customWidth="1" style="84" min="28" max="28"/>
    <col width="18" customWidth="1" style="84" min="29" max="29"/>
    <col width="18" customWidth="1" style="84" min="30" max="30"/>
    <col width="22" customWidth="1" style="84" min="31" max="35"/>
    <col width="36" customWidth="1" style="84" min="34" max="34"/>
    <col width="36" customWidth="1" style="84" min="35" max="35"/>
    <col width="22" customWidth="1" style="84" min="36" max="36"/>
    <col width="48" customWidth="1" style="84" min="37" max="37"/>
    <col width="24" customWidth="1" style="84" min="38" max="38"/>
    <col width="26" customWidth="1" style="84" min="39" max="39"/>
    <col width="12" customWidth="1" style="84" min="40" max="40"/>
    <col width="16" customWidth="1" style="84" min="41" max="41"/>
    <col width="16" customWidth="1" style="84" min="42" max="42"/>
  </cols>
  <sheetData>
    <row r="1" ht="14.25" customHeight="1" s="84">
      <c r="A1" s="85" t="inlineStr">
        <is>
          <t>Admission ID</t>
        </is>
      </c>
      <c r="B1" s="85" t="inlineStr">
        <is>
          <t>Parent Name</t>
        </is>
      </c>
      <c r="C1" s="85" t="inlineStr">
        <is>
          <t>Mobile</t>
        </is>
      </c>
      <c r="D1" s="85" t="inlineStr">
        <is>
          <t>Email</t>
        </is>
      </c>
      <c r="E1" s="85" t="inlineStr">
        <is>
          <t>Address</t>
        </is>
      </c>
      <c r="F1" s="85" t="inlineStr">
        <is>
          <t>City</t>
        </is>
      </c>
      <c r="G1" s="85" t="inlineStr">
        <is>
          <t>Student Name</t>
        </is>
      </c>
      <c r="H1" s="85" t="inlineStr">
        <is>
          <t>Age</t>
        </is>
      </c>
      <c r="I1" s="85" t="inlineStr">
        <is>
          <t>Gender</t>
        </is>
      </c>
      <c r="J1" s="85" t="inlineStr">
        <is>
          <t>School</t>
        </is>
      </c>
      <c r="K1" s="85" t="inlineStr">
        <is>
          <t>Grade</t>
        </is>
      </c>
      <c r="L1" s="85" t="inlineStr">
        <is>
          <t>Level</t>
        </is>
      </c>
      <c r="M1" s="85" t="inlineStr">
        <is>
          <t>Batch Code</t>
        </is>
      </c>
      <c r="N1" s="85" t="inlineStr">
        <is>
          <t>Mode</t>
        </is>
      </c>
      <c r="O1" s="85" t="inlineStr">
        <is>
          <t>Start Date</t>
        </is>
      </c>
      <c r="P1" s="85" t="inlineStr">
        <is>
          <t>End Date</t>
        </is>
      </c>
      <c r="Q1" s="85" t="inlineStr">
        <is>
          <t>Status</t>
        </is>
      </c>
      <c r="R1" s="85" t="inlineStr">
        <is>
          <t>Total Fee</t>
        </is>
      </c>
      <c r="S1" s="85" t="inlineStr">
        <is>
          <t>Discount</t>
        </is>
      </c>
      <c r="T1" s="85" t="inlineStr">
        <is>
          <t>Manual Adjustment</t>
        </is>
      </c>
      <c r="U1" s="85" t="inlineStr">
        <is>
          <t>Adjusted Fee</t>
        </is>
      </c>
      <c r="V1" s="85" t="inlineStr">
        <is>
          <t>Total Paid</t>
        </is>
      </c>
      <c r="W1" s="85" t="inlineStr">
        <is>
          <t>Pending</t>
        </is>
      </c>
      <c r="X1" s="85" t="inlineStr">
        <is>
          <t>Payment Status</t>
        </is>
      </c>
      <c r="Y1" s="85" t="inlineStr">
        <is>
          <t>Admission Source</t>
        </is>
      </c>
      <c r="Z1" s="85" t="inlineStr">
        <is>
          <t>Referral Type</t>
        </is>
      </c>
      <c r="AA1" s="85" t="inlineStr">
        <is>
          <t>Referrer Name</t>
        </is>
      </c>
      <c r="AB1" s="86" t="inlineStr">
        <is>
          <t>Created Date</t>
        </is>
      </c>
      <c r="AC1" s="85" t="inlineStr">
        <is>
          <t>Send Certificate</t>
        </is>
      </c>
      <c r="AD1" s="85" t="inlineStr">
        <is>
          <t>Certificate Status</t>
        </is>
      </c>
      <c r="AE1" s="85" t="inlineStr">
        <is>
          <t>Certificate Number</t>
        </is>
      </c>
      <c r="AF1" s="85" t="inlineStr">
        <is>
          <t>Certificate Issue Date</t>
        </is>
      </c>
      <c r="AG1" s="85" t="inlineStr">
        <is>
          <t>Certificate Sent Date</t>
        </is>
      </c>
      <c r="AH1" s="85" t="inlineStr">
        <is>
          <t>Certificate PDF URL</t>
        </is>
      </c>
      <c r="AI1" s="85" t="inlineStr">
        <is>
          <t>Certificate Image URL</t>
        </is>
      </c>
      <c r="AJ1" s="85" t="inlineStr">
        <is>
          <t>Certificate WhatsApp Status</t>
        </is>
      </c>
      <c r="AK1" s="85" t="inlineStr">
        <is>
          <t>Certificate WhatsApp Link</t>
        </is>
      </c>
      <c r="AL1" s="85" t="inlineStr">
        <is>
          <t>Certificate WhatsApp Sent Date</t>
        </is>
      </c>
      <c r="AM1" s="85" t="inlineStr">
        <is>
          <t>Certificate Error</t>
        </is>
      </c>
      <c r="AN1" s="85" t="inlineStr">
        <is>
          <t>Send Receipt</t>
        </is>
      </c>
      <c r="AO1" s="85" t="inlineStr">
        <is>
          <t>Receipt Status</t>
        </is>
      </c>
      <c r="AP1" s="85" t="inlineStr">
        <is>
          <t>Notification Status</t>
        </is>
      </c>
    </row>
    <row r="2" ht="14.25" customHeight="1" s="84">
      <c r="A2" s="13" t="inlineStr">
        <is>
          <t>A1001</t>
        </is>
      </c>
      <c r="B2" s="49" t="inlineStr">
        <is>
          <t>Divya Bisen</t>
        </is>
      </c>
      <c r="C2" s="33" t="inlineStr">
        <is>
          <t>7898596308</t>
        </is>
      </c>
      <c r="D2" s="33" t="inlineStr">
        <is>
          <t>bisendivya13@gmail.com</t>
        </is>
      </c>
      <c r="E2" s="33" t="inlineStr">
        <is>
          <t>9a atlas Cosmos spring thane</t>
        </is>
      </c>
      <c r="F2" s="33" t="inlineStr">
        <is>
          <t>Thane</t>
        </is>
      </c>
      <c r="G2" s="49" t="inlineStr">
        <is>
          <t>Nitivya Katre</t>
        </is>
      </c>
      <c r="H2" s="13" t="n">
        <v>4</v>
      </c>
      <c r="I2" s="13" t="inlineStr">
        <is>
          <t>Male</t>
        </is>
      </c>
      <c r="J2" s="33" t="inlineStr">
        <is>
          <t>Millenium star kids</t>
        </is>
      </c>
      <c r="K2" s="13" t="inlineStr">
        <is>
          <t>Jr kg</t>
        </is>
      </c>
      <c r="L2" s="13" t="inlineStr">
        <is>
          <t>Basic</t>
        </is>
      </c>
      <c r="M2" s="13" t="n"/>
      <c r="N2" s="13" t="inlineStr">
        <is>
          <t>Online</t>
        </is>
      </c>
      <c r="O2" s="14" t="n">
        <v>46091</v>
      </c>
      <c r="P2" s="14" t="n">
        <v>46142</v>
      </c>
      <c r="Q2" s="13" t="inlineStr">
        <is>
          <t>Active</t>
        </is>
      </c>
      <c r="R2" s="23" t="n">
        <v>4500</v>
      </c>
      <c r="S2" s="23" t="n">
        <v>0</v>
      </c>
      <c r="T2" s="23" t="n">
        <v>0</v>
      </c>
      <c r="U2" s="23">
        <f t="array" ref="U2:U1080">IF(R2:R1080="", "", R2:R1080 - IF(S2:S1080="", 0, S2:S1080) + IF(T2:T1080="", 0, T2:T1080))</f>
        <v/>
      </c>
      <c r="V2" s="25">
        <f>IF(A2="","",SUMIF(payments!B:B,A2,payments!D:D))</f>
        <v/>
      </c>
      <c r="W2" s="17">
        <f t="array" ref="W2:W1080">IF(U2:U1080="","",U2:U1080-V2:V1080)</f>
        <v/>
      </c>
      <c r="X2" s="13">
        <f t="array" ref="X2:X1080">IF(U2:U1080="","",IF(V2:V1080=0,"Not Started",IF(V2:V1080&lt;U2:U1080,"Partial","Completed")))</f>
        <v/>
      </c>
      <c r="Y2" s="33" t="inlineStr">
        <is>
          <t>Friend Referral</t>
        </is>
      </c>
      <c r="Z2" s="33" t="inlineStr">
        <is>
          <t>Friend Referral</t>
        </is>
      </c>
      <c r="AA2" s="33" t="inlineStr">
        <is>
          <t>Https://excelkidshub.in/</t>
        </is>
      </c>
      <c r="AB2" s="18" t="n">
        <v>46096.75508101852</v>
      </c>
      <c r="AC2" s="87" t="n"/>
      <c r="AD2" s="87" t="n"/>
      <c r="AE2" s="88" t="n"/>
      <c r="AF2" s="89" t="n"/>
      <c r="AG2" s="89" t="n"/>
      <c r="AH2" s="88" t="n"/>
      <c r="AI2" s="88" t="n"/>
      <c r="AJ2" s="90" t="n"/>
      <c r="AK2" s="88" t="n"/>
      <c r="AL2" s="91" t="n"/>
      <c r="AM2" s="88" t="n"/>
      <c r="AN2" s="92" t="n"/>
      <c r="AO2" s="93" t="n"/>
      <c r="AP2" s="93" t="n"/>
    </row>
    <row r="3" ht="14.25" customHeight="1" s="84">
      <c r="A3" s="13" t="inlineStr">
        <is>
          <t>A1002</t>
        </is>
      </c>
      <c r="B3" s="49" t="inlineStr">
        <is>
          <t>Kirti Alkesh Tripathi</t>
        </is>
      </c>
      <c r="C3" s="33" t="inlineStr">
        <is>
          <t>9112307291</t>
        </is>
      </c>
      <c r="D3" s="33" t="inlineStr">
        <is>
          <t>kirti.tripathi0710@gmail.com</t>
        </is>
      </c>
      <c r="E3" s="33" t="inlineStr">
        <is>
          <t>Blue villa banglo,lane no 3,Vrindavan colony, kalwad road, opp bird blooming school near goodwill Fabian dhanori</t>
        </is>
      </c>
      <c r="F3" s="33" t="inlineStr">
        <is>
          <t>Pune</t>
        </is>
      </c>
      <c r="G3" s="49" t="inlineStr">
        <is>
          <t>Vedika Alkesh Tripathi</t>
        </is>
      </c>
      <c r="H3" s="13" t="n">
        <v>4</v>
      </c>
      <c r="I3" s="13" t="inlineStr">
        <is>
          <t>Female</t>
        </is>
      </c>
      <c r="J3" s="33" t="inlineStr">
        <is>
          <t>Symbiosis international school</t>
        </is>
      </c>
      <c r="K3" s="13" t="inlineStr">
        <is>
          <t>Ey-2</t>
        </is>
      </c>
      <c r="L3" s="13" t="inlineStr">
        <is>
          <t>Advanced</t>
        </is>
      </c>
      <c r="M3" s="13" t="n"/>
      <c r="N3" s="13" t="inlineStr">
        <is>
          <t>Offline</t>
        </is>
      </c>
      <c r="O3" s="14" t="n">
        <v>46091</v>
      </c>
      <c r="P3" s="14" t="n">
        <v>46157</v>
      </c>
      <c r="Q3" s="13" t="inlineStr">
        <is>
          <t>Active</t>
        </is>
      </c>
      <c r="R3" s="23" t="n">
        <v>8500</v>
      </c>
      <c r="S3" s="23" t="n">
        <v>0</v>
      </c>
      <c r="T3" s="23" t="n">
        <v>0</v>
      </c>
      <c r="U3" s="23" t="n">
        <v>8500</v>
      </c>
      <c r="V3" s="25">
        <f>IF(A3="","",SUMIF(payments!B:B,A3,payments!D:D))</f>
        <v/>
      </c>
      <c r="W3" s="23" t="n">
        <v>8500</v>
      </c>
      <c r="X3" s="13" t="inlineStr">
        <is>
          <t>Not Started</t>
        </is>
      </c>
      <c r="Y3" s="33" t="n"/>
      <c r="Z3" s="33" t="n"/>
      <c r="AA3" s="33" t="inlineStr">
        <is>
          <t>Https://excelkidshub.in/</t>
        </is>
      </c>
      <c r="AB3" s="18" t="n">
        <v>46097.00435185185</v>
      </c>
      <c r="AC3" s="87" t="n"/>
      <c r="AD3" s="87" t="n"/>
      <c r="AE3" s="88" t="n"/>
      <c r="AF3" s="89" t="n"/>
      <c r="AG3" s="89" t="n"/>
      <c r="AH3" s="88" t="n"/>
      <c r="AI3" s="88" t="n"/>
      <c r="AJ3" s="90" t="n"/>
      <c r="AK3" s="88" t="n"/>
      <c r="AL3" s="91" t="n"/>
      <c r="AM3" s="88" t="n"/>
      <c r="AN3" s="92" t="n"/>
      <c r="AO3" s="93" t="n"/>
      <c r="AP3" s="93" t="n"/>
    </row>
    <row r="4" ht="14.25" customHeight="1" s="84">
      <c r="A4" s="13" t="inlineStr">
        <is>
          <t>A1003</t>
        </is>
      </c>
      <c r="B4" s="49" t="inlineStr">
        <is>
          <t>Rishikesh Kakde</t>
        </is>
      </c>
      <c r="C4" s="33" t="inlineStr">
        <is>
          <t>9359896551</t>
        </is>
      </c>
      <c r="D4" s="33" t="inlineStr">
        <is>
          <t>shrutikakakde29@gmail.com</t>
        </is>
      </c>
      <c r="E4" s="33" t="inlineStr">
        <is>
          <t>Flat no.703,B wing, Nivasa uddan society, porwal road,lohegaon pune</t>
        </is>
      </c>
      <c r="F4" s="33" t="inlineStr">
        <is>
          <t>Pune</t>
        </is>
      </c>
      <c r="G4" s="49" t="inlineStr">
        <is>
          <t>Ridhanya Kakde</t>
        </is>
      </c>
      <c r="H4" s="13" t="n">
        <v>7</v>
      </c>
      <c r="I4" s="13" t="inlineStr">
        <is>
          <t>Female</t>
        </is>
      </c>
      <c r="J4" s="33" t="inlineStr">
        <is>
          <t>Dr.mar thephillous</t>
        </is>
      </c>
      <c r="K4" s="13" t="n">
        <v>2</v>
      </c>
      <c r="L4" s="13" t="inlineStr">
        <is>
          <t>Advanced</t>
        </is>
      </c>
      <c r="M4" s="13" t="n"/>
      <c r="N4" s="13" t="inlineStr">
        <is>
          <t>Online</t>
        </is>
      </c>
      <c r="O4" s="14" t="n">
        <v>46091</v>
      </c>
      <c r="P4" s="14" t="n">
        <v>46167</v>
      </c>
      <c r="Q4" s="13" t="inlineStr">
        <is>
          <t>Active</t>
        </is>
      </c>
      <c r="R4" s="23" t="n">
        <v>0</v>
      </c>
      <c r="S4" s="23" t="n">
        <v>0</v>
      </c>
      <c r="T4" s="23" t="n">
        <v>0</v>
      </c>
      <c r="U4" s="23" t="n">
        <v>0</v>
      </c>
      <c r="V4" s="25">
        <f>IF(A4="","",SUMIF(payments!B:B,A4,payments!D:D))</f>
        <v/>
      </c>
      <c r="W4" s="23" t="n">
        <v>0</v>
      </c>
      <c r="X4" s="13" t="inlineStr">
        <is>
          <t>Not Started</t>
        </is>
      </c>
      <c r="Y4" s="33" t="inlineStr">
        <is>
          <t>Social Media</t>
        </is>
      </c>
      <c r="Z4" s="33" t="n"/>
      <c r="AA4" s="33" t="inlineStr">
        <is>
          <t>Https://excelkidshub.in/</t>
        </is>
      </c>
      <c r="AB4" s="18" t="n">
        <v>46097.40538194445</v>
      </c>
      <c r="AC4" s="87" t="n"/>
      <c r="AD4" s="87" t="n"/>
      <c r="AE4" s="88" t="n"/>
      <c r="AF4" s="89" t="n"/>
      <c r="AG4" s="89" t="n"/>
      <c r="AH4" s="88" t="n"/>
      <c r="AI4" s="88" t="n"/>
      <c r="AJ4" s="90" t="n"/>
      <c r="AK4" s="88" t="n"/>
      <c r="AL4" s="91" t="n"/>
      <c r="AM4" s="88" t="n"/>
      <c r="AN4" s="92" t="n"/>
      <c r="AO4" s="93" t="n"/>
      <c r="AP4" s="93" t="n"/>
    </row>
    <row r="5" ht="14.25" customHeight="1" s="84">
      <c r="A5" s="13" t="inlineStr">
        <is>
          <t>A1004</t>
        </is>
      </c>
      <c r="B5" s="49" t="inlineStr">
        <is>
          <t>Ranjeeta Limje</t>
        </is>
      </c>
      <c r="C5" s="33" t="inlineStr">
        <is>
          <t>9636169689</t>
        </is>
      </c>
      <c r="D5" s="33" t="inlineStr">
        <is>
          <t>nidhishlimje@gmail.com</t>
        </is>
      </c>
      <c r="E5" s="33" t="inlineStr">
        <is>
          <t>EBRO f 304 omaxe riviera Rudarpur</t>
        </is>
      </c>
      <c r="F5" s="33" t="inlineStr">
        <is>
          <t>Pune</t>
        </is>
      </c>
      <c r="G5" s="49" t="inlineStr">
        <is>
          <t>Yashvi Limje</t>
        </is>
      </c>
      <c r="H5" s="13" t="n">
        <v>5</v>
      </c>
      <c r="I5" s="13" t="inlineStr">
        <is>
          <t>Female</t>
        </is>
      </c>
      <c r="J5" s="33" t="inlineStr">
        <is>
          <t>Shiny star modern school rudrapur</t>
        </is>
      </c>
      <c r="K5" s="13" t="inlineStr">
        <is>
          <t>LKG</t>
        </is>
      </c>
      <c r="L5" s="13" t="inlineStr">
        <is>
          <t>Basic</t>
        </is>
      </c>
      <c r="M5" s="13" t="n"/>
      <c r="N5" s="13" t="inlineStr">
        <is>
          <t>Online</t>
        </is>
      </c>
      <c r="O5" s="14" t="n">
        <v>46091</v>
      </c>
      <c r="P5" s="14" t="n">
        <v>46142</v>
      </c>
      <c r="Q5" s="13" t="inlineStr">
        <is>
          <t>Active</t>
        </is>
      </c>
      <c r="R5" s="23" t="n">
        <v>4500</v>
      </c>
      <c r="S5" s="23" t="n">
        <v>0</v>
      </c>
      <c r="T5" s="23" t="n">
        <v>0</v>
      </c>
      <c r="U5" s="23" t="n">
        <v>4500</v>
      </c>
      <c r="V5" s="25">
        <f>IF(A5="","",SUMIF(payments!B:B,A5,payments!D:D))</f>
        <v/>
      </c>
      <c r="W5" s="23" t="n">
        <v>4500</v>
      </c>
      <c r="X5" s="13" t="inlineStr">
        <is>
          <t>Not Started</t>
        </is>
      </c>
      <c r="Y5" s="33" t="inlineStr">
        <is>
          <t>Friend Referral</t>
        </is>
      </c>
      <c r="Z5" s="33" t="inlineStr">
        <is>
          <t>Friend Referral</t>
        </is>
      </c>
      <c r="AA5" s="33" t="inlineStr">
        <is>
          <t>Https://excelkidshub.in/</t>
        </is>
      </c>
      <c r="AB5" s="18" t="n">
        <v>46098.50813657408</v>
      </c>
      <c r="AC5" s="87" t="n"/>
      <c r="AD5" s="87" t="n"/>
      <c r="AE5" s="88" t="n"/>
      <c r="AF5" s="89" t="n"/>
      <c r="AG5" s="89" t="n"/>
      <c r="AH5" s="88" t="n"/>
      <c r="AI5" s="88" t="n"/>
      <c r="AJ5" s="90" t="n"/>
      <c r="AK5" s="88" t="n"/>
      <c r="AL5" s="91" t="n"/>
      <c r="AM5" s="88" t="n"/>
      <c r="AN5" s="92" t="n"/>
      <c r="AO5" s="93" t="n"/>
      <c r="AP5" s="93" t="n"/>
    </row>
    <row r="6" ht="14.25" customHeight="1" s="84">
      <c r="A6" s="13" t="inlineStr">
        <is>
          <t>A1005</t>
        </is>
      </c>
      <c r="B6" s="49" t="inlineStr">
        <is>
          <t>Shashikant Pandurang Suryawanshi</t>
        </is>
      </c>
      <c r="C6" s="33" t="inlineStr">
        <is>
          <t>9763401609</t>
        </is>
      </c>
      <c r="D6" s="33" t="inlineStr">
        <is>
          <t>shashi.surya@gmail.com</t>
        </is>
      </c>
      <c r="E6" s="33" t="inlineStr">
        <is>
          <t>A1302 Ganga new town, porwal road dhanori pune</t>
        </is>
      </c>
      <c r="F6" s="33" t="inlineStr">
        <is>
          <t>Pune</t>
        </is>
      </c>
      <c r="G6" s="49" t="inlineStr">
        <is>
          <t>Tanush Shashikant Suryawanshi</t>
        </is>
      </c>
      <c r="H6" s="13" t="n">
        <v>12</v>
      </c>
      <c r="I6" s="13" t="inlineStr">
        <is>
          <t>Male</t>
        </is>
      </c>
      <c r="J6" s="33" t="inlineStr">
        <is>
          <t>Dr. Martheophilus school</t>
        </is>
      </c>
      <c r="K6" s="13" t="n">
        <v>7</v>
      </c>
      <c r="L6" s="13" t="inlineStr">
        <is>
          <t>Advanced</t>
        </is>
      </c>
      <c r="M6" s="13" t="n"/>
      <c r="N6" s="13" t="inlineStr">
        <is>
          <t>Offline</t>
        </is>
      </c>
      <c r="O6" s="14" t="n">
        <v>46091</v>
      </c>
      <c r="P6" s="14" t="n">
        <v>46157</v>
      </c>
      <c r="Q6" s="13" t="inlineStr">
        <is>
          <t>Active</t>
        </is>
      </c>
      <c r="R6" s="23" t="n">
        <v>4500</v>
      </c>
      <c r="S6" s="23" t="n">
        <v>0</v>
      </c>
      <c r="T6" s="23" t="n">
        <v>0</v>
      </c>
      <c r="U6" s="23" t="n">
        <v>4500</v>
      </c>
      <c r="V6" s="25" t="n">
        <v>4500</v>
      </c>
      <c r="W6" s="23" t="n">
        <v>0</v>
      </c>
      <c r="X6" s="13" t="inlineStr">
        <is>
          <t>Completed</t>
        </is>
      </c>
      <c r="Y6" s="33" t="inlineStr">
        <is>
          <t>Online</t>
        </is>
      </c>
      <c r="Z6" s="33" t="n"/>
      <c r="AA6" s="33" t="inlineStr">
        <is>
          <t>Https://excelkidshub.in/</t>
        </is>
      </c>
      <c r="AB6" s="18" t="n">
        <v>46102.80670138889</v>
      </c>
      <c r="AC6" s="87" t="n"/>
      <c r="AD6" s="87" t="n"/>
      <c r="AE6" s="88" t="n"/>
      <c r="AF6" s="89" t="n"/>
      <c r="AG6" s="89" t="n"/>
      <c r="AH6" s="88" t="n"/>
      <c r="AI6" s="88" t="n"/>
      <c r="AJ6" s="90" t="n"/>
      <c r="AK6" s="88" t="n"/>
      <c r="AL6" s="91" t="n"/>
      <c r="AM6" s="88" t="n"/>
      <c r="AN6" s="92" t="n"/>
      <c r="AO6" s="93" t="n"/>
      <c r="AP6" s="93" t="n"/>
    </row>
    <row r="7" ht="14.25" customHeight="1" s="84">
      <c r="A7" s="13" t="inlineStr">
        <is>
          <t>A1006</t>
        </is>
      </c>
      <c r="B7" s="49" t="inlineStr">
        <is>
          <t>Nishant Indapure</t>
        </is>
      </c>
      <c r="C7" s="33" t="inlineStr">
        <is>
          <t>8421111038</t>
        </is>
      </c>
      <c r="D7" s="33" t="inlineStr">
        <is>
          <t>indapureshweta@gmail.com</t>
        </is>
      </c>
      <c r="E7" s="33" t="inlineStr">
        <is>
          <t>Nirvana lifecity C Wing Flat no 308 Lohagon</t>
        </is>
      </c>
      <c r="F7" s="33" t="inlineStr">
        <is>
          <t>Pune</t>
        </is>
      </c>
      <c r="G7" s="49" t="inlineStr">
        <is>
          <t>Nehesh Nishant Indapure</t>
        </is>
      </c>
      <c r="H7" s="13" t="n">
        <v>13</v>
      </c>
      <c r="I7" s="13" t="inlineStr">
        <is>
          <t>Male</t>
        </is>
      </c>
      <c r="J7" s="33" t="inlineStr">
        <is>
          <t>Pune Internatinal school</t>
        </is>
      </c>
      <c r="K7" s="13" t="n">
        <v>7</v>
      </c>
      <c r="L7" s="13" t="inlineStr">
        <is>
          <t>Advanced</t>
        </is>
      </c>
      <c r="M7" s="13" t="n"/>
      <c r="N7" s="13" t="inlineStr">
        <is>
          <t>Offline</t>
        </is>
      </c>
      <c r="O7" s="14" t="n">
        <v>46091</v>
      </c>
      <c r="P7" s="14" t="n">
        <v>46157</v>
      </c>
      <c r="Q7" s="13" t="inlineStr">
        <is>
          <t>Active</t>
        </is>
      </c>
      <c r="R7" s="23" t="n">
        <v>4500</v>
      </c>
      <c r="S7" s="23" t="n">
        <v>0</v>
      </c>
      <c r="T7" s="23" t="n">
        <v>1000</v>
      </c>
      <c r="U7" s="23" t="n">
        <v>5500</v>
      </c>
      <c r="V7" s="25">
        <f>IF(A7="","",SUMIF(payments!B:B,A7,payments!D:D))</f>
        <v/>
      </c>
      <c r="W7" s="23" t="n">
        <v>5500</v>
      </c>
      <c r="X7" s="13" t="inlineStr">
        <is>
          <t>Not Started</t>
        </is>
      </c>
      <c r="Y7" s="33" t="inlineStr">
        <is>
          <t>Friend Referral</t>
        </is>
      </c>
      <c r="Z7" s="33" t="inlineStr">
        <is>
          <t>Friend Referral</t>
        </is>
      </c>
      <c r="AA7" s="33" t="inlineStr">
        <is>
          <t>Https://excelkidshub.in/</t>
        </is>
      </c>
      <c r="AB7" s="18" t="n">
        <v>46102.98366898148</v>
      </c>
      <c r="AC7" s="87" t="n"/>
      <c r="AD7" s="87" t="n"/>
      <c r="AE7" s="88" t="n"/>
      <c r="AF7" s="89" t="n"/>
      <c r="AG7" s="89" t="n"/>
      <c r="AH7" s="88" t="n"/>
      <c r="AI7" s="88" t="n"/>
      <c r="AJ7" s="90" t="n"/>
      <c r="AK7" s="88" t="n"/>
      <c r="AL7" s="91" t="n"/>
      <c r="AM7" s="88" t="n"/>
      <c r="AN7" s="92" t="n"/>
      <c r="AO7" s="93" t="n"/>
      <c r="AP7" s="93" t="n"/>
    </row>
    <row r="8" ht="14.25" customHeight="1" s="84">
      <c r="A8" s="13" t="inlineStr">
        <is>
          <t>A1007</t>
        </is>
      </c>
      <c r="B8" s="49" t="inlineStr">
        <is>
          <t>Nishant Indapure</t>
        </is>
      </c>
      <c r="C8" s="33" t="inlineStr">
        <is>
          <t>8421111038</t>
        </is>
      </c>
      <c r="D8" s="33" t="inlineStr">
        <is>
          <t>indapureshweta@gmail.com</t>
        </is>
      </c>
      <c r="E8" s="33" t="inlineStr">
        <is>
          <t>Nirvana lifecity Lohagon Pune</t>
        </is>
      </c>
      <c r="F8" s="33" t="inlineStr">
        <is>
          <t>Pune</t>
        </is>
      </c>
      <c r="G8" s="49" t="inlineStr">
        <is>
          <t>Nehesh Indapure</t>
        </is>
      </c>
      <c r="H8" s="13" t="n">
        <v>13</v>
      </c>
      <c r="I8" s="13" t="inlineStr">
        <is>
          <t>Male</t>
        </is>
      </c>
      <c r="J8" s="33" t="inlineStr">
        <is>
          <t>Pune Internationl School</t>
        </is>
      </c>
      <c r="K8" s="13" t="n">
        <v>7</v>
      </c>
      <c r="L8" s="13" t="inlineStr">
        <is>
          <t>Advanced</t>
        </is>
      </c>
      <c r="M8" s="51" t="inlineStr">
        <is>
          <t>Offline L2-B10 Apr'26</t>
        </is>
      </c>
      <c r="N8" s="13" t="inlineStr">
        <is>
          <t>Offline</t>
        </is>
      </c>
      <c r="O8" s="14" t="n">
        <v>46091</v>
      </c>
      <c r="P8" s="14" t="n">
        <v>46157</v>
      </c>
      <c r="Q8" s="13" t="inlineStr">
        <is>
          <t>Active</t>
        </is>
      </c>
      <c r="R8" s="23" t="n">
        <v>6500</v>
      </c>
      <c r="S8" s="23" t="n">
        <v>0</v>
      </c>
      <c r="T8" s="23" t="n">
        <v>0</v>
      </c>
      <c r="U8" s="23" t="n">
        <v>6500</v>
      </c>
      <c r="V8" s="25" t="n">
        <v>500</v>
      </c>
      <c r="W8" s="23" t="n">
        <v>6000</v>
      </c>
      <c r="X8" s="13" t="inlineStr">
        <is>
          <t>Partial</t>
        </is>
      </c>
      <c r="Y8" s="33" t="inlineStr">
        <is>
          <t>Friend Referral</t>
        </is>
      </c>
      <c r="Z8" s="33" t="inlineStr">
        <is>
          <t>Friend Referral</t>
        </is>
      </c>
      <c r="AA8" s="33" t="inlineStr">
        <is>
          <t>Https://excelkidshub.in/</t>
        </is>
      </c>
      <c r="AB8" s="18" t="n">
        <v>46103.40208333333</v>
      </c>
      <c r="AC8" s="87" t="n"/>
      <c r="AD8" s="87" t="n"/>
      <c r="AE8" s="88" t="n"/>
      <c r="AF8" s="89" t="n"/>
      <c r="AG8" s="89" t="n"/>
      <c r="AH8" s="88" t="n"/>
      <c r="AI8" s="88" t="n"/>
      <c r="AJ8" s="90" t="n"/>
      <c r="AK8" s="88" t="n"/>
      <c r="AL8" s="91" t="n"/>
      <c r="AM8" s="88" t="n"/>
      <c r="AN8" s="92" t="n"/>
      <c r="AO8" s="93" t="n"/>
      <c r="AP8" s="93" t="n"/>
    </row>
    <row r="9" ht="14.25" customHeight="1" s="84">
      <c r="A9" s="13" t="inlineStr">
        <is>
          <t>A1008</t>
        </is>
      </c>
      <c r="B9" s="49" t="inlineStr">
        <is>
          <t>Aayesha Jawed Shaikh</t>
        </is>
      </c>
      <c r="C9" s="33" t="inlineStr">
        <is>
          <t>8888810799</t>
        </is>
      </c>
      <c r="D9" s="33" t="inlineStr">
        <is>
          <t>aayesha.shaikh84@gmail.com</t>
        </is>
      </c>
      <c r="E9" s="33" t="inlineStr">
        <is>
          <t>Nirman Society,lane 11B, Mumjaba vasti, Dhanori</t>
        </is>
      </c>
      <c r="F9" s="33" t="inlineStr">
        <is>
          <t>Pune</t>
        </is>
      </c>
      <c r="G9" s="49" t="inlineStr">
        <is>
          <t>Aakib Jawed Shaikh</t>
        </is>
      </c>
      <c r="H9" s="13" t="n">
        <v>8</v>
      </c>
      <c r="I9" s="13" t="inlineStr">
        <is>
          <t>Male</t>
        </is>
      </c>
      <c r="J9" s="33" t="inlineStr">
        <is>
          <t>Dr. Mar Theophilus School</t>
        </is>
      </c>
      <c r="K9" s="13" t="n">
        <v>3</v>
      </c>
      <c r="L9" s="13" t="inlineStr">
        <is>
          <t>Advanced</t>
        </is>
      </c>
      <c r="M9" s="51" t="inlineStr">
        <is>
          <t>Offline L3-B9 Apr'26</t>
        </is>
      </c>
      <c r="N9" s="13" t="inlineStr">
        <is>
          <t>Offline</t>
        </is>
      </c>
      <c r="O9" s="14" t="n">
        <v>46091</v>
      </c>
      <c r="P9" s="14" t="n">
        <v>46157</v>
      </c>
      <c r="Q9" s="13" t="inlineStr">
        <is>
          <t>Active</t>
        </is>
      </c>
      <c r="R9" s="23" t="n">
        <v>6500</v>
      </c>
      <c r="S9" s="23" t="n">
        <v>0</v>
      </c>
      <c r="T9" s="23" t="n">
        <v>0</v>
      </c>
      <c r="U9" s="23" t="n">
        <v>6500</v>
      </c>
      <c r="V9" s="25" t="n">
        <v>500</v>
      </c>
      <c r="W9" s="23" t="n">
        <v>6000</v>
      </c>
      <c r="X9" s="13" t="inlineStr">
        <is>
          <t>Partial</t>
        </is>
      </c>
      <c r="Y9" s="33" t="inlineStr">
        <is>
          <t>Friend Referral</t>
        </is>
      </c>
      <c r="Z9" s="33" t="inlineStr">
        <is>
          <t>Friend Referral</t>
        </is>
      </c>
      <c r="AA9" s="33" t="inlineStr">
        <is>
          <t>Https://excelkidshub.in/</t>
        </is>
      </c>
      <c r="AB9" s="18" t="n">
        <v>46105.59325231481</v>
      </c>
      <c r="AC9" s="87" t="n"/>
      <c r="AD9" s="87" t="n"/>
      <c r="AE9" s="88" t="n"/>
      <c r="AF9" s="89" t="n"/>
      <c r="AG9" s="89" t="n"/>
      <c r="AH9" s="88" t="n"/>
      <c r="AI9" s="88" t="n"/>
      <c r="AJ9" s="90" t="n"/>
      <c r="AK9" s="88" t="n"/>
      <c r="AL9" s="91" t="n"/>
      <c r="AM9" s="88" t="n"/>
      <c r="AN9" s="92" t="n"/>
      <c r="AO9" s="93" t="n"/>
      <c r="AP9" s="93" t="n"/>
    </row>
    <row r="10" ht="14.25" customHeight="1" s="84">
      <c r="A10" s="13" t="inlineStr">
        <is>
          <t>A1009</t>
        </is>
      </c>
      <c r="B10" s="49" t="inlineStr">
        <is>
          <t>Kartikkumar Shah</t>
        </is>
      </c>
      <c r="C10" s="33" t="inlineStr">
        <is>
          <t>9998761858</t>
        </is>
      </c>
      <c r="D10" s="33" t="inlineStr">
        <is>
          <t>honeykartikshah1@gmail.com</t>
        </is>
      </c>
      <c r="E10" s="33" t="inlineStr">
        <is>
          <t>Bungalow No 72, Lane no 7, Munjabwasti,Dhanori</t>
        </is>
      </c>
      <c r="F10" s="33" t="inlineStr">
        <is>
          <t>Pune</t>
        </is>
      </c>
      <c r="G10" s="49" t="inlineStr">
        <is>
          <t>Aayanshi Kartikkumar Shah</t>
        </is>
      </c>
      <c r="H10" s="13" t="n">
        <v>5</v>
      </c>
      <c r="I10" s="13" t="inlineStr">
        <is>
          <t>Female</t>
        </is>
      </c>
      <c r="J10" s="33" t="inlineStr">
        <is>
          <t>Dr Mar Theophilus School</t>
        </is>
      </c>
      <c r="K10" s="13" t="inlineStr">
        <is>
          <t>UKG</t>
        </is>
      </c>
      <c r="L10" s="13" t="inlineStr">
        <is>
          <t>Basic</t>
        </is>
      </c>
      <c r="M10" s="51" t="inlineStr">
        <is>
          <t>Offline L1-B11 Apr'26</t>
        </is>
      </c>
      <c r="N10" s="13" t="inlineStr">
        <is>
          <t>Offline</t>
        </is>
      </c>
      <c r="O10" s="14" t="n">
        <v>46091</v>
      </c>
      <c r="P10" s="14" t="n">
        <v>46142</v>
      </c>
      <c r="Q10" s="13" t="inlineStr">
        <is>
          <t>Active</t>
        </is>
      </c>
      <c r="R10" s="23" t="n">
        <v>4500</v>
      </c>
      <c r="S10" s="23" t="n">
        <v>0</v>
      </c>
      <c r="T10" s="23" t="n">
        <v>0</v>
      </c>
      <c r="U10" s="23" t="n">
        <v>4500</v>
      </c>
      <c r="V10" s="25" t="n">
        <v>4500</v>
      </c>
      <c r="W10" s="23" t="n">
        <v>0</v>
      </c>
      <c r="X10" s="13" t="inlineStr">
        <is>
          <t>Completed</t>
        </is>
      </c>
      <c r="Y10" s="33" t="inlineStr">
        <is>
          <t>Friend Referral</t>
        </is>
      </c>
      <c r="Z10" s="33" t="inlineStr">
        <is>
          <t>Friend Referral</t>
        </is>
      </c>
      <c r="AA10" s="33" t="inlineStr">
        <is>
          <t>Https://excelkidshub.in/</t>
        </is>
      </c>
      <c r="AB10" s="18" t="n">
        <v>46105.64646990741</v>
      </c>
      <c r="AC10" s="87" t="n"/>
      <c r="AD10" s="87" t="n"/>
      <c r="AE10" s="88" t="n"/>
      <c r="AF10" s="89" t="n"/>
      <c r="AG10" s="89" t="n"/>
      <c r="AH10" s="88" t="n"/>
      <c r="AI10" s="88" t="n"/>
      <c r="AJ10" s="90" t="n"/>
      <c r="AK10" s="88" t="n"/>
      <c r="AL10" s="91" t="n"/>
      <c r="AM10" s="88" t="n"/>
      <c r="AN10" s="94" t="inlineStr">
        <is>
          <t>Send</t>
        </is>
      </c>
      <c r="AO10" s="87" t="inlineStr">
        <is>
          <t>Email Sent</t>
        </is>
      </c>
      <c r="AP10" s="87" t="n"/>
    </row>
    <row r="11" ht="14.25" customHeight="1" s="84">
      <c r="A11" s="13" t="inlineStr">
        <is>
          <t>A1010</t>
        </is>
      </c>
      <c r="B11" s="49" t="inlineStr">
        <is>
          <t>Shubha Akshay Kale</t>
        </is>
      </c>
      <c r="C11" s="33" t="inlineStr">
        <is>
          <t>9404303558</t>
        </is>
      </c>
      <c r="D11" s="33" t="inlineStr">
        <is>
          <t>dr.shubhangipachkavde@gmail.com</t>
        </is>
      </c>
      <c r="E11" s="33" t="inlineStr">
        <is>
          <t>29 gold coast society opposite to Atria Munjaba wasti Tingare nagar Dhanori</t>
        </is>
      </c>
      <c r="F11" s="33" t="inlineStr">
        <is>
          <t>Pune</t>
        </is>
      </c>
      <c r="G11" s="49" t="inlineStr">
        <is>
          <t>Saavi Akshay Kale</t>
        </is>
      </c>
      <c r="H11" s="13" t="n">
        <v>6</v>
      </c>
      <c r="I11" s="13" t="inlineStr">
        <is>
          <t>Female</t>
        </is>
      </c>
      <c r="J11" s="33" t="inlineStr">
        <is>
          <t>bai najamai nosherwan dastur primary school</t>
        </is>
      </c>
      <c r="K11" s="13" t="n">
        <v>1</v>
      </c>
      <c r="L11" s="13" t="inlineStr">
        <is>
          <t>Advanced</t>
        </is>
      </c>
      <c r="M11" s="51" t="inlineStr">
        <is>
          <t>Online L2-B8 Apr'26</t>
        </is>
      </c>
      <c r="N11" s="13" t="inlineStr">
        <is>
          <t>Online</t>
        </is>
      </c>
      <c r="O11" s="14" t="n">
        <v>46091</v>
      </c>
      <c r="P11" s="14" t="n">
        <v>46167</v>
      </c>
      <c r="Q11" s="13" t="inlineStr">
        <is>
          <t>Active</t>
        </is>
      </c>
      <c r="R11" s="23" t="n">
        <v>6500</v>
      </c>
      <c r="S11" s="23" t="n">
        <v>0</v>
      </c>
      <c r="T11" s="23" t="n">
        <v>0</v>
      </c>
      <c r="U11" s="23" t="n">
        <v>6500</v>
      </c>
      <c r="V11" s="25" t="n">
        <v>6500</v>
      </c>
      <c r="W11" s="23" t="n">
        <v>0</v>
      </c>
      <c r="X11" s="13" t="inlineStr">
        <is>
          <t>Completed</t>
        </is>
      </c>
      <c r="Y11" s="33" t="inlineStr">
        <is>
          <t>Friend Referral</t>
        </is>
      </c>
      <c r="Z11" s="33" t="inlineStr">
        <is>
          <t>Friend Referral</t>
        </is>
      </c>
      <c r="AA11" s="33" t="inlineStr">
        <is>
          <t>Https://excelkidshub.in/</t>
        </is>
      </c>
      <c r="AB11" s="18" t="n">
        <v>46105.96179398148</v>
      </c>
      <c r="AC11" s="87" t="n"/>
      <c r="AD11" s="87" t="n"/>
      <c r="AE11" s="88" t="n"/>
      <c r="AF11" s="89" t="n"/>
      <c r="AG11" s="89" t="n"/>
      <c r="AH11" s="88" t="n"/>
      <c r="AI11" s="88" t="n"/>
      <c r="AJ11" s="90" t="n"/>
      <c r="AK11" s="88" t="n"/>
      <c r="AL11" s="91" t="n"/>
      <c r="AM11" s="88" t="n"/>
      <c r="AN11" s="92" t="n"/>
      <c r="AO11" s="93" t="n"/>
      <c r="AP11" s="93" t="n"/>
    </row>
    <row r="12" ht="14.25" customHeight="1" s="84">
      <c r="A12" s="13" t="inlineStr">
        <is>
          <t>A1011</t>
        </is>
      </c>
      <c r="B12" s="49" t="inlineStr">
        <is>
          <t>Pragya Sakhare</t>
        </is>
      </c>
      <c r="C12" s="33" t="inlineStr">
        <is>
          <t>9303586081  , 9424980082</t>
        </is>
      </c>
      <c r="D12" s="33" t="inlineStr">
        <is>
          <t>karunasakhare0545@gmail.com</t>
        </is>
      </c>
      <c r="E12" s="33" t="inlineStr">
        <is>
          <t>Ward no. 1 himachal nager waraseoni district Balaghat</t>
        </is>
      </c>
      <c r="F12" s="33" t="inlineStr">
        <is>
          <t>Pune</t>
        </is>
      </c>
      <c r="G12" s="49" t="inlineStr">
        <is>
          <t>Pratyusha Indurkar</t>
        </is>
      </c>
      <c r="H12" s="13" t="n">
        <v>5</v>
      </c>
      <c r="I12" s="13" t="inlineStr">
        <is>
          <t>Female</t>
        </is>
      </c>
      <c r="J12" s="33" t="inlineStr">
        <is>
          <t>Keshav english school waraseoni district Balaghat mp</t>
        </is>
      </c>
      <c r="K12" s="13" t="inlineStr">
        <is>
          <t>UKG</t>
        </is>
      </c>
      <c r="L12" s="13" t="inlineStr">
        <is>
          <t>Advanced</t>
        </is>
      </c>
      <c r="M12" s="51" t="inlineStr">
        <is>
          <t>Online L2-B8 Apr'26</t>
        </is>
      </c>
      <c r="N12" s="13" t="inlineStr">
        <is>
          <t>Online</t>
        </is>
      </c>
      <c r="O12" s="14" t="n">
        <v>46091</v>
      </c>
      <c r="P12" s="14" t="n">
        <v>46167</v>
      </c>
      <c r="Q12" s="13" t="inlineStr">
        <is>
          <t>Active</t>
        </is>
      </c>
      <c r="R12" s="23" t="n">
        <v>6500</v>
      </c>
      <c r="S12" s="23" t="n">
        <v>500</v>
      </c>
      <c r="T12" s="23" t="n">
        <v>0</v>
      </c>
      <c r="U12" s="23" t="n">
        <v>6000</v>
      </c>
      <c r="V12" s="25" t="n">
        <v>6000</v>
      </c>
      <c r="W12" s="23" t="n">
        <v>0</v>
      </c>
      <c r="X12" s="13" t="inlineStr">
        <is>
          <t>Completed</t>
        </is>
      </c>
      <c r="Y12" s="33" t="inlineStr">
        <is>
          <t>Friend Referral</t>
        </is>
      </c>
      <c r="Z12" s="33" t="inlineStr">
        <is>
          <t>Friend Referral</t>
        </is>
      </c>
      <c r="AA12" s="33" t="inlineStr">
        <is>
          <t>Https://excelkidshub.in/</t>
        </is>
      </c>
      <c r="AB12" s="18" t="n">
        <v>46107.00704861111</v>
      </c>
      <c r="AC12" s="87" t="n"/>
      <c r="AD12" s="87" t="n"/>
      <c r="AE12" s="88" t="n"/>
      <c r="AF12" s="89" t="n"/>
      <c r="AG12" s="89" t="n"/>
      <c r="AH12" s="88" t="n"/>
      <c r="AI12" s="88" t="n"/>
      <c r="AJ12" s="90" t="n"/>
      <c r="AK12" s="88" t="n"/>
      <c r="AL12" s="91" t="n"/>
      <c r="AM12" s="88" t="n"/>
      <c r="AN12" s="92" t="n"/>
      <c r="AO12" s="93" t="n"/>
      <c r="AP12" s="93" t="n"/>
    </row>
    <row r="13" ht="14.25" customHeight="1" s="84">
      <c r="A13" s="13" t="inlineStr">
        <is>
          <t>A1012</t>
        </is>
      </c>
      <c r="B13" s="49" t="inlineStr">
        <is>
          <t>Vishal Vaidya</t>
        </is>
      </c>
      <c r="C13" s="33" t="inlineStr">
        <is>
          <t>9822672693</t>
        </is>
      </c>
      <c r="D13" s="33" t="inlineStr">
        <is>
          <t>vishal.v1988@gmail.com</t>
        </is>
      </c>
      <c r="E13" s="33" t="inlineStr">
        <is>
          <t>Ganga Niwas Munjaba wasti Dhanori</t>
        </is>
      </c>
      <c r="F13" s="33" t="inlineStr">
        <is>
          <t>Pune</t>
        </is>
      </c>
      <c r="G13" s="49" t="inlineStr">
        <is>
          <t>Anika Vaidya</t>
        </is>
      </c>
      <c r="H13" s="13" t="n">
        <v>6</v>
      </c>
      <c r="I13" s="13" t="inlineStr">
        <is>
          <t>Female</t>
        </is>
      </c>
      <c r="J13" s="33" t="inlineStr">
        <is>
          <t>Erin N nagarwala</t>
        </is>
      </c>
      <c r="K13" s="13" t="n">
        <v>2</v>
      </c>
      <c r="L13" s="13" t="inlineStr">
        <is>
          <t>Advanced</t>
        </is>
      </c>
      <c r="M13" s="13" t="n"/>
      <c r="N13" s="13" t="inlineStr">
        <is>
          <t>Offline</t>
        </is>
      </c>
      <c r="O13" s="14" t="n">
        <v>46091</v>
      </c>
      <c r="P13" s="14" t="n">
        <v>46157</v>
      </c>
      <c r="Q13" s="13" t="inlineStr">
        <is>
          <t>Active</t>
        </is>
      </c>
      <c r="R13" s="23" t="n">
        <v>0</v>
      </c>
      <c r="S13" s="23" t="n">
        <v>0</v>
      </c>
      <c r="T13" s="23" t="n">
        <v>0</v>
      </c>
      <c r="U13" s="23" t="n">
        <v>0</v>
      </c>
      <c r="V13" s="25">
        <f>IF(A13="","",SUMIF(payments!B:B,A13,payments!D:D))</f>
        <v/>
      </c>
      <c r="W13" s="23" t="n">
        <v>0</v>
      </c>
      <c r="X13" s="13" t="inlineStr">
        <is>
          <t>Not Started</t>
        </is>
      </c>
      <c r="Y13" s="33" t="inlineStr">
        <is>
          <t>Friend Referral</t>
        </is>
      </c>
      <c r="Z13" s="33" t="inlineStr">
        <is>
          <t>Friend Referral</t>
        </is>
      </c>
      <c r="AA13" s="33" t="inlineStr">
        <is>
          <t>Https://excelkidshub.in/</t>
        </is>
      </c>
      <c r="AB13" s="18" t="n">
        <v>46111.49524305556</v>
      </c>
      <c r="AC13" s="87" t="n"/>
      <c r="AD13" s="87" t="n"/>
      <c r="AE13" s="88" t="n"/>
      <c r="AF13" s="89" t="n"/>
      <c r="AG13" s="89" t="n"/>
      <c r="AH13" s="88" t="n"/>
      <c r="AI13" s="88" t="n"/>
      <c r="AJ13" s="90" t="n"/>
      <c r="AK13" s="88" t="n"/>
      <c r="AL13" s="91" t="n"/>
      <c r="AM13" s="88" t="n"/>
      <c r="AN13" s="92" t="n"/>
      <c r="AO13" s="93" t="n"/>
      <c r="AP13" s="93" t="n"/>
    </row>
    <row r="14" ht="14.25" customHeight="1" s="84">
      <c r="A14" s="13" t="inlineStr">
        <is>
          <t>A1013</t>
        </is>
      </c>
      <c r="B14" s="49" t="inlineStr">
        <is>
          <t>Vishal Vaidya</t>
        </is>
      </c>
      <c r="C14" s="33" t="inlineStr">
        <is>
          <t>9822672693</t>
        </is>
      </c>
      <c r="D14" s="33" t="inlineStr">
        <is>
          <t>vishal.v1988@gmail.com</t>
        </is>
      </c>
      <c r="E14" s="33" t="inlineStr">
        <is>
          <t>Ganga Niwas Munjaba wasti Dhanori</t>
        </is>
      </c>
      <c r="F14" s="33" t="inlineStr">
        <is>
          <t>Pune</t>
        </is>
      </c>
      <c r="G14" s="49" t="inlineStr">
        <is>
          <t>Vivaan Vaidya</t>
        </is>
      </c>
      <c r="H14" s="13" t="n">
        <v>9</v>
      </c>
      <c r="I14" s="13" t="inlineStr">
        <is>
          <t>Male</t>
        </is>
      </c>
      <c r="J14" s="33" t="inlineStr">
        <is>
          <t>KV BEG</t>
        </is>
      </c>
      <c r="K14" s="13" t="n">
        <v>4</v>
      </c>
      <c r="L14" s="13" t="inlineStr">
        <is>
          <t>Advanced</t>
        </is>
      </c>
      <c r="M14" s="13" t="n"/>
      <c r="N14" s="13" t="inlineStr">
        <is>
          <t>Offline</t>
        </is>
      </c>
      <c r="O14" s="14" t="n">
        <v>46091</v>
      </c>
      <c r="P14" s="14" t="n">
        <v>46157</v>
      </c>
      <c r="Q14" s="13" t="inlineStr">
        <is>
          <t>Active</t>
        </is>
      </c>
      <c r="R14" s="23" t="n">
        <v>0</v>
      </c>
      <c r="S14" s="23" t="n">
        <v>0</v>
      </c>
      <c r="T14" s="23" t="n">
        <v>0</v>
      </c>
      <c r="U14" s="23" t="n">
        <v>0</v>
      </c>
      <c r="V14" s="25">
        <f>IF(A14="","",SUMIF(payments!B:B,A14,payments!D:D))</f>
        <v/>
      </c>
      <c r="W14" s="23" t="n">
        <v>0</v>
      </c>
      <c r="X14" s="13" t="inlineStr">
        <is>
          <t>Not Started</t>
        </is>
      </c>
      <c r="Y14" s="33" t="inlineStr">
        <is>
          <t>Friend Referral</t>
        </is>
      </c>
      <c r="Z14" s="33" t="inlineStr">
        <is>
          <t>Friend Referral</t>
        </is>
      </c>
      <c r="AA14" s="33" t="inlineStr">
        <is>
          <t>Https://forms.zohopublic.in/excelkidshubzoho1/form/parentenquiryformexcelkidshubphonicsacademy/thankyou/formperma/eoaa5qfag8-0p2dnh5dgzpadjzllhkthogwpbgu7tza</t>
        </is>
      </c>
      <c r="AB14" s="18" t="n">
        <v>46111.4965625</v>
      </c>
      <c r="AC14" s="87" t="n"/>
      <c r="AD14" s="87" t="n"/>
      <c r="AE14" s="88" t="n"/>
      <c r="AF14" s="89" t="n"/>
      <c r="AG14" s="89" t="n"/>
      <c r="AH14" s="88" t="n"/>
      <c r="AI14" s="88" t="n"/>
      <c r="AJ14" s="90" t="n"/>
      <c r="AK14" s="88" t="n"/>
      <c r="AL14" s="91" t="n"/>
      <c r="AM14" s="88" t="n"/>
      <c r="AN14" s="92" t="n"/>
      <c r="AO14" s="93" t="n"/>
      <c r="AP14" s="93" t="n"/>
    </row>
    <row r="15" ht="14.25" customHeight="1" s="84">
      <c r="A15" s="13" t="inlineStr">
        <is>
          <t>A1014</t>
        </is>
      </c>
      <c r="B15" s="49" t="inlineStr">
        <is>
          <t>Pranjal Chincholkar</t>
        </is>
      </c>
      <c r="C15" s="33" t="inlineStr">
        <is>
          <t>9373304880</t>
        </is>
      </c>
      <c r="D15" s="33" t="inlineStr">
        <is>
          <t>pranjalchincholkar90@gmail.com</t>
        </is>
      </c>
      <c r="E15" s="33" t="inlineStr">
        <is>
          <t>Bhawani Prasad plot no 10, Ramchandra Nagar Lohegaon Khandve Nagar</t>
        </is>
      </c>
      <c r="F15" s="33" t="inlineStr">
        <is>
          <t>Pune</t>
        </is>
      </c>
      <c r="G15" s="49" t="inlineStr">
        <is>
          <t>Anvi Prasad Chincholkar</t>
        </is>
      </c>
      <c r="H15" s="13" t="n">
        <v>5</v>
      </c>
      <c r="I15" s="13" t="inlineStr">
        <is>
          <t>Female</t>
        </is>
      </c>
      <c r="J15" s="33" t="inlineStr">
        <is>
          <t>St. Anne's high school</t>
        </is>
      </c>
      <c r="K15" s="13" t="inlineStr">
        <is>
          <t>UKG</t>
        </is>
      </c>
      <c r="L15" s="13" t="inlineStr">
        <is>
          <t>Basic</t>
        </is>
      </c>
      <c r="M15" s="13" t="n"/>
      <c r="N15" s="13" t="inlineStr">
        <is>
          <t>Online</t>
        </is>
      </c>
      <c r="O15" s="14" t="n">
        <v>46091</v>
      </c>
      <c r="P15" s="14" t="n">
        <v>46142</v>
      </c>
      <c r="Q15" s="13" t="inlineStr">
        <is>
          <t>Active</t>
        </is>
      </c>
      <c r="R15" s="23" t="n">
        <v>0</v>
      </c>
      <c r="S15" s="23" t="n">
        <v>0</v>
      </c>
      <c r="T15" s="23" t="n">
        <v>0</v>
      </c>
      <c r="U15" s="23" t="n">
        <v>0</v>
      </c>
      <c r="V15" s="25">
        <f>IF(A15="","",SUMIF(payments!B:B,A15,payments!D:D))</f>
        <v/>
      </c>
      <c r="W15" s="23" t="n">
        <v>0</v>
      </c>
      <c r="X15" s="13" t="inlineStr">
        <is>
          <t>Not Started</t>
        </is>
      </c>
      <c r="Y15" s="33" t="n"/>
      <c r="Z15" s="33" t="n"/>
      <c r="AA15" s="33" t="n"/>
      <c r="AB15" s="18" t="n">
        <v>46070.77478009259</v>
      </c>
      <c r="AC15" s="87" t="n"/>
      <c r="AD15" s="87" t="n"/>
      <c r="AE15" s="88" t="n"/>
      <c r="AF15" s="89" t="n"/>
      <c r="AG15" s="89" t="n"/>
      <c r="AH15" s="88" t="n"/>
      <c r="AI15" s="88" t="n"/>
      <c r="AJ15" s="90" t="n"/>
      <c r="AK15" s="88" t="n"/>
      <c r="AL15" s="91" t="n"/>
      <c r="AM15" s="88" t="n"/>
      <c r="AN15" s="92" t="n"/>
      <c r="AO15" s="93" t="n"/>
      <c r="AP15" s="93" t="n"/>
    </row>
    <row r="16" ht="14.25" customHeight="1" s="84">
      <c r="A16" s="13" t="inlineStr">
        <is>
          <t>A1015</t>
        </is>
      </c>
      <c r="B16" s="49" t="inlineStr">
        <is>
          <t>Pranjal Chincholkar</t>
        </is>
      </c>
      <c r="C16" s="33" t="inlineStr">
        <is>
          <t>9595997373</t>
        </is>
      </c>
      <c r="D16" s="33" t="inlineStr">
        <is>
          <t>pranjalchincholkar90@gmail.com</t>
        </is>
      </c>
      <c r="E16" s="33" t="inlineStr">
        <is>
          <t>Bhavani Prasad ,plot no.10 lane 4, Ramchandra Nagar Lohegaon Khandve Nagar</t>
        </is>
      </c>
      <c r="F16" s="33" t="inlineStr">
        <is>
          <t>Pune</t>
        </is>
      </c>
      <c r="G16" s="49" t="inlineStr">
        <is>
          <t>Anvi Prasad Chincholkar</t>
        </is>
      </c>
      <c r="H16" s="13" t="n">
        <v>5</v>
      </c>
      <c r="I16" s="13" t="inlineStr">
        <is>
          <t>Female</t>
        </is>
      </c>
      <c r="J16" s="33" t="inlineStr">
        <is>
          <t>St Anne's primary school</t>
        </is>
      </c>
      <c r="K16" s="13" t="inlineStr">
        <is>
          <t>UKG</t>
        </is>
      </c>
      <c r="L16" s="13" t="inlineStr">
        <is>
          <t>Basic</t>
        </is>
      </c>
      <c r="M16" s="13" t="n"/>
      <c r="N16" s="13" t="inlineStr">
        <is>
          <t>Online</t>
        </is>
      </c>
      <c r="O16" s="14" t="n">
        <v>46091</v>
      </c>
      <c r="P16" s="14" t="n">
        <v>46142</v>
      </c>
      <c r="Q16" s="13" t="inlineStr">
        <is>
          <t>Active</t>
        </is>
      </c>
      <c r="R16" s="23" t="n">
        <v>2000</v>
      </c>
      <c r="S16" s="23" t="n">
        <v>0</v>
      </c>
      <c r="T16" s="23" t="n">
        <v>0</v>
      </c>
      <c r="U16" s="23" t="n">
        <v>2000</v>
      </c>
      <c r="V16" s="25">
        <f>IF(A16="","",SUMIF(payments!B:B,A16,payments!D:D))</f>
        <v/>
      </c>
      <c r="W16" s="23" t="n">
        <v>2000</v>
      </c>
      <c r="X16" s="13" t="inlineStr">
        <is>
          <t>Not Started</t>
        </is>
      </c>
      <c r="Y16" s="33" t="inlineStr">
        <is>
          <t>From Google search</t>
        </is>
      </c>
      <c r="Z16" s="33" t="n"/>
      <c r="AA16" s="33" t="n"/>
      <c r="AB16" s="18" t="n">
        <v>46070.78141203704</v>
      </c>
      <c r="AC16" s="87" t="n"/>
      <c r="AD16" s="87" t="n"/>
      <c r="AE16" s="88" t="n"/>
      <c r="AF16" s="89" t="n"/>
      <c r="AG16" s="89" t="n"/>
      <c r="AH16" s="88" t="n"/>
      <c r="AI16" s="88" t="n"/>
      <c r="AJ16" s="90" t="n"/>
      <c r="AK16" s="88" t="n"/>
      <c r="AL16" s="91" t="n"/>
      <c r="AM16" s="88" t="n"/>
      <c r="AN16" s="92" t="n"/>
      <c r="AO16" s="93" t="n"/>
      <c r="AP16" s="93" t="n"/>
    </row>
    <row r="17" ht="14.25" customHeight="1" s="84">
      <c r="A17" s="13" t="inlineStr">
        <is>
          <t>A1016</t>
        </is>
      </c>
      <c r="B17" s="49" t="inlineStr">
        <is>
          <t>Sachin Raghunath Kerlekar</t>
        </is>
      </c>
      <c r="C17" s="33" t="inlineStr">
        <is>
          <t>9975440824</t>
        </is>
      </c>
      <c r="D17" s="33" t="inlineStr">
        <is>
          <t>sachin.kerlekar@gmail.com</t>
        </is>
      </c>
      <c r="E17" s="33" t="inlineStr">
        <is>
          <t>FN.A21, Castle CHS, Viman Nagar</t>
        </is>
      </c>
      <c r="F17" s="33" t="inlineStr">
        <is>
          <t>Pune</t>
        </is>
      </c>
      <c r="G17" s="49" t="inlineStr">
        <is>
          <t>Saireesh Sachin Kerlekar</t>
        </is>
      </c>
      <c r="H17" s="13" t="n">
        <v>9</v>
      </c>
      <c r="I17" s="13" t="inlineStr">
        <is>
          <t>Male</t>
        </is>
      </c>
      <c r="J17" s="33" t="inlineStr">
        <is>
          <t>Narayana Etechno Wagholi</t>
        </is>
      </c>
      <c r="K17" s="13" t="n">
        <v>3</v>
      </c>
      <c r="L17" s="13" t="inlineStr">
        <is>
          <t>Basic</t>
        </is>
      </c>
      <c r="M17" s="13" t="n"/>
      <c r="N17" s="13" t="inlineStr">
        <is>
          <t>Online</t>
        </is>
      </c>
      <c r="O17" s="14" t="n">
        <v>46091</v>
      </c>
      <c r="P17" s="14" t="n">
        <v>46142</v>
      </c>
      <c r="Q17" s="13" t="inlineStr">
        <is>
          <t>Active</t>
        </is>
      </c>
      <c r="R17" s="23" t="n">
        <v>6500</v>
      </c>
      <c r="S17" s="23" t="n">
        <v>0</v>
      </c>
      <c r="T17" s="23" t="n">
        <v>0</v>
      </c>
      <c r="U17" s="23" t="n">
        <v>6500</v>
      </c>
      <c r="V17" s="25">
        <f>IF(A17="","",SUMIF(payments!B:B,A17,payments!D:D))</f>
        <v/>
      </c>
      <c r="W17" s="23" t="n">
        <v>6500</v>
      </c>
      <c r="X17" s="13" t="inlineStr">
        <is>
          <t>Not Started</t>
        </is>
      </c>
      <c r="Y17" s="33" t="inlineStr">
        <is>
          <t>Friend Referral</t>
        </is>
      </c>
      <c r="Z17" s="33" t="inlineStr">
        <is>
          <t>Friend Referral</t>
        </is>
      </c>
      <c r="AA17" s="33" t="n"/>
      <c r="AB17" s="18" t="n">
        <v>46074.87189814815</v>
      </c>
      <c r="AC17" s="87" t="n"/>
      <c r="AD17" s="87" t="n"/>
      <c r="AE17" s="88" t="n"/>
      <c r="AF17" s="89" t="n"/>
      <c r="AG17" s="89" t="n"/>
      <c r="AH17" s="88" t="n"/>
      <c r="AI17" s="88" t="n"/>
      <c r="AJ17" s="90" t="n"/>
      <c r="AK17" s="88" t="n"/>
      <c r="AL17" s="91" t="n"/>
      <c r="AM17" s="88" t="n"/>
      <c r="AN17" s="92" t="n"/>
      <c r="AO17" s="93" t="n"/>
      <c r="AP17" s="93" t="n"/>
    </row>
    <row r="18" ht="14.25" customHeight="1" s="84">
      <c r="A18" s="13" t="inlineStr">
        <is>
          <t>A1017</t>
        </is>
      </c>
      <c r="B18" s="49" t="inlineStr">
        <is>
          <t>Sandeep Sharma</t>
        </is>
      </c>
      <c r="C18" s="33" t="inlineStr">
        <is>
          <t>8411009381</t>
        </is>
      </c>
      <c r="D18" s="33" t="inlineStr">
        <is>
          <t>seaya.sharma@gmail.com</t>
        </is>
      </c>
      <c r="E18" s="33" t="inlineStr">
        <is>
          <t>Flat 410, Wing F, Gini Belvista, Dhanori</t>
        </is>
      </c>
      <c r="F18" s="33" t="inlineStr">
        <is>
          <t>Pune</t>
        </is>
      </c>
      <c r="G18" s="49" t="inlineStr">
        <is>
          <t>Seaya Sharma</t>
        </is>
      </c>
      <c r="H18" s="13" t="n">
        <v>4</v>
      </c>
      <c r="I18" s="13" t="inlineStr">
        <is>
          <t>Female</t>
        </is>
      </c>
      <c r="J18" s="33" t="inlineStr">
        <is>
          <t>VK Patil</t>
        </is>
      </c>
      <c r="K18" s="13" t="inlineStr">
        <is>
          <t>LKG</t>
        </is>
      </c>
      <c r="L18" s="13" t="inlineStr">
        <is>
          <t>Advanced</t>
        </is>
      </c>
      <c r="M18" s="13" t="n"/>
      <c r="N18" s="13" t="inlineStr">
        <is>
          <t>Offline</t>
        </is>
      </c>
      <c r="O18" s="14" t="n">
        <v>46091</v>
      </c>
      <c r="P18" s="14" t="n">
        <v>46157</v>
      </c>
      <c r="Q18" s="13" t="inlineStr">
        <is>
          <t>Active</t>
        </is>
      </c>
      <c r="R18" s="23" t="n">
        <v>8500</v>
      </c>
      <c r="S18" s="23" t="n">
        <v>0</v>
      </c>
      <c r="T18" s="23" t="n">
        <v>0</v>
      </c>
      <c r="U18" s="23" t="n">
        <v>8500</v>
      </c>
      <c r="V18" s="25">
        <f>IF(A18="","",SUMIF(payments!B:B,A18,payments!D:D))</f>
        <v/>
      </c>
      <c r="W18" s="23" t="n">
        <v>8500</v>
      </c>
      <c r="X18" s="13" t="inlineStr">
        <is>
          <t>Not Started</t>
        </is>
      </c>
      <c r="Y18" s="33" t="inlineStr">
        <is>
          <t>Friend Referral</t>
        </is>
      </c>
      <c r="Z18" s="33" t="inlineStr">
        <is>
          <t>Friend Referral</t>
        </is>
      </c>
      <c r="AA18" s="33" t="n"/>
      <c r="AB18" s="18" t="n">
        <v>46076.65393518518</v>
      </c>
      <c r="AC18" s="87" t="n"/>
      <c r="AD18" s="87" t="n"/>
      <c r="AE18" s="88" t="n"/>
      <c r="AF18" s="89" t="n"/>
      <c r="AG18" s="89" t="n"/>
      <c r="AH18" s="88" t="n"/>
      <c r="AI18" s="88" t="n"/>
      <c r="AJ18" s="90" t="n"/>
      <c r="AK18" s="88" t="n"/>
      <c r="AL18" s="91" t="n"/>
      <c r="AM18" s="88" t="n"/>
      <c r="AN18" s="92" t="n"/>
      <c r="AO18" s="93" t="n"/>
      <c r="AP18" s="93" t="n"/>
    </row>
    <row r="19" ht="14.25" customHeight="1" s="84">
      <c r="A19" s="13" t="inlineStr">
        <is>
          <t>A1018</t>
        </is>
      </c>
      <c r="B19" s="49" t="inlineStr">
        <is>
          <t>Ashish Raghunath Mhasitkar</t>
        </is>
      </c>
      <c r="C19" s="33" t="inlineStr">
        <is>
          <t>9823199271</t>
        </is>
      </c>
      <c r="D19" s="33" t="inlineStr">
        <is>
          <t>ashish.mhasitkar@gmail.com</t>
        </is>
      </c>
      <c r="E19" s="33" t="inlineStr">
        <is>
          <t>Mayur Kilbil Society, Dhanori, Pune</t>
        </is>
      </c>
      <c r="F19" s="33" t="inlineStr">
        <is>
          <t>Pune</t>
        </is>
      </c>
      <c r="G19" s="49" t="inlineStr">
        <is>
          <t>Siddhi Ashish Mhasitkar</t>
        </is>
      </c>
      <c r="H19" s="13" t="n">
        <v>9</v>
      </c>
      <c r="I19" s="13" t="inlineStr">
        <is>
          <t>Female</t>
        </is>
      </c>
      <c r="J19" s="33" t="inlineStr">
        <is>
          <t>Neuron Labs Dhanori Pune</t>
        </is>
      </c>
      <c r="K19" s="13" t="inlineStr">
        <is>
          <t>3rd</t>
        </is>
      </c>
      <c r="L19" s="13" t="inlineStr">
        <is>
          <t>Advanced</t>
        </is>
      </c>
      <c r="M19" s="13" t="n"/>
      <c r="N19" s="13" t="inlineStr">
        <is>
          <t>Online</t>
        </is>
      </c>
      <c r="O19" s="14" t="n">
        <v>46091</v>
      </c>
      <c r="P19" s="14" t="n">
        <v>46167</v>
      </c>
      <c r="Q19" s="13" t="inlineStr">
        <is>
          <t>Active</t>
        </is>
      </c>
      <c r="R19" s="23" t="n">
        <v>6500</v>
      </c>
      <c r="S19" s="23" t="n">
        <v>0</v>
      </c>
      <c r="T19" s="23" t="n">
        <v>0</v>
      </c>
      <c r="U19" s="23" t="n">
        <v>6500</v>
      </c>
      <c r="V19" s="25">
        <f>IF(A19="","",SUMIF(payments!B:B,A19,payments!D:D))</f>
        <v/>
      </c>
      <c r="W19" s="23" t="n">
        <v>6500</v>
      </c>
      <c r="X19" s="13" t="inlineStr">
        <is>
          <t>Not Started</t>
        </is>
      </c>
      <c r="Y19" s="33" t="inlineStr">
        <is>
          <t>Friend Referral</t>
        </is>
      </c>
      <c r="Z19" s="33" t="inlineStr">
        <is>
          <t>Friend Referral</t>
        </is>
      </c>
      <c r="AA19" s="33" t="n"/>
      <c r="AB19" s="18" t="n">
        <v>46078.7766550926</v>
      </c>
      <c r="AC19" s="87" t="n"/>
      <c r="AD19" s="87" t="n"/>
      <c r="AE19" s="88" t="n"/>
      <c r="AF19" s="89" t="n"/>
      <c r="AG19" s="89" t="n"/>
      <c r="AH19" s="88" t="n"/>
      <c r="AI19" s="88" t="n"/>
      <c r="AJ19" s="90" t="n"/>
      <c r="AK19" s="88" t="n"/>
      <c r="AL19" s="91" t="n"/>
      <c r="AM19" s="88" t="n"/>
      <c r="AN19" s="92" t="n"/>
      <c r="AO19" s="93" t="n"/>
      <c r="AP19" s="93" t="n"/>
    </row>
    <row r="20" ht="14.25" customHeight="1" s="84">
      <c r="A20" s="13" t="inlineStr">
        <is>
          <t>A1019</t>
        </is>
      </c>
      <c r="B20" s="49" t="inlineStr">
        <is>
          <t>Ridhima Khera</t>
        </is>
      </c>
      <c r="C20" s="33" t="inlineStr">
        <is>
          <t>9818065684</t>
        </is>
      </c>
      <c r="D20" s="33" t="inlineStr">
        <is>
          <t>riddhmaakhera@gmail.com</t>
        </is>
      </c>
      <c r="E20" s="33" t="inlineStr">
        <is>
          <t>E801, satellite towers, Koregaon park , Pune</t>
        </is>
      </c>
      <c r="F20" s="33" t="inlineStr">
        <is>
          <t>Pune</t>
        </is>
      </c>
      <c r="G20" s="49" t="inlineStr">
        <is>
          <t>Ranveer Kumar</t>
        </is>
      </c>
      <c r="H20" s="13" t="n">
        <v>6</v>
      </c>
      <c r="I20" s="13" t="inlineStr">
        <is>
          <t>Male</t>
        </is>
      </c>
      <c r="J20" s="33" t="inlineStr">
        <is>
          <t>Billabong international school</t>
        </is>
      </c>
      <c r="K20" s="13" t="n">
        <v>1</v>
      </c>
      <c r="L20" s="13" t="inlineStr">
        <is>
          <t>Basic</t>
        </is>
      </c>
      <c r="M20" s="13" t="n"/>
      <c r="N20" s="13" t="inlineStr">
        <is>
          <t>Online</t>
        </is>
      </c>
      <c r="O20" s="14" t="n">
        <v>46091</v>
      </c>
      <c r="P20" s="14" t="n">
        <v>46142</v>
      </c>
      <c r="Q20" s="13" t="inlineStr">
        <is>
          <t>Active</t>
        </is>
      </c>
      <c r="R20" s="23" t="n">
        <v>6500</v>
      </c>
      <c r="S20" s="23" t="n">
        <v>0</v>
      </c>
      <c r="T20" s="23" t="n">
        <v>0</v>
      </c>
      <c r="U20" s="23" t="n">
        <v>6500</v>
      </c>
      <c r="V20" s="25">
        <f>IF(A20="","",SUMIF(payments!B:B,A20,payments!D:D))</f>
        <v/>
      </c>
      <c r="W20" s="23" t="n">
        <v>6500</v>
      </c>
      <c r="X20" s="13" t="inlineStr">
        <is>
          <t>Not Started</t>
        </is>
      </c>
      <c r="Y20" s="33" t="inlineStr">
        <is>
          <t>Friend Referral</t>
        </is>
      </c>
      <c r="Z20" s="33" t="inlineStr">
        <is>
          <t>Friend Referral</t>
        </is>
      </c>
      <c r="AA20" s="33" t="inlineStr">
        <is>
          <t>Https://excelkidshub.in/</t>
        </is>
      </c>
      <c r="AB20" s="18" t="n">
        <v>46080.71623842593</v>
      </c>
      <c r="AC20" s="87" t="n"/>
      <c r="AD20" s="87" t="n"/>
      <c r="AE20" s="88" t="n"/>
      <c r="AF20" s="89" t="n"/>
      <c r="AG20" s="89" t="n"/>
      <c r="AH20" s="88" t="n"/>
      <c r="AI20" s="88" t="n"/>
      <c r="AJ20" s="90" t="n"/>
      <c r="AK20" s="88" t="n"/>
      <c r="AL20" s="91" t="n"/>
      <c r="AM20" s="88" t="n"/>
      <c r="AN20" s="92" t="n"/>
      <c r="AO20" s="93" t="n"/>
      <c r="AP20" s="93" t="n"/>
    </row>
    <row r="21" ht="14.25" customHeight="1" s="84">
      <c r="A21" s="13" t="inlineStr">
        <is>
          <t>A1020</t>
        </is>
      </c>
      <c r="B21" s="49" t="inlineStr">
        <is>
          <t>Pratik Gawande</t>
        </is>
      </c>
      <c r="C21" s="33" t="inlineStr">
        <is>
          <t>8087950720</t>
        </is>
      </c>
      <c r="D21" s="33" t="inlineStr">
        <is>
          <t>pratikgd.gawande@gmail.com</t>
        </is>
      </c>
      <c r="E21" s="33" t="inlineStr">
        <is>
          <t>411,Skyways Harmony, Lohegaon</t>
        </is>
      </c>
      <c r="F21" s="33" t="inlineStr">
        <is>
          <t>Pune</t>
        </is>
      </c>
      <c r="G21" s="49" t="inlineStr">
        <is>
          <t>Nihira Pratik Gawnde</t>
        </is>
      </c>
      <c r="H21" s="13" t="n">
        <v>6</v>
      </c>
      <c r="I21" s="13" t="inlineStr">
        <is>
          <t>Female</t>
        </is>
      </c>
      <c r="J21" s="33" t="inlineStr">
        <is>
          <t>SSWS</t>
        </is>
      </c>
      <c r="K21" s="13" t="n">
        <v>1</v>
      </c>
      <c r="L21" s="13" t="inlineStr">
        <is>
          <t>Basic</t>
        </is>
      </c>
      <c r="M21" s="13" t="n"/>
      <c r="N21" s="13" t="inlineStr">
        <is>
          <t>Offline</t>
        </is>
      </c>
      <c r="O21" s="14" t="n">
        <v>46091</v>
      </c>
      <c r="P21" s="14" t="n">
        <v>46142</v>
      </c>
      <c r="Q21" s="13" t="inlineStr">
        <is>
          <t>Active</t>
        </is>
      </c>
      <c r="R21" s="23" t="n">
        <v>4000</v>
      </c>
      <c r="S21" s="23" t="n">
        <v>0</v>
      </c>
      <c r="T21" s="23" t="n">
        <v>0</v>
      </c>
      <c r="U21" s="23" t="n">
        <v>4000</v>
      </c>
      <c r="V21" s="25">
        <f>IF(A21="","",SUMIF(payments!B:B,A21,payments!D:D))</f>
        <v/>
      </c>
      <c r="W21" s="23" t="n">
        <v>4000</v>
      </c>
      <c r="X21" s="13" t="inlineStr">
        <is>
          <t>Not Started</t>
        </is>
      </c>
      <c r="Y21" s="33" t="inlineStr">
        <is>
          <t>Friend Referral</t>
        </is>
      </c>
      <c r="Z21" s="33" t="inlineStr">
        <is>
          <t>Friend Referral</t>
        </is>
      </c>
      <c r="AA21" s="33" t="inlineStr">
        <is>
          <t>Https://excelkidshub.in/</t>
        </is>
      </c>
      <c r="AB21" s="18" t="n">
        <v>46082.37368055555</v>
      </c>
      <c r="AC21" s="87" t="n"/>
      <c r="AD21" s="87" t="n"/>
      <c r="AE21" s="88" t="n"/>
      <c r="AF21" s="89" t="n"/>
      <c r="AG21" s="89" t="n"/>
      <c r="AH21" s="88" t="n"/>
      <c r="AI21" s="88" t="n"/>
      <c r="AJ21" s="90" t="n"/>
      <c r="AK21" s="88" t="n"/>
      <c r="AL21" s="91" t="n"/>
      <c r="AM21" s="88" t="n"/>
      <c r="AN21" s="92" t="n"/>
      <c r="AO21" s="93" t="n"/>
      <c r="AP21" s="93" t="n"/>
    </row>
    <row r="22" ht="14.25" customHeight="1" s="84">
      <c r="A22" s="13" t="inlineStr">
        <is>
          <t>A1021</t>
        </is>
      </c>
      <c r="B22" s="49" t="inlineStr">
        <is>
          <t>Neha Garole</t>
        </is>
      </c>
      <c r="C22" s="33" t="inlineStr">
        <is>
          <t>7507135334</t>
        </is>
      </c>
      <c r="D22" s="33" t="inlineStr">
        <is>
          <t>nehajadhav.22081992@gmail.com</t>
        </is>
      </c>
      <c r="E22" s="33" t="inlineStr">
        <is>
          <t>Laxmi nagar dhanori,pune</t>
        </is>
      </c>
      <c r="F22" s="33" t="inlineStr">
        <is>
          <t>Pune</t>
        </is>
      </c>
      <c r="G22" s="49" t="inlineStr">
        <is>
          <t>Advik Garole</t>
        </is>
      </c>
      <c r="H22" s="13" t="n">
        <v>6</v>
      </c>
      <c r="I22" s="13" t="inlineStr">
        <is>
          <t>Male</t>
        </is>
      </c>
      <c r="J22" s="33" t="inlineStr">
        <is>
          <t>Mounts and patrick school</t>
        </is>
      </c>
      <c r="K22" s="13" t="inlineStr">
        <is>
          <t>Ukg</t>
        </is>
      </c>
      <c r="L22" s="13" t="inlineStr">
        <is>
          <t>Advanced</t>
        </is>
      </c>
      <c r="M22" s="51" t="inlineStr">
        <is>
          <t>Offline L2-B10 Apr'26</t>
        </is>
      </c>
      <c r="N22" s="13" t="inlineStr">
        <is>
          <t>Offline</t>
        </is>
      </c>
      <c r="O22" s="14" t="n">
        <v>46091</v>
      </c>
      <c r="P22" s="14" t="n">
        <v>46157</v>
      </c>
      <c r="Q22" s="13" t="inlineStr">
        <is>
          <t>Active</t>
        </is>
      </c>
      <c r="R22" s="23" t="n">
        <v>6500</v>
      </c>
      <c r="S22" s="23" t="n">
        <v>0</v>
      </c>
      <c r="T22" s="23" t="n">
        <v>0</v>
      </c>
      <c r="U22" s="23" t="n">
        <v>6500</v>
      </c>
      <c r="V22" s="25" t="n">
        <v>3500</v>
      </c>
      <c r="W22" s="23" t="n">
        <v>3000</v>
      </c>
      <c r="X22" s="13" t="inlineStr">
        <is>
          <t>Partial</t>
        </is>
      </c>
      <c r="Y22" s="33" t="inlineStr">
        <is>
          <t>Friend Referral</t>
        </is>
      </c>
      <c r="Z22" s="33" t="inlineStr">
        <is>
          <t>Friend Referral</t>
        </is>
      </c>
      <c r="AA22" s="33" t="inlineStr">
        <is>
          <t>Https://excelkidshub.in/</t>
        </is>
      </c>
      <c r="AB22" s="18" t="n">
        <v>46082.9728125</v>
      </c>
      <c r="AC22" s="87" t="n"/>
      <c r="AD22" s="87" t="n"/>
      <c r="AE22" s="88" t="n"/>
      <c r="AF22" s="89" t="n"/>
      <c r="AG22" s="89" t="n"/>
      <c r="AH22" s="88" t="n"/>
      <c r="AI22" s="88" t="n"/>
      <c r="AJ22" s="90" t="n"/>
      <c r="AK22" s="88" t="n"/>
      <c r="AL22" s="91" t="n"/>
      <c r="AM22" s="88" t="n"/>
      <c r="AN22" s="92" t="n"/>
      <c r="AO22" s="93" t="n"/>
      <c r="AP22" s="93" t="n"/>
    </row>
    <row r="23" ht="14.25" customHeight="1" s="84">
      <c r="A23" s="13" t="inlineStr">
        <is>
          <t>A1022</t>
        </is>
      </c>
      <c r="B23" s="49" t="inlineStr">
        <is>
          <t>Basera Waseem Shiledar</t>
        </is>
      </c>
      <c r="C23" s="33" t="inlineStr">
        <is>
          <t>8459403684</t>
        </is>
      </c>
      <c r="D23" s="33" t="inlineStr">
        <is>
          <t>basera.shiledar@gmail.com</t>
        </is>
      </c>
      <c r="E23" s="33" t="inlineStr">
        <is>
          <t>Khizra appartment, flat no 301,behind Bharat dhaba,next to ganga aria,dhanori pune</t>
        </is>
      </c>
      <c r="F23" s="33" t="inlineStr">
        <is>
          <t>Pune</t>
        </is>
      </c>
      <c r="G23" s="49" t="inlineStr">
        <is>
          <t>Zikra Waseem Shiledar</t>
        </is>
      </c>
      <c r="H23" s="13" t="n">
        <v>7</v>
      </c>
      <c r="I23" s="13" t="inlineStr">
        <is>
          <t>Female</t>
        </is>
      </c>
      <c r="J23" s="33" t="inlineStr">
        <is>
          <t>Nagarwala day school</t>
        </is>
      </c>
      <c r="K23" s="13" t="inlineStr">
        <is>
          <t>1.0</t>
        </is>
      </c>
      <c r="L23" s="13" t="inlineStr">
        <is>
          <t>Advanced</t>
        </is>
      </c>
      <c r="M23" s="13" t="n"/>
      <c r="N23" s="13" t="inlineStr">
        <is>
          <t>Offline</t>
        </is>
      </c>
      <c r="O23" s="14" t="n">
        <v>46091</v>
      </c>
      <c r="P23" s="14" t="n">
        <v>46157</v>
      </c>
      <c r="Q23" s="13" t="inlineStr">
        <is>
          <t>Active</t>
        </is>
      </c>
      <c r="R23" s="23" t="n">
        <v>0</v>
      </c>
      <c r="S23" s="23" t="n">
        <v>0</v>
      </c>
      <c r="T23" s="23" t="n">
        <v>0</v>
      </c>
      <c r="U23" s="23" t="n">
        <v>0</v>
      </c>
      <c r="V23" s="25">
        <f>IF(A23="","",SUMIF(payments!B:B,A23,payments!D:D))</f>
        <v/>
      </c>
      <c r="W23" s="23" t="n">
        <v>0</v>
      </c>
      <c r="X23" s="13" t="inlineStr">
        <is>
          <t>Not Started</t>
        </is>
      </c>
      <c r="Y23" s="33" t="n"/>
      <c r="Z23" s="33" t="n"/>
      <c r="AA23" s="33" t="inlineStr">
        <is>
          <t>Https://excelkidshub.in/</t>
        </is>
      </c>
      <c r="AB23" s="18" t="n">
        <v>46082.97756944445</v>
      </c>
      <c r="AC23" s="87" t="n"/>
      <c r="AD23" s="87" t="n"/>
      <c r="AE23" s="88" t="n"/>
      <c r="AF23" s="89" t="n"/>
      <c r="AG23" s="89" t="n"/>
      <c r="AH23" s="88" t="n"/>
      <c r="AI23" s="88" t="n"/>
      <c r="AJ23" s="90" t="n"/>
      <c r="AK23" s="88" t="n"/>
      <c r="AL23" s="91" t="n"/>
      <c r="AM23" s="88" t="n"/>
      <c r="AN23" s="92" t="n"/>
      <c r="AO23" s="93" t="n"/>
      <c r="AP23" s="93" t="n"/>
    </row>
    <row r="24" ht="14.25" customHeight="1" s="84">
      <c r="A24" s="13" t="inlineStr">
        <is>
          <t>A1023</t>
        </is>
      </c>
      <c r="B24" s="49" t="inlineStr">
        <is>
          <t>Prashant Jadhav</t>
        </is>
      </c>
      <c r="C24" s="33" t="inlineStr">
        <is>
          <t>9623116887</t>
        </is>
      </c>
      <c r="D24" s="33" t="inlineStr">
        <is>
          <t>prshntjdhv707@gmail.com</t>
        </is>
      </c>
      <c r="E24" s="33" t="inlineStr">
        <is>
          <t>Jijai building kalwad</t>
        </is>
      </c>
      <c r="F24" s="33" t="inlineStr">
        <is>
          <t>Pune</t>
        </is>
      </c>
      <c r="G24" s="49" t="inlineStr">
        <is>
          <t>Naitvik Prashant Jadhav</t>
        </is>
      </c>
      <c r="H24" s="13" t="n">
        <v>6</v>
      </c>
      <c r="I24" s="13" t="inlineStr">
        <is>
          <t>Male</t>
        </is>
      </c>
      <c r="J24" s="33" t="inlineStr">
        <is>
          <t>Asha Vidyalaya</t>
        </is>
      </c>
      <c r="K24" s="13" t="inlineStr">
        <is>
          <t>UKG</t>
        </is>
      </c>
      <c r="L24" s="13" t="inlineStr">
        <is>
          <t>Basic</t>
        </is>
      </c>
      <c r="M24" s="13" t="n"/>
      <c r="N24" s="13" t="inlineStr">
        <is>
          <t>Offline</t>
        </is>
      </c>
      <c r="O24" s="14" t="n">
        <v>46091</v>
      </c>
      <c r="P24" s="14" t="n">
        <v>46142</v>
      </c>
      <c r="Q24" s="13" t="inlineStr">
        <is>
          <t>Active</t>
        </is>
      </c>
      <c r="R24" s="23" t="n">
        <v>4000</v>
      </c>
      <c r="S24" s="23" t="n">
        <v>0</v>
      </c>
      <c r="T24" s="23" t="n">
        <v>0</v>
      </c>
      <c r="U24" s="23" t="n">
        <v>4000</v>
      </c>
      <c r="V24" s="25">
        <f>IF(A24="","",SUMIF(payments!B:B,A24,payments!D:D))</f>
        <v/>
      </c>
      <c r="W24" s="23" t="n">
        <v>4000</v>
      </c>
      <c r="X24" s="13" t="inlineStr">
        <is>
          <t>Not Started</t>
        </is>
      </c>
      <c r="Y24" s="33" t="inlineStr">
        <is>
          <t>Friend Referral</t>
        </is>
      </c>
      <c r="Z24" s="33" t="inlineStr">
        <is>
          <t>Friend Referral</t>
        </is>
      </c>
      <c r="AA24" s="33" t="inlineStr">
        <is>
          <t>Https://excelkidshub.in/</t>
        </is>
      </c>
      <c r="AB24" s="18" t="n">
        <v>46083.9737962963</v>
      </c>
      <c r="AC24" s="87" t="n"/>
      <c r="AD24" s="87" t="n"/>
      <c r="AE24" s="88" t="n"/>
      <c r="AF24" s="89" t="n"/>
      <c r="AG24" s="89" t="n"/>
      <c r="AH24" s="88" t="n"/>
      <c r="AI24" s="88" t="n"/>
      <c r="AJ24" s="90" t="n"/>
      <c r="AK24" s="88" t="n"/>
      <c r="AL24" s="91" t="n"/>
      <c r="AM24" s="88" t="n"/>
      <c r="AN24" s="92" t="n"/>
      <c r="AO24" s="93" t="n"/>
      <c r="AP24" s="93" t="n"/>
    </row>
    <row r="25" ht="14.25" customHeight="1" s="84">
      <c r="A25" s="13" t="inlineStr">
        <is>
          <t>A1024</t>
        </is>
      </c>
      <c r="B25" s="49" t="inlineStr">
        <is>
          <t>Sanjay Pralhad Dandge</t>
        </is>
      </c>
      <c r="C25" s="33" t="inlineStr">
        <is>
          <t>9960732603</t>
        </is>
      </c>
      <c r="D25" s="33" t="inlineStr">
        <is>
          <t>sanjay.dandge1986@gmail.com</t>
        </is>
      </c>
      <c r="E25" s="33" t="inlineStr">
        <is>
          <t>Goodwill Nirmiti, B-902, Bharat Mata Road, Lohegaon</t>
        </is>
      </c>
      <c r="F25" s="33" t="inlineStr">
        <is>
          <t>Pune</t>
        </is>
      </c>
      <c r="G25" s="49" t="inlineStr">
        <is>
          <t>Kaivalya Sanjay Dandge</t>
        </is>
      </c>
      <c r="H25" s="13" t="n">
        <v>8</v>
      </c>
      <c r="I25" s="13" t="inlineStr">
        <is>
          <t>Male</t>
        </is>
      </c>
      <c r="J25" s="33" t="inlineStr">
        <is>
          <t>Dr. Mar Theophilus School, Dhanori, Pune</t>
        </is>
      </c>
      <c r="K25" s="13" t="inlineStr">
        <is>
          <t>3rd</t>
        </is>
      </c>
      <c r="L25" s="13" t="inlineStr">
        <is>
          <t>Advanced</t>
        </is>
      </c>
      <c r="M25" s="51" t="inlineStr">
        <is>
          <t>Offline L2-B10 Apr'26</t>
        </is>
      </c>
      <c r="N25" s="13" t="inlineStr">
        <is>
          <t>Offline</t>
        </is>
      </c>
      <c r="O25" s="14" t="n">
        <v>46091</v>
      </c>
      <c r="P25" s="14" t="n">
        <v>46157</v>
      </c>
      <c r="Q25" s="13" t="inlineStr">
        <is>
          <t>Active</t>
        </is>
      </c>
      <c r="R25" s="23" t="n">
        <v>6500</v>
      </c>
      <c r="S25" s="23" t="n">
        <v>500</v>
      </c>
      <c r="T25" s="23" t="n">
        <v>0</v>
      </c>
      <c r="U25" s="23" t="n">
        <v>6000</v>
      </c>
      <c r="V25" s="25" t="n">
        <v>6000</v>
      </c>
      <c r="W25" s="23" t="n">
        <v>0</v>
      </c>
      <c r="X25" s="13" t="inlineStr">
        <is>
          <t>Completed</t>
        </is>
      </c>
      <c r="Y25" s="33" t="inlineStr">
        <is>
          <t>Social Media</t>
        </is>
      </c>
      <c r="Z25" s="33" t="n"/>
      <c r="AA25" s="33" t="inlineStr">
        <is>
          <t>Https://excelkidshub.in/</t>
        </is>
      </c>
      <c r="AB25" s="18" t="n">
        <v>46085.49395833333</v>
      </c>
      <c r="AC25" s="87" t="n"/>
      <c r="AD25" s="87" t="n"/>
      <c r="AE25" s="88" t="n"/>
      <c r="AF25" s="89" t="n"/>
      <c r="AG25" s="89" t="n"/>
      <c r="AH25" s="88" t="n"/>
      <c r="AI25" s="88" t="n"/>
      <c r="AJ25" s="90" t="n"/>
      <c r="AK25" s="88" t="n"/>
      <c r="AL25" s="91" t="n"/>
      <c r="AM25" s="88" t="n"/>
      <c r="AN25" s="92" t="n"/>
      <c r="AO25" s="93" t="n"/>
      <c r="AP25" s="93" t="n"/>
    </row>
    <row r="26" ht="14.25" customHeight="1" s="84">
      <c r="A26" s="13" t="inlineStr">
        <is>
          <t>A1025</t>
        </is>
      </c>
      <c r="B26" s="49" t="inlineStr">
        <is>
          <t>Akanksha Saurabh Sharma</t>
        </is>
      </c>
      <c r="C26" s="33" t="inlineStr">
        <is>
          <t>91309901171</t>
        </is>
      </c>
      <c r="D26" s="33" t="inlineStr">
        <is>
          <t>joshiakanksha27@gmail.com</t>
        </is>
      </c>
      <c r="E26" s="33" t="inlineStr">
        <is>
          <t>A103 zest county, lohegaon</t>
        </is>
      </c>
      <c r="F26" s="33" t="inlineStr">
        <is>
          <t>Pune</t>
        </is>
      </c>
      <c r="G26" s="49" t="inlineStr">
        <is>
          <t>Nishtha Sharma</t>
        </is>
      </c>
      <c r="H26" s="13" t="n">
        <v>4</v>
      </c>
      <c r="I26" s="13" t="inlineStr">
        <is>
          <t>Female</t>
        </is>
      </c>
      <c r="J26" s="33" t="inlineStr">
        <is>
          <t>DYPIS</t>
        </is>
      </c>
      <c r="K26" s="13" t="inlineStr">
        <is>
          <t>Jr.Kg</t>
        </is>
      </c>
      <c r="L26" s="13" t="inlineStr">
        <is>
          <t>Basic</t>
        </is>
      </c>
      <c r="M26" s="13" t="n"/>
      <c r="N26" s="13" t="inlineStr">
        <is>
          <t>Offline</t>
        </is>
      </c>
      <c r="O26" s="14" t="n">
        <v>46091</v>
      </c>
      <c r="P26" s="14" t="n">
        <v>46142</v>
      </c>
      <c r="Q26" s="13" t="inlineStr">
        <is>
          <t>Active</t>
        </is>
      </c>
      <c r="R26" s="23" t="n">
        <v>4000</v>
      </c>
      <c r="S26" s="23" t="n">
        <v>0</v>
      </c>
      <c r="T26" s="23" t="n">
        <v>0</v>
      </c>
      <c r="U26" s="23" t="n">
        <v>4000</v>
      </c>
      <c r="V26" s="25">
        <f>IF(A26="","",SUMIF(payments!B:B,A26,payments!D:D))</f>
        <v/>
      </c>
      <c r="W26" s="23" t="n">
        <v>4000</v>
      </c>
      <c r="X26" s="13" t="inlineStr">
        <is>
          <t>Not Started</t>
        </is>
      </c>
      <c r="Y26" s="33" t="inlineStr">
        <is>
          <t>Google</t>
        </is>
      </c>
      <c r="Z26" s="33" t="n"/>
      <c r="AA26" s="33" t="inlineStr">
        <is>
          <t>Https://excelkidshub.in/</t>
        </is>
      </c>
      <c r="AB26" s="18" t="n">
        <v>46085.56961805555</v>
      </c>
      <c r="AC26" s="87" t="n"/>
      <c r="AD26" s="87" t="n"/>
      <c r="AE26" s="88" t="n"/>
      <c r="AF26" s="89" t="n"/>
      <c r="AG26" s="89" t="n"/>
      <c r="AH26" s="88" t="n"/>
      <c r="AI26" s="88" t="n"/>
      <c r="AJ26" s="90" t="n"/>
      <c r="AK26" s="88" t="n"/>
      <c r="AL26" s="91" t="n"/>
      <c r="AM26" s="88" t="n"/>
      <c r="AN26" s="92" t="n"/>
      <c r="AO26" s="93" t="n"/>
      <c r="AP26" s="93" t="n"/>
    </row>
    <row r="27" ht="14.25" customHeight="1" s="84">
      <c r="A27" s="13" t="inlineStr">
        <is>
          <t>A1026</t>
        </is>
      </c>
      <c r="B27" s="49" t="inlineStr">
        <is>
          <t>Dolly Oza</t>
        </is>
      </c>
      <c r="C27" s="33" t="inlineStr">
        <is>
          <t>8087923331</t>
        </is>
      </c>
      <c r="D27" s="33" t="inlineStr">
        <is>
          <t>dollyoza43@gmail.com</t>
        </is>
      </c>
      <c r="E27" s="33" t="inlineStr">
        <is>
          <t>Hari om sadan, lane no 4/1 ,sr. No 256/2, Khesepark</t>
        </is>
      </c>
      <c r="F27" s="33" t="inlineStr">
        <is>
          <t>Pune</t>
        </is>
      </c>
      <c r="G27" s="49" t="inlineStr">
        <is>
          <t>Rhythm Sharma</t>
        </is>
      </c>
      <c r="H27" s="13" t="n">
        <v>5</v>
      </c>
      <c r="I27" s="13" t="inlineStr">
        <is>
          <t>Female</t>
        </is>
      </c>
      <c r="J27" s="33" t="inlineStr">
        <is>
          <t>Dr. Mar Theophilus School</t>
        </is>
      </c>
      <c r="K27" s="13" t="inlineStr">
        <is>
          <t>UKG</t>
        </is>
      </c>
      <c r="L27" s="13" t="inlineStr">
        <is>
          <t>Advanced</t>
        </is>
      </c>
      <c r="M27" s="13" t="n"/>
      <c r="N27" s="13" t="inlineStr">
        <is>
          <t>Online</t>
        </is>
      </c>
      <c r="O27" s="14" t="n">
        <v>46091</v>
      </c>
      <c r="P27" s="14" t="n">
        <v>46167</v>
      </c>
      <c r="Q27" s="13" t="inlineStr">
        <is>
          <t>Active</t>
        </is>
      </c>
      <c r="R27" s="23" t="n">
        <v>6000</v>
      </c>
      <c r="S27" s="23" t="n">
        <v>0</v>
      </c>
      <c r="T27" s="23" t="n">
        <v>0</v>
      </c>
      <c r="U27" s="23" t="n">
        <v>6000</v>
      </c>
      <c r="V27" s="25">
        <f>IF(A27="","",SUMIF(payments!B:B,A27,payments!D:D))</f>
        <v/>
      </c>
      <c r="W27" s="23" t="n">
        <v>6000</v>
      </c>
      <c r="X27" s="13" t="inlineStr">
        <is>
          <t>Not Started</t>
        </is>
      </c>
      <c r="Y27" s="33" t="inlineStr">
        <is>
          <t>Google</t>
        </is>
      </c>
      <c r="Z27" s="33" t="n"/>
      <c r="AA27" s="33" t="inlineStr">
        <is>
          <t>Https://excelkidshub.in/</t>
        </is>
      </c>
      <c r="AB27" s="18" t="n">
        <v>46085.665</v>
      </c>
      <c r="AC27" s="87" t="n"/>
      <c r="AD27" s="87" t="n"/>
      <c r="AE27" s="88" t="n"/>
      <c r="AF27" s="89" t="n"/>
      <c r="AG27" s="89" t="n"/>
      <c r="AH27" s="88" t="n"/>
      <c r="AI27" s="88" t="n"/>
      <c r="AJ27" s="90" t="n"/>
      <c r="AK27" s="88" t="n"/>
      <c r="AL27" s="91" t="n"/>
      <c r="AM27" s="88" t="n"/>
      <c r="AN27" s="92" t="n"/>
      <c r="AO27" s="93" t="n"/>
      <c r="AP27" s="93" t="n"/>
    </row>
    <row r="28" ht="14.25" customHeight="1" s="84">
      <c r="A28" s="13" t="inlineStr">
        <is>
          <t>A1027</t>
        </is>
      </c>
      <c r="B28" s="49" t="inlineStr">
        <is>
          <t>Shilpa Nitin Amgaonkar</t>
        </is>
      </c>
      <c r="C28" s="33" t="inlineStr">
        <is>
          <t>9130824959</t>
        </is>
      </c>
      <c r="D28" s="33" t="inlineStr">
        <is>
          <t>nikhare.shilpa@gmail.com</t>
        </is>
      </c>
      <c r="E28" s="33" t="inlineStr">
        <is>
          <t>F703,Gini Belvista DN Parande Park Dhanori Pune</t>
        </is>
      </c>
      <c r="F28" s="33" t="inlineStr">
        <is>
          <t>Pune</t>
        </is>
      </c>
      <c r="G28" s="49" t="inlineStr">
        <is>
          <t>Shivansh Nitin Amgaonkar</t>
        </is>
      </c>
      <c r="H28" s="13" t="n">
        <v>4</v>
      </c>
      <c r="I28" s="13" t="inlineStr">
        <is>
          <t>Male</t>
        </is>
      </c>
      <c r="J28" s="33" t="inlineStr">
        <is>
          <t>Vikhe Patil Memorial School</t>
        </is>
      </c>
      <c r="K28" s="13" t="inlineStr">
        <is>
          <t>Jr KG</t>
        </is>
      </c>
      <c r="L28" s="13" t="inlineStr">
        <is>
          <t>Basic</t>
        </is>
      </c>
      <c r="M28" s="13" t="n"/>
      <c r="N28" s="13" t="inlineStr">
        <is>
          <t>Offline</t>
        </is>
      </c>
      <c r="O28" s="14" t="n">
        <v>46091</v>
      </c>
      <c r="P28" s="14" t="n">
        <v>46142</v>
      </c>
      <c r="Q28" s="13" t="inlineStr">
        <is>
          <t>Active</t>
        </is>
      </c>
      <c r="R28" s="23" t="n">
        <v>4000</v>
      </c>
      <c r="S28" s="23" t="n">
        <v>0</v>
      </c>
      <c r="T28" s="23" t="n">
        <v>0</v>
      </c>
      <c r="U28" s="23" t="n">
        <v>4000</v>
      </c>
      <c r="V28" s="25">
        <f>IF(A28="","",SUMIF(payments!B:B,A28,payments!D:D))</f>
        <v/>
      </c>
      <c r="W28" s="23" t="n">
        <v>4000</v>
      </c>
      <c r="X28" s="13" t="inlineStr">
        <is>
          <t>Not Started</t>
        </is>
      </c>
      <c r="Y28" s="33" t="inlineStr">
        <is>
          <t>Friend Referral</t>
        </is>
      </c>
      <c r="Z28" s="33" t="inlineStr">
        <is>
          <t>Friend Referral</t>
        </is>
      </c>
      <c r="AA28" s="33" t="inlineStr">
        <is>
          <t>Https://excelkidshub.in/</t>
        </is>
      </c>
      <c r="AB28" s="18" t="n">
        <v>46085.7684375</v>
      </c>
      <c r="AC28" s="87" t="n"/>
      <c r="AD28" s="87" t="n"/>
      <c r="AE28" s="88" t="n"/>
      <c r="AF28" s="89" t="n"/>
      <c r="AG28" s="89" t="n"/>
      <c r="AH28" s="88" t="n"/>
      <c r="AI28" s="88" t="n"/>
      <c r="AJ28" s="90" t="n"/>
      <c r="AK28" s="88" t="n"/>
      <c r="AL28" s="91" t="n"/>
      <c r="AM28" s="88" t="n"/>
      <c r="AN28" s="92" t="n"/>
      <c r="AO28" s="93" t="n"/>
      <c r="AP28" s="93" t="n"/>
    </row>
    <row r="29" ht="14.25" customHeight="1" s="84">
      <c r="A29" s="13" t="inlineStr">
        <is>
          <t>A1028</t>
        </is>
      </c>
      <c r="B29" s="49" t="inlineStr">
        <is>
          <t>Radhika Abhijeet Mancharkar</t>
        </is>
      </c>
      <c r="C29" s="33" t="inlineStr">
        <is>
          <t>9763783687</t>
        </is>
      </c>
      <c r="D29" s="33" t="inlineStr">
        <is>
          <t>radhika.narwaria@gmail.com</t>
        </is>
      </c>
      <c r="E29" s="33" t="inlineStr">
        <is>
          <t>Flat no 204, Ameya lotus near Brezza society, dhanori road dhanori Pune 411015</t>
        </is>
      </c>
      <c r="F29" s="33" t="inlineStr">
        <is>
          <t>Pune</t>
        </is>
      </c>
      <c r="G29" s="49" t="inlineStr">
        <is>
          <t>Virat Abhijeet Mancharkar</t>
        </is>
      </c>
      <c r="H29" s="13" t="n">
        <v>7</v>
      </c>
      <c r="I29" s="13" t="inlineStr">
        <is>
          <t>Male</t>
        </is>
      </c>
      <c r="J29" s="33" t="inlineStr">
        <is>
          <t>Neuron labs</t>
        </is>
      </c>
      <c r="K29" s="13" t="inlineStr">
        <is>
          <t>2 nd class</t>
        </is>
      </c>
      <c r="L29" s="13" t="inlineStr">
        <is>
          <t>Advanced</t>
        </is>
      </c>
      <c r="M29" s="51" t="inlineStr">
        <is>
          <t>Online L2-B8 Apr'26</t>
        </is>
      </c>
      <c r="N29" s="13" t="inlineStr">
        <is>
          <t>Online</t>
        </is>
      </c>
      <c r="O29" s="14" t="n">
        <v>46091</v>
      </c>
      <c r="P29" s="14" t="n">
        <v>46167</v>
      </c>
      <c r="Q29" s="13" t="inlineStr">
        <is>
          <t>Active</t>
        </is>
      </c>
      <c r="R29" s="51" t="n">
        <v>6500</v>
      </c>
      <c r="S29" s="23" t="n">
        <v>0</v>
      </c>
      <c r="T29" s="23" t="n">
        <v>0</v>
      </c>
      <c r="U29" s="23" t="n">
        <v>6500</v>
      </c>
      <c r="V29" s="25" t="n">
        <v>500</v>
      </c>
      <c r="W29" s="23" t="n">
        <v>6000</v>
      </c>
      <c r="X29" s="13" t="inlineStr">
        <is>
          <t>Partial</t>
        </is>
      </c>
      <c r="Y29" s="33" t="inlineStr">
        <is>
          <t>Friend Referral</t>
        </is>
      </c>
      <c r="Z29" s="33" t="inlineStr">
        <is>
          <t>Friend Referral</t>
        </is>
      </c>
      <c r="AA29" s="33" t="n"/>
      <c r="AB29" s="18" t="n">
        <v>46085.82466435185</v>
      </c>
      <c r="AC29" s="87" t="n"/>
      <c r="AD29" s="87" t="n"/>
      <c r="AE29" s="88" t="n"/>
      <c r="AF29" s="89" t="n"/>
      <c r="AG29" s="89" t="n"/>
      <c r="AH29" s="88" t="n"/>
      <c r="AI29" s="88" t="n"/>
      <c r="AJ29" s="90" t="n"/>
      <c r="AK29" s="88" t="n"/>
      <c r="AL29" s="91" t="n"/>
      <c r="AM29" s="88" t="n"/>
      <c r="AN29" s="92" t="n"/>
      <c r="AO29" s="93" t="n"/>
      <c r="AP29" s="93" t="n"/>
    </row>
    <row r="30" ht="14.25" customHeight="1" s="84">
      <c r="A30" s="13" t="inlineStr">
        <is>
          <t>A1029</t>
        </is>
      </c>
      <c r="B30" s="49" t="inlineStr">
        <is>
          <t>Aboli Akshay Kulkarni</t>
        </is>
      </c>
      <c r="C30" s="33" t="inlineStr">
        <is>
          <t>9309768090</t>
        </is>
      </c>
      <c r="D30" s="33" t="inlineStr">
        <is>
          <t>aboliofficial007@gmail.com</t>
        </is>
      </c>
      <c r="E30" s="33" t="inlineStr">
        <is>
          <t>C 304 goodwill breeza dhanori</t>
        </is>
      </c>
      <c r="F30" s="33" t="inlineStr">
        <is>
          <t>Pune</t>
        </is>
      </c>
      <c r="G30" s="49" t="inlineStr">
        <is>
          <t>Aarunya Akshay Kulkarni</t>
        </is>
      </c>
      <c r="H30" s="13" t="n">
        <v>6</v>
      </c>
      <c r="I30" s="13" t="inlineStr">
        <is>
          <t>Female</t>
        </is>
      </c>
      <c r="J30" s="33" t="inlineStr">
        <is>
          <t>Fun n Fun</t>
        </is>
      </c>
      <c r="K30" s="13" t="inlineStr">
        <is>
          <t>UKG</t>
        </is>
      </c>
      <c r="L30" s="13" t="inlineStr">
        <is>
          <t>Advanced</t>
        </is>
      </c>
      <c r="M30" s="13" t="n"/>
      <c r="N30" s="13" t="inlineStr">
        <is>
          <t>Offline</t>
        </is>
      </c>
      <c r="O30" s="14" t="n">
        <v>46091</v>
      </c>
      <c r="P30" s="14" t="n">
        <v>46157</v>
      </c>
      <c r="Q30" s="13" t="inlineStr">
        <is>
          <t>Active</t>
        </is>
      </c>
      <c r="R30" s="23" t="n">
        <v>8500</v>
      </c>
      <c r="S30" s="23" t="n">
        <v>0</v>
      </c>
      <c r="T30" s="23" t="n">
        <v>0</v>
      </c>
      <c r="U30" s="23" t="n">
        <v>8500</v>
      </c>
      <c r="V30" s="25">
        <f>IF(A30="","",SUMIF(payments!B:B,A30,payments!D:D))</f>
        <v/>
      </c>
      <c r="W30" s="23" t="n">
        <v>8500</v>
      </c>
      <c r="X30" s="13" t="inlineStr">
        <is>
          <t>Not Started</t>
        </is>
      </c>
      <c r="Y30" s="33" t="inlineStr">
        <is>
          <t>Friend Referral</t>
        </is>
      </c>
      <c r="Z30" s="33" t="inlineStr">
        <is>
          <t>Friend Referral</t>
        </is>
      </c>
      <c r="AA30" s="33" t="inlineStr">
        <is>
          <t>Https://excelkidshub.in/</t>
        </is>
      </c>
      <c r="AB30" s="18" t="n">
        <v>46085.99574074074</v>
      </c>
      <c r="AC30" s="87" t="n"/>
      <c r="AD30" s="87" t="n"/>
      <c r="AE30" s="88" t="n"/>
      <c r="AF30" s="89" t="n"/>
      <c r="AG30" s="89" t="n"/>
      <c r="AH30" s="88" t="n"/>
      <c r="AI30" s="88" t="n"/>
      <c r="AJ30" s="90" t="n"/>
      <c r="AK30" s="88" t="n"/>
      <c r="AL30" s="91" t="n"/>
      <c r="AM30" s="88" t="n"/>
      <c r="AN30" s="92" t="n"/>
      <c r="AO30" s="93" t="n"/>
      <c r="AP30" s="93" t="n"/>
    </row>
    <row r="31" ht="14.25" customHeight="1" s="84">
      <c r="A31" s="13" t="inlineStr">
        <is>
          <t>A1030</t>
        </is>
      </c>
      <c r="B31" s="49" t="inlineStr">
        <is>
          <t>Sakina Shaikh</t>
        </is>
      </c>
      <c r="C31" s="33" t="inlineStr">
        <is>
          <t>9850604858</t>
        </is>
      </c>
      <c r="D31" s="33" t="inlineStr">
        <is>
          <t>ssakina0217@gmail.com</t>
        </is>
      </c>
      <c r="E31" s="33" t="inlineStr">
        <is>
          <t>C1-302, Goodwill Orchid</t>
        </is>
      </c>
      <c r="F31" s="33" t="inlineStr">
        <is>
          <t>Pune</t>
        </is>
      </c>
      <c r="G31" s="49" t="inlineStr">
        <is>
          <t>Riana Selvaraj</t>
        </is>
      </c>
      <c r="H31" s="13" t="n">
        <v>7</v>
      </c>
      <c r="I31" s="13" t="inlineStr">
        <is>
          <t>Female</t>
        </is>
      </c>
      <c r="J31" s="33" t="inlineStr">
        <is>
          <t>The Bishop's</t>
        </is>
      </c>
      <c r="K31" s="13" t="n">
        <v>2</v>
      </c>
      <c r="L31" s="13" t="inlineStr">
        <is>
          <t>Advanced</t>
        </is>
      </c>
      <c r="M31" s="13" t="n"/>
      <c r="N31" s="13" t="inlineStr">
        <is>
          <t>Offline</t>
        </is>
      </c>
      <c r="O31" s="14" t="n">
        <v>46091</v>
      </c>
      <c r="P31" s="14" t="n">
        <v>46157</v>
      </c>
      <c r="Q31" s="13" t="inlineStr">
        <is>
          <t>Active</t>
        </is>
      </c>
      <c r="R31" s="23" t="n">
        <v>0</v>
      </c>
      <c r="S31" s="23" t="n">
        <v>0</v>
      </c>
      <c r="T31" s="23" t="n">
        <v>0</v>
      </c>
      <c r="U31" s="23" t="n">
        <v>0</v>
      </c>
      <c r="V31" s="25">
        <f>IF(A31="","",SUMIF(payments!B:B,A31,payments!D:D))</f>
        <v/>
      </c>
      <c r="W31" s="23" t="n">
        <v>0</v>
      </c>
      <c r="X31" s="13" t="inlineStr">
        <is>
          <t>Not Started</t>
        </is>
      </c>
      <c r="Y31" s="33" t="inlineStr">
        <is>
          <t>Social Media</t>
        </is>
      </c>
      <c r="Z31" s="33" t="n"/>
      <c r="AA31" s="33" t="inlineStr">
        <is>
          <t>Https://excelkidshub.in/</t>
        </is>
      </c>
      <c r="AB31" s="18" t="n">
        <v>46086.53138888889</v>
      </c>
      <c r="AC31" s="87" t="n"/>
      <c r="AD31" s="87" t="n"/>
      <c r="AE31" s="88" t="n"/>
      <c r="AF31" s="89" t="n"/>
      <c r="AG31" s="89" t="n"/>
      <c r="AH31" s="88" t="n"/>
      <c r="AI31" s="88" t="n"/>
      <c r="AJ31" s="90" t="n"/>
      <c r="AK31" s="88" t="n"/>
      <c r="AL31" s="91" t="n"/>
      <c r="AM31" s="88" t="n"/>
      <c r="AN31" s="92" t="n"/>
      <c r="AO31" s="93" t="n"/>
      <c r="AP31" s="93" t="n"/>
    </row>
    <row r="32" ht="14.25" customHeight="1" s="84">
      <c r="A32" s="13" t="inlineStr">
        <is>
          <t>A1031</t>
        </is>
      </c>
      <c r="B32" s="49" t="inlineStr">
        <is>
          <t>Sakina Shaikh</t>
        </is>
      </c>
      <c r="C32" s="33" t="inlineStr">
        <is>
          <t>9850604858</t>
        </is>
      </c>
      <c r="D32" s="33" t="inlineStr">
        <is>
          <t>ssakina0217@gmail.com</t>
        </is>
      </c>
      <c r="E32" s="33" t="inlineStr">
        <is>
          <t>C1-302, Goodwill Orchid</t>
        </is>
      </c>
      <c r="F32" s="33" t="inlineStr">
        <is>
          <t>Pune</t>
        </is>
      </c>
      <c r="G32" s="49" t="inlineStr">
        <is>
          <t>Rian Selvaraj</t>
        </is>
      </c>
      <c r="H32" s="13" t="n">
        <v>7</v>
      </c>
      <c r="I32" s="13" t="inlineStr">
        <is>
          <t>Male</t>
        </is>
      </c>
      <c r="J32" s="33" t="inlineStr">
        <is>
          <t>The Bishop's</t>
        </is>
      </c>
      <c r="K32" s="13" t="n">
        <v>2</v>
      </c>
      <c r="L32" s="13" t="inlineStr">
        <is>
          <t>Advanced</t>
        </is>
      </c>
      <c r="M32" s="13" t="n"/>
      <c r="N32" s="13" t="inlineStr">
        <is>
          <t>Offline</t>
        </is>
      </c>
      <c r="O32" s="14" t="n">
        <v>46091</v>
      </c>
      <c r="P32" s="14" t="n">
        <v>46157</v>
      </c>
      <c r="Q32" s="13" t="inlineStr">
        <is>
          <t>Active</t>
        </is>
      </c>
      <c r="R32" s="23" t="n">
        <v>0</v>
      </c>
      <c r="S32" s="23" t="n">
        <v>0</v>
      </c>
      <c r="T32" s="23" t="n">
        <v>0</v>
      </c>
      <c r="U32" s="23" t="n">
        <v>0</v>
      </c>
      <c r="V32" s="25">
        <f>IF(A32="","",SUMIF(payments!B:B,A32,payments!D:D))</f>
        <v/>
      </c>
      <c r="W32" s="23" t="n">
        <v>0</v>
      </c>
      <c r="X32" s="13" t="inlineStr">
        <is>
          <t>Not Started</t>
        </is>
      </c>
      <c r="Y32" s="33" t="inlineStr">
        <is>
          <t>Social Media</t>
        </is>
      </c>
      <c r="Z32" s="33" t="n"/>
      <c r="AA32" s="33" t="inlineStr">
        <is>
          <t>Https://forms.zohopublic.in/excelkidshubzoho1/form/parentenquiryformexcelkidshubphonicsacademy/thankyou/formperma/eoaa5qfag8-0p2dnh5dgzpadjzllhkthogwpbgu7tza</t>
        </is>
      </c>
      <c r="AB32" s="18" t="n">
        <v>46086.53219907408</v>
      </c>
      <c r="AC32" s="87" t="n"/>
      <c r="AD32" s="87" t="n"/>
      <c r="AE32" s="88" t="n"/>
      <c r="AF32" s="89" t="n"/>
      <c r="AG32" s="89" t="n"/>
      <c r="AH32" s="88" t="n"/>
      <c r="AI32" s="88" t="n"/>
      <c r="AJ32" s="90" t="n"/>
      <c r="AK32" s="88" t="n"/>
      <c r="AL32" s="91" t="n"/>
      <c r="AM32" s="88" t="n"/>
      <c r="AN32" s="92" t="n"/>
      <c r="AO32" s="93" t="n"/>
      <c r="AP32" s="93" t="n"/>
    </row>
    <row r="33" ht="14.25" customHeight="1" s="84">
      <c r="A33" s="13" t="inlineStr">
        <is>
          <t>A1032</t>
        </is>
      </c>
      <c r="B33" s="49" t="inlineStr">
        <is>
          <t>Reema Mishra</t>
        </is>
      </c>
      <c r="C33" s="33" t="inlineStr">
        <is>
          <t>7798814805</t>
        </is>
      </c>
      <c r="D33" s="33" t="inlineStr">
        <is>
          <t>reema.miahra20@gmail.com</t>
        </is>
      </c>
      <c r="E33" s="33" t="inlineStr">
        <is>
          <t>Khese park</t>
        </is>
      </c>
      <c r="F33" s="33" t="inlineStr">
        <is>
          <t>Pune</t>
        </is>
      </c>
      <c r="G33" s="49" t="inlineStr">
        <is>
          <t>Reesha Tiwari</t>
        </is>
      </c>
      <c r="H33" s="13" t="n">
        <v>6</v>
      </c>
      <c r="I33" s="13" t="inlineStr">
        <is>
          <t>Female</t>
        </is>
      </c>
      <c r="J33" s="33" t="inlineStr">
        <is>
          <t>D Y Patil</t>
        </is>
      </c>
      <c r="K33" s="13" t="inlineStr">
        <is>
          <t>Sr kg</t>
        </is>
      </c>
      <c r="L33" s="13" t="inlineStr">
        <is>
          <t>Advanced</t>
        </is>
      </c>
      <c r="M33" s="13" t="n"/>
      <c r="N33" s="13" t="inlineStr">
        <is>
          <t>Online</t>
        </is>
      </c>
      <c r="O33" s="14" t="n">
        <v>46091</v>
      </c>
      <c r="P33" s="14" t="n">
        <v>46167</v>
      </c>
      <c r="Q33" s="13" t="inlineStr">
        <is>
          <t>Active</t>
        </is>
      </c>
      <c r="R33" s="23" t="n">
        <v>6000</v>
      </c>
      <c r="S33" s="23" t="n">
        <v>0</v>
      </c>
      <c r="T33" s="23" t="n">
        <v>0</v>
      </c>
      <c r="U33" s="23" t="n">
        <v>6000</v>
      </c>
      <c r="V33" s="25">
        <f>IF(A33="","",SUMIF(payments!B:B,A33,payments!D:D))</f>
        <v/>
      </c>
      <c r="W33" s="23" t="n">
        <v>6000</v>
      </c>
      <c r="X33" s="13" t="inlineStr">
        <is>
          <t>Not Started</t>
        </is>
      </c>
      <c r="Y33" s="33" t="inlineStr">
        <is>
          <t>Friend Referral</t>
        </is>
      </c>
      <c r="Z33" s="33" t="inlineStr">
        <is>
          <t>Friend Referral</t>
        </is>
      </c>
      <c r="AA33" s="33" t="inlineStr">
        <is>
          <t>Https://excelkidshub.in/</t>
        </is>
      </c>
      <c r="AB33" s="18" t="n">
        <v>46086.53611111111</v>
      </c>
      <c r="AC33" s="87" t="n"/>
      <c r="AD33" s="87" t="n"/>
      <c r="AE33" s="88" t="n"/>
      <c r="AF33" s="89" t="n"/>
      <c r="AG33" s="89" t="n"/>
      <c r="AH33" s="88" t="n"/>
      <c r="AI33" s="88" t="n"/>
      <c r="AJ33" s="90" t="n"/>
      <c r="AK33" s="88" t="n"/>
      <c r="AL33" s="91" t="n"/>
      <c r="AM33" s="88" t="n"/>
      <c r="AN33" s="92" t="n"/>
      <c r="AO33" s="93" t="n"/>
      <c r="AP33" s="93" t="n"/>
    </row>
    <row r="34" ht="14.25" customHeight="1" s="84">
      <c r="A34" s="13" t="inlineStr">
        <is>
          <t>A1033</t>
        </is>
      </c>
      <c r="B34" s="49" t="inlineStr">
        <is>
          <t>Manali Yavalkar</t>
        </is>
      </c>
      <c r="C34" s="33" t="inlineStr">
        <is>
          <t>8976344256</t>
        </is>
      </c>
      <c r="D34" s="33" t="inlineStr">
        <is>
          <t>manali.yavalkar@gmail.com</t>
        </is>
      </c>
      <c r="E34" s="33" t="inlineStr">
        <is>
          <t>A1-1401, Nyati Elysia river front road Kharadi</t>
        </is>
      </c>
      <c r="F34" s="33" t="inlineStr">
        <is>
          <t>Pune</t>
        </is>
      </c>
      <c r="G34" s="49" t="inlineStr">
        <is>
          <t>Anay Sanket Yavalkar</t>
        </is>
      </c>
      <c r="H34" s="13" t="n">
        <v>7</v>
      </c>
      <c r="I34" s="13" t="inlineStr">
        <is>
          <t>Male</t>
        </is>
      </c>
      <c r="J34" s="33" t="inlineStr">
        <is>
          <t>Euro school Kharadi</t>
        </is>
      </c>
      <c r="K34" s="13" t="n">
        <v>1</v>
      </c>
      <c r="L34" s="13" t="inlineStr">
        <is>
          <t>Advanced</t>
        </is>
      </c>
      <c r="M34" s="13" t="n"/>
      <c r="N34" s="13" t="inlineStr">
        <is>
          <t>Online</t>
        </is>
      </c>
      <c r="O34" s="14" t="n">
        <v>46091</v>
      </c>
      <c r="P34" s="14" t="n">
        <v>46167</v>
      </c>
      <c r="Q34" s="13" t="inlineStr">
        <is>
          <t>Active</t>
        </is>
      </c>
      <c r="R34" s="23" t="n">
        <v>6500</v>
      </c>
      <c r="S34" s="23" t="n">
        <v>0</v>
      </c>
      <c r="T34" s="23" t="n">
        <v>0</v>
      </c>
      <c r="U34" s="23" t="n">
        <v>6500</v>
      </c>
      <c r="V34" s="25">
        <f>IF(A34="","",SUMIF(payments!B:B,A34,payments!D:D))</f>
        <v/>
      </c>
      <c r="W34" s="23" t="n">
        <v>6500</v>
      </c>
      <c r="X34" s="13" t="inlineStr">
        <is>
          <t>Not Started</t>
        </is>
      </c>
      <c r="Y34" s="33" t="inlineStr">
        <is>
          <t>Social Media</t>
        </is>
      </c>
      <c r="Z34" s="33" t="n"/>
      <c r="AA34" s="33" t="inlineStr">
        <is>
          <t>Https://excelkidshub.in/</t>
        </is>
      </c>
      <c r="AB34" s="18" t="n">
        <v>46086.54871527778</v>
      </c>
      <c r="AC34" s="87" t="n"/>
      <c r="AD34" s="87" t="n"/>
      <c r="AE34" s="88" t="n"/>
      <c r="AF34" s="89" t="n"/>
      <c r="AG34" s="89" t="n"/>
      <c r="AH34" s="88" t="n"/>
      <c r="AI34" s="88" t="n"/>
      <c r="AJ34" s="90" t="n"/>
      <c r="AK34" s="88" t="n"/>
      <c r="AL34" s="91" t="n"/>
      <c r="AM34" s="88" t="n"/>
      <c r="AN34" s="92" t="n"/>
      <c r="AO34" s="93" t="n"/>
      <c r="AP34" s="93" t="n"/>
    </row>
    <row r="35" ht="14.25" customHeight="1" s="84">
      <c r="A35" s="13" t="inlineStr">
        <is>
          <t>A1034</t>
        </is>
      </c>
      <c r="B35" s="49" t="inlineStr">
        <is>
          <t>Dr. Kashmira</t>
        </is>
      </c>
      <c r="C35" s="33" t="inlineStr">
        <is>
          <t>9130028028</t>
        </is>
      </c>
      <c r="D35" s="33" t="inlineStr">
        <is>
          <t>drkashmiralonkar@gmail.com</t>
        </is>
      </c>
      <c r="E35" s="33" t="inlineStr">
        <is>
          <t>Ehsaas villa plot no 25 S. No 253/A shivaji Maharaj Road khese park lohegaon Road Pune</t>
        </is>
      </c>
      <c r="F35" s="33" t="inlineStr">
        <is>
          <t>Pune</t>
        </is>
      </c>
      <c r="G35" s="49" t="inlineStr">
        <is>
          <t>Mannwah Kawale</t>
        </is>
      </c>
      <c r="H35" s="13" t="n">
        <v>6</v>
      </c>
      <c r="I35" s="13" t="inlineStr">
        <is>
          <t>Female</t>
        </is>
      </c>
      <c r="J35" s="33" t="inlineStr">
        <is>
          <t>DMTS</t>
        </is>
      </c>
      <c r="K35" s="13" t="inlineStr">
        <is>
          <t>Ukg</t>
        </is>
      </c>
      <c r="L35" s="13" t="inlineStr">
        <is>
          <t>Advanced</t>
        </is>
      </c>
      <c r="M35" s="51" t="inlineStr">
        <is>
          <t>Offline L2-B10 Apr'26</t>
        </is>
      </c>
      <c r="N35" s="13" t="inlineStr">
        <is>
          <t>Offline</t>
        </is>
      </c>
      <c r="O35" s="14" t="n">
        <v>46091</v>
      </c>
      <c r="P35" s="14" t="n">
        <v>46157</v>
      </c>
      <c r="Q35" s="13" t="inlineStr">
        <is>
          <t>Active</t>
        </is>
      </c>
      <c r="R35" s="23" t="n">
        <v>6500</v>
      </c>
      <c r="S35" s="23" t="n">
        <v>0</v>
      </c>
      <c r="T35" s="23" t="n">
        <v>0</v>
      </c>
      <c r="U35" s="23" t="n">
        <v>6500</v>
      </c>
      <c r="V35" s="25">
        <f>IF(A35="","",SUMIF(payments!B:B,A35,payments!D:D))</f>
        <v/>
      </c>
      <c r="W35" s="23" t="n">
        <v>6500</v>
      </c>
      <c r="X35" s="13" t="inlineStr">
        <is>
          <t>Not Started</t>
        </is>
      </c>
      <c r="Y35" s="33" t="inlineStr">
        <is>
          <t>Friend Referral</t>
        </is>
      </c>
      <c r="Z35" s="33" t="inlineStr">
        <is>
          <t>Friend Referral</t>
        </is>
      </c>
      <c r="AA35" s="33" t="inlineStr">
        <is>
          <t>Https://excelkidshub.in/</t>
        </is>
      </c>
      <c r="AB35" s="18" t="n">
        <v>46086.95643518519</v>
      </c>
      <c r="AC35" s="87" t="n"/>
      <c r="AD35" s="87" t="n"/>
      <c r="AE35" s="88" t="n"/>
      <c r="AF35" s="89" t="n"/>
      <c r="AG35" s="89" t="n"/>
      <c r="AH35" s="88" t="n"/>
      <c r="AI35" s="88" t="n"/>
      <c r="AJ35" s="90" t="n"/>
      <c r="AK35" s="88" t="n"/>
      <c r="AL35" s="91" t="n"/>
      <c r="AM35" s="88" t="n"/>
      <c r="AN35" s="92" t="n"/>
      <c r="AO35" s="93" t="n"/>
      <c r="AP35" s="93" t="n"/>
    </row>
    <row r="36" ht="14.25" customHeight="1" s="84">
      <c r="A36" s="13" t="inlineStr">
        <is>
          <t>A1035</t>
        </is>
      </c>
      <c r="B36" s="49" t="inlineStr">
        <is>
          <t>Shruti Sehgal</t>
        </is>
      </c>
      <c r="C36" s="33" t="inlineStr">
        <is>
          <t>9049324573</t>
        </is>
      </c>
      <c r="D36" s="33" t="inlineStr">
        <is>
          <t>shrutisehgal29@gmail.com</t>
        </is>
      </c>
      <c r="E36" s="33" t="inlineStr">
        <is>
          <t>B-102 Vivanta Life Vishakha</t>
        </is>
      </c>
      <c r="F36" s="33" t="inlineStr">
        <is>
          <t>Pune</t>
        </is>
      </c>
      <c r="G36" s="49" t="inlineStr">
        <is>
          <t>Viaan Singh</t>
        </is>
      </c>
      <c r="H36" s="13" t="n">
        <v>6</v>
      </c>
      <c r="I36" s="13" t="inlineStr">
        <is>
          <t>Male</t>
        </is>
      </c>
      <c r="J36" s="33" t="inlineStr">
        <is>
          <t>Sanskriti</t>
        </is>
      </c>
      <c r="K36" s="13" t="inlineStr">
        <is>
          <t>2.0</t>
        </is>
      </c>
      <c r="L36" s="13" t="inlineStr">
        <is>
          <t>Advanced</t>
        </is>
      </c>
      <c r="M36" s="13" t="n"/>
      <c r="N36" s="13" t="inlineStr">
        <is>
          <t>Offline</t>
        </is>
      </c>
      <c r="O36" s="14" t="n">
        <v>46091</v>
      </c>
      <c r="P36" s="14" t="n">
        <v>46157</v>
      </c>
      <c r="Q36" s="13" t="inlineStr">
        <is>
          <t>Active</t>
        </is>
      </c>
      <c r="R36" s="23" t="n">
        <v>0</v>
      </c>
      <c r="S36" s="23" t="n">
        <v>0</v>
      </c>
      <c r="T36" s="23" t="n">
        <v>0</v>
      </c>
      <c r="U36" s="23" t="n">
        <v>0</v>
      </c>
      <c r="V36" s="25">
        <f>IF(A36="","",SUMIF(payments!B:B,A36,payments!D:D))</f>
        <v/>
      </c>
      <c r="W36" s="23" t="n">
        <v>0</v>
      </c>
      <c r="X36" s="13" t="inlineStr">
        <is>
          <t>Not Started</t>
        </is>
      </c>
      <c r="Y36" s="33" t="inlineStr">
        <is>
          <t>Friend Referral</t>
        </is>
      </c>
      <c r="Z36" s="33" t="inlineStr">
        <is>
          <t>Friend Referral</t>
        </is>
      </c>
      <c r="AA36" s="33" t="inlineStr">
        <is>
          <t>Https://excelkidshub.in/</t>
        </is>
      </c>
      <c r="AB36" s="18" t="n">
        <v>46088.42496527778</v>
      </c>
      <c r="AC36" s="87" t="n"/>
      <c r="AD36" s="87" t="n"/>
      <c r="AE36" s="88" t="n"/>
      <c r="AF36" s="89" t="n"/>
      <c r="AG36" s="89" t="n"/>
      <c r="AH36" s="88" t="n"/>
      <c r="AI36" s="88" t="n"/>
      <c r="AJ36" s="90" t="n"/>
      <c r="AK36" s="88" t="n"/>
      <c r="AL36" s="91" t="n"/>
      <c r="AM36" s="88" t="n"/>
      <c r="AN36" s="92" t="n"/>
      <c r="AO36" s="93" t="n"/>
      <c r="AP36" s="93" t="n"/>
    </row>
    <row r="37" ht="14.25" customHeight="1" s="84">
      <c r="A37" s="13" t="inlineStr">
        <is>
          <t>A1036</t>
        </is>
      </c>
      <c r="B37" s="49" t="inlineStr">
        <is>
          <t>Yogendra Uttam Londhe</t>
        </is>
      </c>
      <c r="C37" s="33" t="inlineStr">
        <is>
          <t>9552580236</t>
        </is>
      </c>
      <c r="D37" s="33" t="inlineStr">
        <is>
          <t>saylikamble16@gmail.com</t>
        </is>
      </c>
      <c r="E37" s="33" t="inlineStr">
        <is>
          <t>402,vaman residency sector 21 ghansoli</t>
        </is>
      </c>
      <c r="F37" s="33" t="inlineStr">
        <is>
          <t>Pune</t>
        </is>
      </c>
      <c r="G37" s="49" t="inlineStr">
        <is>
          <t>Eehita Yogendra Londhe</t>
        </is>
      </c>
      <c r="H37" s="13" t="n">
        <v>6</v>
      </c>
      <c r="I37" s="13" t="inlineStr">
        <is>
          <t>Female</t>
        </is>
      </c>
      <c r="J37" s="33" t="inlineStr">
        <is>
          <t>DAV airoli</t>
        </is>
      </c>
      <c r="K37" s="13" t="inlineStr">
        <is>
          <t>1.0</t>
        </is>
      </c>
      <c r="L37" s="13" t="inlineStr">
        <is>
          <t>Basic</t>
        </is>
      </c>
      <c r="M37" s="13" t="n"/>
      <c r="N37" s="13" t="inlineStr">
        <is>
          <t>Online</t>
        </is>
      </c>
      <c r="O37" s="14" t="n">
        <v>46091</v>
      </c>
      <c r="P37" s="14" t="n">
        <v>46142</v>
      </c>
      <c r="Q37" s="13" t="inlineStr">
        <is>
          <t>Active</t>
        </is>
      </c>
      <c r="R37" s="23" t="n">
        <v>4500</v>
      </c>
      <c r="S37" s="23" t="n">
        <v>0</v>
      </c>
      <c r="T37" s="23" t="n">
        <v>0</v>
      </c>
      <c r="U37" s="23" t="n">
        <v>4500</v>
      </c>
      <c r="V37" s="25">
        <f>IF(A37="","",SUMIF(payments!B:B,A37,payments!D:D))</f>
        <v/>
      </c>
      <c r="W37" s="23" t="n">
        <v>4500</v>
      </c>
      <c r="X37" s="13" t="inlineStr">
        <is>
          <t>Not Started</t>
        </is>
      </c>
      <c r="Y37" s="33" t="inlineStr">
        <is>
          <t>Social Media</t>
        </is>
      </c>
      <c r="Z37" s="33" t="n"/>
      <c r="AA37" s="33" t="inlineStr">
        <is>
          <t>Https://excelkidshub.in/</t>
        </is>
      </c>
      <c r="AB37" s="18" t="n">
        <v>46088.63993055555</v>
      </c>
      <c r="AC37" s="87" t="n"/>
      <c r="AD37" s="87" t="n"/>
      <c r="AE37" s="88" t="n"/>
      <c r="AF37" s="89" t="n"/>
      <c r="AG37" s="89" t="n"/>
      <c r="AH37" s="88" t="n"/>
      <c r="AI37" s="88" t="n"/>
      <c r="AJ37" s="90" t="n"/>
      <c r="AK37" s="88" t="n"/>
      <c r="AL37" s="91" t="n"/>
      <c r="AM37" s="88" t="n"/>
      <c r="AN37" s="92" t="n"/>
      <c r="AO37" s="93" t="n"/>
      <c r="AP37" s="93" t="n"/>
    </row>
    <row r="38" ht="14.25" customHeight="1" s="84">
      <c r="A38" s="13" t="inlineStr">
        <is>
          <t>A1037</t>
        </is>
      </c>
      <c r="B38" s="49" t="inlineStr">
        <is>
          <t>Anurag Dattatreya Jagdhane</t>
        </is>
      </c>
      <c r="C38" s="33" t="inlineStr">
        <is>
          <t>9766410479</t>
        </is>
      </c>
      <c r="D38" s="33" t="inlineStr">
        <is>
          <t>snhfstfd@gmail.com</t>
        </is>
      </c>
      <c r="E38" s="33" t="inlineStr">
        <is>
          <t>B301 Vivanata life Vishakha</t>
        </is>
      </c>
      <c r="F38" s="33" t="inlineStr">
        <is>
          <t>Pune</t>
        </is>
      </c>
      <c r="G38" s="49" t="inlineStr">
        <is>
          <t>Amogh Jagdhane</t>
        </is>
      </c>
      <c r="H38" s="13" t="n">
        <v>4</v>
      </c>
      <c r="I38" s="13" t="inlineStr">
        <is>
          <t>Male</t>
        </is>
      </c>
      <c r="J38" s="33" t="inlineStr">
        <is>
          <t>St Mary's</t>
        </is>
      </c>
      <c r="K38" s="13" t="inlineStr">
        <is>
          <t>Nursary</t>
        </is>
      </c>
      <c r="L38" s="13" t="inlineStr">
        <is>
          <t>Basic</t>
        </is>
      </c>
      <c r="M38" s="13" t="n"/>
      <c r="N38" s="13" t="inlineStr">
        <is>
          <t>Offline</t>
        </is>
      </c>
      <c r="O38" s="14" t="n">
        <v>46091</v>
      </c>
      <c r="P38" s="14" t="n">
        <v>46142</v>
      </c>
      <c r="Q38" s="13" t="inlineStr">
        <is>
          <t>Active</t>
        </is>
      </c>
      <c r="R38" s="23" t="n">
        <v>4500</v>
      </c>
      <c r="S38" s="23" t="n">
        <v>0</v>
      </c>
      <c r="T38" s="23" t="n">
        <v>0</v>
      </c>
      <c r="U38" s="23" t="n">
        <v>4500</v>
      </c>
      <c r="V38" s="25" t="n">
        <v>4500</v>
      </c>
      <c r="W38" s="23" t="n">
        <v>0</v>
      </c>
      <c r="X38" s="13" t="inlineStr">
        <is>
          <t>Completed</t>
        </is>
      </c>
      <c r="Y38" s="33" t="inlineStr">
        <is>
          <t>Friend Referral</t>
        </is>
      </c>
      <c r="Z38" s="33" t="inlineStr">
        <is>
          <t>Friend Referral</t>
        </is>
      </c>
      <c r="AA38" s="33" t="inlineStr">
        <is>
          <t>Https://excelkidshub.in/</t>
        </is>
      </c>
      <c r="AB38" s="18" t="n">
        <v>46088.68987268519</v>
      </c>
      <c r="AC38" s="87" t="n"/>
      <c r="AD38" s="87" t="n"/>
      <c r="AE38" s="88" t="n"/>
      <c r="AF38" s="89" t="n"/>
      <c r="AG38" s="89" t="n"/>
      <c r="AH38" s="88" t="n"/>
      <c r="AI38" s="88" t="n"/>
      <c r="AJ38" s="90" t="n"/>
      <c r="AK38" s="88" t="n"/>
      <c r="AL38" s="91" t="n"/>
      <c r="AM38" s="88" t="n"/>
      <c r="AN38" s="94" t="inlineStr">
        <is>
          <t>Send</t>
        </is>
      </c>
      <c r="AO38" s="87" t="inlineStr">
        <is>
          <t>Not Sent - Payment not completed</t>
        </is>
      </c>
      <c r="AP38" s="87" t="n"/>
    </row>
    <row r="39" ht="14.25" customHeight="1" s="84">
      <c r="A39" s="13" t="inlineStr">
        <is>
          <t>A1038</t>
        </is>
      </c>
      <c r="B39" s="49" t="inlineStr">
        <is>
          <t>Anurag Jagdhane</t>
        </is>
      </c>
      <c r="C39" s="33" t="inlineStr">
        <is>
          <t>9766410479</t>
        </is>
      </c>
      <c r="D39" s="33" t="inlineStr">
        <is>
          <t>snhfstfd@gmail.com</t>
        </is>
      </c>
      <c r="E39" s="33" t="inlineStr">
        <is>
          <t>B301 Vivanata life Vishakha</t>
        </is>
      </c>
      <c r="F39" s="33" t="inlineStr">
        <is>
          <t>Pune</t>
        </is>
      </c>
      <c r="G39" s="49" t="inlineStr">
        <is>
          <t>Avni Jagdhane</t>
        </is>
      </c>
      <c r="H39" s="13" t="n">
        <v>5</v>
      </c>
      <c r="I39" s="13" t="inlineStr">
        <is>
          <t>Female</t>
        </is>
      </c>
      <c r="J39" s="33" t="inlineStr">
        <is>
          <t>St Mary's</t>
        </is>
      </c>
      <c r="K39" s="13" t="inlineStr">
        <is>
          <t>LKG</t>
        </is>
      </c>
      <c r="L39" s="13" t="inlineStr">
        <is>
          <t>Basic</t>
        </is>
      </c>
      <c r="M39" s="13" t="n"/>
      <c r="N39" s="13" t="inlineStr">
        <is>
          <t>Offline</t>
        </is>
      </c>
      <c r="O39" s="14" t="n">
        <v>46091</v>
      </c>
      <c r="P39" s="14" t="n">
        <v>46142</v>
      </c>
      <c r="Q39" s="13" t="inlineStr">
        <is>
          <t>Active</t>
        </is>
      </c>
      <c r="R39" s="23" t="n">
        <v>6500</v>
      </c>
      <c r="S39" s="23" t="n">
        <v>0</v>
      </c>
      <c r="T39" s="23" t="n">
        <v>0</v>
      </c>
      <c r="U39" s="23" t="n">
        <v>6500</v>
      </c>
      <c r="V39" s="46" t="n">
        <v>6500</v>
      </c>
      <c r="W39" s="23" t="n">
        <v>0</v>
      </c>
      <c r="X39" s="13" t="inlineStr">
        <is>
          <t>Completed</t>
        </is>
      </c>
      <c r="Y39" s="33" t="inlineStr">
        <is>
          <t>Friend Referral</t>
        </is>
      </c>
      <c r="Z39" s="33" t="inlineStr">
        <is>
          <t>Friend Referral</t>
        </is>
      </c>
      <c r="AA39" s="33" t="inlineStr">
        <is>
          <t>Https://forms.zohopublic.in/excelkidshubzoho1/form/parentenquiryformexcelkidshubphonicsacademy/thankyou/formperma/eoaa5qfag8-0p2dnh5dgzpadjzllhkthogwpbgu7tza</t>
        </is>
      </c>
      <c r="AB39" s="18" t="n">
        <v>46088.69061342593</v>
      </c>
      <c r="AC39" s="87" t="n"/>
      <c r="AD39" s="87" t="n"/>
      <c r="AE39" s="88" t="n"/>
      <c r="AF39" s="89" t="n"/>
      <c r="AG39" s="89" t="n"/>
      <c r="AH39" s="88" t="n"/>
      <c r="AI39" s="88" t="n"/>
      <c r="AJ39" s="90" t="n"/>
      <c r="AK39" s="88" t="n"/>
      <c r="AL39" s="91" t="n"/>
      <c r="AM39" s="88" t="n"/>
      <c r="AN39" s="94" t="inlineStr">
        <is>
          <t>Send</t>
        </is>
      </c>
      <c r="AO39" s="87" t="inlineStr">
        <is>
          <t>Email Sent</t>
        </is>
      </c>
      <c r="AP39" s="93" t="n"/>
    </row>
    <row r="40" ht="14.25" customHeight="1" s="84">
      <c r="A40" s="13" t="inlineStr">
        <is>
          <t>A1039</t>
        </is>
      </c>
      <c r="B40" s="49" t="inlineStr">
        <is>
          <t>Sabna</t>
        </is>
      </c>
      <c r="C40" s="33" t="inlineStr">
        <is>
          <t>971558413265</t>
        </is>
      </c>
      <c r="D40" s="33" t="inlineStr">
        <is>
          <t>sabnasivanandan21@gmail.com</t>
        </is>
      </c>
      <c r="E40" s="33" t="inlineStr">
        <is>
          <t>Thazhath house anchery thrissur keraala</t>
        </is>
      </c>
      <c r="F40" s="33" t="inlineStr">
        <is>
          <t>Pune</t>
        </is>
      </c>
      <c r="G40" s="49" t="inlineStr">
        <is>
          <t>Aniketh</t>
        </is>
      </c>
      <c r="H40" s="13" t="n">
        <v>9</v>
      </c>
      <c r="I40" s="13" t="inlineStr">
        <is>
          <t>Male</t>
        </is>
      </c>
      <c r="J40" s="33" t="inlineStr">
        <is>
          <t>Indian high school</t>
        </is>
      </c>
      <c r="K40" s="13" t="inlineStr">
        <is>
          <t>3.0</t>
        </is>
      </c>
      <c r="L40" s="13" t="inlineStr">
        <is>
          <t>Advanced</t>
        </is>
      </c>
      <c r="M40" s="13" t="n"/>
      <c r="N40" s="13" t="inlineStr">
        <is>
          <t>Online</t>
        </is>
      </c>
      <c r="O40" s="14" t="n">
        <v>46091</v>
      </c>
      <c r="P40" s="14" t="n">
        <v>46167</v>
      </c>
      <c r="Q40" s="13" t="inlineStr">
        <is>
          <t>Active</t>
        </is>
      </c>
      <c r="R40" s="23" t="n">
        <v>6500</v>
      </c>
      <c r="S40" s="23" t="n">
        <v>0</v>
      </c>
      <c r="T40" s="23" t="n">
        <v>0</v>
      </c>
      <c r="U40" s="23" t="n">
        <v>6500</v>
      </c>
      <c r="V40" s="25">
        <f>IF(A40="","",SUMIF(payments!B:B,A40,payments!D:D))</f>
        <v/>
      </c>
      <c r="W40" s="23" t="n">
        <v>6500</v>
      </c>
      <c r="X40" s="13" t="inlineStr">
        <is>
          <t>Not Started</t>
        </is>
      </c>
      <c r="Y40" s="33" t="inlineStr">
        <is>
          <t>Social Media</t>
        </is>
      </c>
      <c r="Z40" s="33" t="n"/>
      <c r="AA40" s="33" t="inlineStr">
        <is>
          <t>Https://excelkidshub.in/</t>
        </is>
      </c>
      <c r="AB40" s="18" t="n">
        <v>46089.04700231482</v>
      </c>
      <c r="AC40" s="87" t="n"/>
      <c r="AD40" s="87" t="n"/>
      <c r="AE40" s="88" t="n"/>
      <c r="AF40" s="89" t="n"/>
      <c r="AG40" s="89" t="n"/>
      <c r="AH40" s="88" t="n"/>
      <c r="AI40" s="88" t="n"/>
      <c r="AJ40" s="90" t="n"/>
      <c r="AK40" s="88" t="n"/>
      <c r="AL40" s="91" t="n"/>
      <c r="AM40" s="88" t="n"/>
      <c r="AN40" s="92" t="n"/>
      <c r="AO40" s="93" t="n"/>
      <c r="AP40" s="93" t="n"/>
    </row>
    <row r="41" ht="14.25" customHeight="1" s="84">
      <c r="A41" s="13" t="inlineStr">
        <is>
          <t>A1040</t>
        </is>
      </c>
      <c r="B41" s="49" t="inlineStr">
        <is>
          <t>Noopur Deshpande</t>
        </is>
      </c>
      <c r="C41" s="33" t="inlineStr">
        <is>
          <t>8600893449</t>
        </is>
      </c>
      <c r="D41" s="33" t="inlineStr">
        <is>
          <t>noopurdeshpande1010@gmail.com</t>
        </is>
      </c>
      <c r="E41" s="33" t="inlineStr">
        <is>
          <t>Tower E flat 1501 Majestic Marbella Downtown Rd Kharadi Pune 411014</t>
        </is>
      </c>
      <c r="F41" s="33" t="inlineStr">
        <is>
          <t>Pune</t>
        </is>
      </c>
      <c r="G41" s="49" t="inlineStr">
        <is>
          <t>Adyansh Shukla</t>
        </is>
      </c>
      <c r="H41" s="13" t="n">
        <v>5</v>
      </c>
      <c r="I41" s="13" t="inlineStr">
        <is>
          <t>Male</t>
        </is>
      </c>
      <c r="J41" s="33" t="inlineStr">
        <is>
          <t>Orchids International</t>
        </is>
      </c>
      <c r="K41" s="13" t="inlineStr">
        <is>
          <t>1.0</t>
        </is>
      </c>
      <c r="L41" s="13" t="inlineStr">
        <is>
          <t>Basic</t>
        </is>
      </c>
      <c r="M41" s="13" t="n"/>
      <c r="N41" s="13" t="inlineStr">
        <is>
          <t>Online</t>
        </is>
      </c>
      <c r="O41" s="14" t="n">
        <v>46091</v>
      </c>
      <c r="P41" s="14" t="n">
        <v>46142</v>
      </c>
      <c r="Q41" s="13" t="inlineStr">
        <is>
          <t>Active</t>
        </is>
      </c>
      <c r="R41" s="23" t="n">
        <v>4500</v>
      </c>
      <c r="S41" s="23" t="n">
        <v>0</v>
      </c>
      <c r="T41" s="23" t="n">
        <v>0</v>
      </c>
      <c r="U41" s="23" t="n">
        <v>4500</v>
      </c>
      <c r="V41" s="25">
        <f>IF(A41="","",SUMIF(payments!B:B,A41,payments!D:D))</f>
        <v/>
      </c>
      <c r="W41" s="23" t="n">
        <v>4500</v>
      </c>
      <c r="X41" s="13" t="inlineStr">
        <is>
          <t>Not Started</t>
        </is>
      </c>
      <c r="Y41" s="33" t="inlineStr">
        <is>
          <t>Friend Referral</t>
        </is>
      </c>
      <c r="Z41" s="33" t="inlineStr">
        <is>
          <t>Friend Referral</t>
        </is>
      </c>
      <c r="AA41" s="33" t="inlineStr">
        <is>
          <t>Https://excelkidshub.in/</t>
        </is>
      </c>
      <c r="AB41" s="18" t="n">
        <v>46089.58153935185</v>
      </c>
      <c r="AC41" s="87" t="n"/>
      <c r="AD41" s="87" t="n"/>
      <c r="AE41" s="88" t="n"/>
      <c r="AF41" s="89" t="n"/>
      <c r="AG41" s="89" t="n"/>
      <c r="AH41" s="88" t="n"/>
      <c r="AI41" s="88" t="n"/>
      <c r="AJ41" s="90" t="n"/>
      <c r="AK41" s="88" t="n"/>
      <c r="AL41" s="91" t="n"/>
      <c r="AM41" s="88" t="n"/>
      <c r="AN41" s="92" t="n"/>
      <c r="AO41" s="93" t="n"/>
      <c r="AP41" s="93" t="n"/>
    </row>
    <row r="42" ht="14.25" customHeight="1" s="84">
      <c r="A42" s="13" t="inlineStr">
        <is>
          <t>A1041</t>
        </is>
      </c>
      <c r="B42" s="49" t="inlineStr">
        <is>
          <t>Dipak Gonate</t>
        </is>
      </c>
      <c r="C42" s="33" t="inlineStr">
        <is>
          <t>9096625975</t>
        </is>
      </c>
      <c r="D42" s="33" t="inlineStr">
        <is>
          <t>kbangar9@gmail.com</t>
        </is>
      </c>
      <c r="E42" s="33" t="inlineStr">
        <is>
          <t>Flat no 102 A wing star max society Tushar Park Dhanori pune</t>
        </is>
      </c>
      <c r="F42" s="33" t="inlineStr">
        <is>
          <t>Pune</t>
        </is>
      </c>
      <c r="G42" s="49" t="inlineStr">
        <is>
          <t>Mahir Dipak Gonate</t>
        </is>
      </c>
      <c r="H42" s="13" t="n">
        <v>6</v>
      </c>
      <c r="I42" s="13" t="inlineStr">
        <is>
          <t>Male</t>
        </is>
      </c>
      <c r="J42" s="33" t="inlineStr">
        <is>
          <t>Akansha fun n fun preschool</t>
        </is>
      </c>
      <c r="K42" s="13" t="inlineStr">
        <is>
          <t>UKG</t>
        </is>
      </c>
      <c r="L42" s="13" t="inlineStr">
        <is>
          <t>Advanced</t>
        </is>
      </c>
      <c r="M42" s="13" t="n"/>
      <c r="N42" s="13" t="inlineStr">
        <is>
          <t>Online</t>
        </is>
      </c>
      <c r="O42" s="14" t="n">
        <v>46091</v>
      </c>
      <c r="P42" s="14" t="n">
        <v>46167</v>
      </c>
      <c r="Q42" s="13" t="inlineStr">
        <is>
          <t>Active</t>
        </is>
      </c>
      <c r="R42" s="23" t="n">
        <v>6500</v>
      </c>
      <c r="S42" s="23" t="n">
        <v>0</v>
      </c>
      <c r="T42" s="23" t="n">
        <v>0</v>
      </c>
      <c r="U42" s="23" t="n">
        <v>6500</v>
      </c>
      <c r="V42" s="25">
        <f>IF(A42="","",SUMIF(payments!B:B,A42,payments!D:D))</f>
        <v/>
      </c>
      <c r="W42" s="23" t="n">
        <v>6500</v>
      </c>
      <c r="X42" s="13" t="inlineStr">
        <is>
          <t>Not Started</t>
        </is>
      </c>
      <c r="Y42" s="33" t="inlineStr">
        <is>
          <t>Friend Referral</t>
        </is>
      </c>
      <c r="Z42" s="33" t="inlineStr">
        <is>
          <t>Friend Referral</t>
        </is>
      </c>
      <c r="AA42" s="33" t="inlineStr">
        <is>
          <t>Https://excelkidshub.in/</t>
        </is>
      </c>
      <c r="AB42" s="18" t="n">
        <v>46090.52024305556</v>
      </c>
      <c r="AC42" s="87" t="n"/>
      <c r="AD42" s="87" t="n"/>
      <c r="AE42" s="88" t="n"/>
      <c r="AF42" s="89" t="n"/>
      <c r="AG42" s="89" t="n"/>
      <c r="AH42" s="88" t="n"/>
      <c r="AI42" s="88" t="n"/>
      <c r="AJ42" s="90" t="n"/>
      <c r="AK42" s="88" t="n"/>
      <c r="AL42" s="91" t="n"/>
      <c r="AM42" s="88" t="n"/>
      <c r="AN42" s="92" t="n"/>
      <c r="AO42" s="93" t="n"/>
      <c r="AP42" s="93" t="n"/>
    </row>
    <row r="43" ht="14.25" customHeight="1" s="84">
      <c r="A43" s="13" t="inlineStr">
        <is>
          <t>A1042</t>
        </is>
      </c>
      <c r="B43" s="49" t="inlineStr">
        <is>
          <t>Nitika Singhal</t>
        </is>
      </c>
      <c r="C43" s="33" t="inlineStr">
        <is>
          <t>7710054522</t>
        </is>
      </c>
      <c r="D43" s="33" t="inlineStr">
        <is>
          <t>nitika.singhal8@gmail.com</t>
        </is>
      </c>
      <c r="E43" s="33" t="inlineStr">
        <is>
          <t>Jaypee Kosmos,flat no.1006, KM-29, Sector-134, Noida</t>
        </is>
      </c>
      <c r="F43" s="33" t="inlineStr">
        <is>
          <t>Pune</t>
        </is>
      </c>
      <c r="G43" s="49" t="inlineStr">
        <is>
          <t>Kiyansh Choudhary</t>
        </is>
      </c>
      <c r="H43" s="13" t="n">
        <v>6</v>
      </c>
      <c r="I43" s="13" t="inlineStr">
        <is>
          <t>Male</t>
        </is>
      </c>
      <c r="J43" s="33" t="inlineStr">
        <is>
          <t>JBM Global school, Noida, U.P</t>
        </is>
      </c>
      <c r="K43" s="13" t="inlineStr">
        <is>
          <t>UKG</t>
        </is>
      </c>
      <c r="L43" s="13" t="inlineStr">
        <is>
          <t>Advanced</t>
        </is>
      </c>
      <c r="M43" s="13" t="n"/>
      <c r="N43" s="13" t="inlineStr">
        <is>
          <t>Online</t>
        </is>
      </c>
      <c r="O43" s="14" t="n">
        <v>46091</v>
      </c>
      <c r="P43" s="14" t="n">
        <v>46167</v>
      </c>
      <c r="Q43" s="13" t="inlineStr">
        <is>
          <t>Active</t>
        </is>
      </c>
      <c r="R43" s="23" t="n">
        <v>6500</v>
      </c>
      <c r="S43" s="23" t="n">
        <v>0</v>
      </c>
      <c r="T43" s="23" t="n">
        <v>0</v>
      </c>
      <c r="U43" s="23" t="n">
        <v>6500</v>
      </c>
      <c r="V43" s="25">
        <f>IF(A43="","",SUMIF(payments!B:B,A43,payments!D:D))</f>
        <v/>
      </c>
      <c r="W43" s="23" t="n">
        <v>6500</v>
      </c>
      <c r="X43" s="13" t="inlineStr">
        <is>
          <t>Not Started</t>
        </is>
      </c>
      <c r="Y43" s="33" t="inlineStr">
        <is>
          <t>Friend Referral</t>
        </is>
      </c>
      <c r="Z43" s="33" t="inlineStr">
        <is>
          <t>Friend Referral</t>
        </is>
      </c>
      <c r="AA43" s="33" t="inlineStr">
        <is>
          <t>Https://excelkidshub.in/</t>
        </is>
      </c>
      <c r="AB43" s="18" t="n">
        <v>46090.57164351852</v>
      </c>
      <c r="AC43" s="87" t="n"/>
      <c r="AD43" s="87" t="n"/>
      <c r="AE43" s="88" t="n"/>
      <c r="AF43" s="89" t="n"/>
      <c r="AG43" s="89" t="n"/>
      <c r="AH43" s="88" t="n"/>
      <c r="AI43" s="88" t="n"/>
      <c r="AJ43" s="90" t="n"/>
      <c r="AK43" s="88" t="n"/>
      <c r="AL43" s="91" t="n"/>
      <c r="AM43" s="88" t="n"/>
      <c r="AN43" s="92" t="n"/>
      <c r="AO43" s="93" t="n"/>
      <c r="AP43" s="93" t="n"/>
    </row>
    <row r="44" ht="14.25" customHeight="1" s="84">
      <c r="A44" s="13" t="inlineStr">
        <is>
          <t>A1043</t>
        </is>
      </c>
      <c r="B44" s="49" t="inlineStr">
        <is>
          <t>Karishma Salman Attar</t>
        </is>
      </c>
      <c r="C44" s="33" t="inlineStr">
        <is>
          <t>9604561786</t>
        </is>
      </c>
      <c r="D44" s="33" t="inlineStr">
        <is>
          <t>karishmashikalgar7777@gmail.com</t>
        </is>
      </c>
      <c r="E44" s="33" t="inlineStr">
        <is>
          <t>Ameer heights, kalwad wasti Lohegaon road,pune</t>
        </is>
      </c>
      <c r="F44" s="33" t="inlineStr">
        <is>
          <t>Pune</t>
        </is>
      </c>
      <c r="G44" s="49" t="inlineStr">
        <is>
          <t>Zohaib Salman Attar</t>
        </is>
      </c>
      <c r="H44" s="13" t="n">
        <v>5</v>
      </c>
      <c r="I44" s="13" t="inlineStr">
        <is>
          <t>Male</t>
        </is>
      </c>
      <c r="J44" s="33" t="inlineStr">
        <is>
          <t>Neuron labs</t>
        </is>
      </c>
      <c r="K44" s="13" t="inlineStr">
        <is>
          <t>Sr kg</t>
        </is>
      </c>
      <c r="L44" s="13" t="inlineStr">
        <is>
          <t>Advanced</t>
        </is>
      </c>
      <c r="M44" s="51" t="inlineStr">
        <is>
          <t>Online L2-B8 Apr'26</t>
        </is>
      </c>
      <c r="N44" s="13" t="inlineStr">
        <is>
          <t>Online</t>
        </is>
      </c>
      <c r="O44" s="14" t="n">
        <v>46091</v>
      </c>
      <c r="P44" s="14" t="n">
        <v>46167</v>
      </c>
      <c r="Q44" s="13" t="inlineStr">
        <is>
          <t>Active</t>
        </is>
      </c>
      <c r="R44" s="23" t="n">
        <v>6500</v>
      </c>
      <c r="S44" s="23" t="n">
        <v>0</v>
      </c>
      <c r="T44" s="23" t="n">
        <v>0</v>
      </c>
      <c r="U44" s="23" t="n">
        <v>6500</v>
      </c>
      <c r="V44" s="25" t="n">
        <v>3000</v>
      </c>
      <c r="W44" s="23" t="n">
        <v>3500</v>
      </c>
      <c r="X44" s="13" t="inlineStr">
        <is>
          <t>Partial</t>
        </is>
      </c>
      <c r="Y44" s="33" t="inlineStr">
        <is>
          <t>Social Media</t>
        </is>
      </c>
      <c r="Z44" s="33" t="n"/>
      <c r="AA44" s="33" t="inlineStr">
        <is>
          <t>Https://excelkidshub.in/</t>
        </is>
      </c>
      <c r="AB44" s="18" t="n">
        <v>46091.02962962963</v>
      </c>
      <c r="AC44" s="87" t="n"/>
      <c r="AD44" s="87" t="n"/>
      <c r="AE44" s="88" t="n"/>
      <c r="AF44" s="89" t="n"/>
      <c r="AG44" s="89" t="n"/>
      <c r="AH44" s="88" t="n"/>
      <c r="AI44" s="88" t="n"/>
      <c r="AJ44" s="90" t="n"/>
      <c r="AK44" s="88" t="n"/>
      <c r="AL44" s="91" t="n"/>
      <c r="AM44" s="88" t="n"/>
      <c r="AN44" s="92" t="n"/>
      <c r="AO44" s="93" t="n"/>
      <c r="AP44" s="93" t="n"/>
    </row>
    <row r="45" ht="14.25" customHeight="1" s="84">
      <c r="A45" s="13" t="inlineStr">
        <is>
          <t>A1044</t>
        </is>
      </c>
      <c r="B45" s="49" t="inlineStr">
        <is>
          <t>Sachin Dnyaneshwar Bhangare</t>
        </is>
      </c>
      <c r="C45" s="33" t="inlineStr">
        <is>
          <t>9819912114</t>
        </is>
      </c>
      <c r="D45" s="33" t="inlineStr">
        <is>
          <t>bhangresachin@gmail.com</t>
        </is>
      </c>
      <c r="E45" s="33" t="inlineStr">
        <is>
          <t>C201, Gini Belvista Society, Dhanori</t>
        </is>
      </c>
      <c r="F45" s="33" t="inlineStr">
        <is>
          <t>Pune</t>
        </is>
      </c>
      <c r="G45" s="49" t="inlineStr">
        <is>
          <t>Shreesha Sachin Bhangare</t>
        </is>
      </c>
      <c r="H45" s="13" t="n">
        <v>4</v>
      </c>
      <c r="I45" s="13" t="inlineStr">
        <is>
          <t>Female</t>
        </is>
      </c>
      <c r="J45" s="33" t="inlineStr">
        <is>
          <t>Vikhe Patil Memorial School, Wagholi</t>
        </is>
      </c>
      <c r="K45" s="13" t="inlineStr">
        <is>
          <t>Jr. KG</t>
        </is>
      </c>
      <c r="L45" s="13" t="inlineStr">
        <is>
          <t>Basic</t>
        </is>
      </c>
      <c r="M45" s="13" t="n"/>
      <c r="N45" s="13" t="inlineStr">
        <is>
          <t>Online</t>
        </is>
      </c>
      <c r="O45" s="14" t="n">
        <v>46091</v>
      </c>
      <c r="P45" s="14" t="n">
        <v>46142</v>
      </c>
      <c r="Q45" s="13" t="inlineStr">
        <is>
          <t>Active</t>
        </is>
      </c>
      <c r="R45" s="23" t="n">
        <v>4000</v>
      </c>
      <c r="S45" s="23" t="n">
        <v>0</v>
      </c>
      <c r="T45" s="23" t="n">
        <v>0</v>
      </c>
      <c r="U45" s="23" t="n">
        <v>4000</v>
      </c>
      <c r="V45" s="25">
        <f>IF(A45="","",SUMIF(payments!B:B,A45,payments!D:D))</f>
        <v/>
      </c>
      <c r="W45" s="23" t="n">
        <v>4000</v>
      </c>
      <c r="X45" s="13" t="inlineStr">
        <is>
          <t>Not Started</t>
        </is>
      </c>
      <c r="Y45" s="33" t="inlineStr">
        <is>
          <t>Friend Referral</t>
        </is>
      </c>
      <c r="Z45" s="33" t="inlineStr">
        <is>
          <t>Friend Referral</t>
        </is>
      </c>
      <c r="AA45" s="33" t="inlineStr">
        <is>
          <t>Https://excelkidshub.in/</t>
        </is>
      </c>
      <c r="AB45" s="18" t="n">
        <v>46091.48444444445</v>
      </c>
      <c r="AC45" s="87" t="n"/>
      <c r="AD45" s="87" t="n"/>
      <c r="AE45" s="88" t="n"/>
      <c r="AF45" s="89" t="n"/>
      <c r="AG45" s="89" t="n"/>
      <c r="AH45" s="88" t="n"/>
      <c r="AI45" s="88" t="n"/>
      <c r="AJ45" s="90" t="n"/>
      <c r="AK45" s="88" t="n"/>
      <c r="AL45" s="91" t="n"/>
      <c r="AM45" s="88" t="n"/>
      <c r="AN45" s="92" t="n"/>
      <c r="AO45" s="93" t="n"/>
      <c r="AP45" s="93" t="n"/>
    </row>
    <row r="46" ht="14.25" customHeight="1" s="84">
      <c r="A46" s="13" t="inlineStr">
        <is>
          <t>A1045</t>
        </is>
      </c>
      <c r="B46" s="49" t="inlineStr">
        <is>
          <t>Sanman Shinde</t>
        </is>
      </c>
      <c r="C46" s="33" t="inlineStr">
        <is>
          <t>9552826464</t>
        </is>
      </c>
      <c r="D46" s="33" t="inlineStr">
        <is>
          <t>swara.shinde921@gmail.com</t>
        </is>
      </c>
      <c r="E46" s="33" t="inlineStr">
        <is>
          <t>Wadgaon Shinde, Lohegaon, Pune.</t>
        </is>
      </c>
      <c r="F46" s="33" t="inlineStr">
        <is>
          <t>Pune</t>
        </is>
      </c>
      <c r="G46" s="49" t="inlineStr">
        <is>
          <t>Swaraj Sanman Shinde</t>
        </is>
      </c>
      <c r="H46" s="13" t="n">
        <v>10</v>
      </c>
      <c r="I46" s="13" t="inlineStr">
        <is>
          <t>Male</t>
        </is>
      </c>
      <c r="J46" s="33" t="inlineStr">
        <is>
          <t>Mount St. Patrick Academy</t>
        </is>
      </c>
      <c r="K46" s="13" t="n">
        <v>5</v>
      </c>
      <c r="L46" s="13" t="inlineStr">
        <is>
          <t>Advanced</t>
        </is>
      </c>
      <c r="M46" s="13" t="n"/>
      <c r="N46" s="13" t="inlineStr">
        <is>
          <t>Offline</t>
        </is>
      </c>
      <c r="O46" s="14" t="n">
        <v>46091</v>
      </c>
      <c r="P46" s="14" t="n">
        <v>46157</v>
      </c>
      <c r="Q46" s="13" t="inlineStr">
        <is>
          <t>Active</t>
        </is>
      </c>
      <c r="R46" s="23" t="n">
        <v>8500</v>
      </c>
      <c r="S46" s="23" t="n">
        <v>0</v>
      </c>
      <c r="T46" s="23" t="n">
        <v>0</v>
      </c>
      <c r="U46" s="23" t="n">
        <v>8500</v>
      </c>
      <c r="V46" s="25">
        <f>IF(A46="","",SUMIF(payments!B:B,A46,payments!D:D))</f>
        <v/>
      </c>
      <c r="W46" s="23" t="n">
        <v>8500</v>
      </c>
      <c r="X46" s="13" t="inlineStr">
        <is>
          <t>Not Started</t>
        </is>
      </c>
      <c r="Y46" s="33" t="inlineStr">
        <is>
          <t>Friend Referral</t>
        </is>
      </c>
      <c r="Z46" s="33" t="inlineStr">
        <is>
          <t>Friend Referral</t>
        </is>
      </c>
      <c r="AA46" s="33" t="inlineStr">
        <is>
          <t>Https://excelkidshub.in/</t>
        </is>
      </c>
      <c r="AB46" s="18" t="n">
        <v>46091.84532407407</v>
      </c>
      <c r="AC46" s="87" t="n"/>
      <c r="AD46" s="87" t="n"/>
      <c r="AE46" s="88" t="n"/>
      <c r="AF46" s="89" t="n"/>
      <c r="AG46" s="89" t="n"/>
      <c r="AH46" s="88" t="n"/>
      <c r="AI46" s="88" t="n"/>
      <c r="AJ46" s="90" t="n"/>
      <c r="AK46" s="88" t="n"/>
      <c r="AL46" s="91" t="n"/>
      <c r="AM46" s="88" t="n"/>
      <c r="AN46" s="92" t="n"/>
      <c r="AO46" s="93" t="n"/>
      <c r="AP46" s="93" t="n"/>
    </row>
    <row r="47" ht="14.25" customHeight="1" s="84">
      <c r="A47" s="13" t="inlineStr">
        <is>
          <t>A1046</t>
        </is>
      </c>
      <c r="B47" s="49" t="inlineStr">
        <is>
          <t>Krupa Ripal Vadgama</t>
        </is>
      </c>
      <c r="C47" s="33" t="inlineStr">
        <is>
          <t>7990066950</t>
        </is>
      </c>
      <c r="D47" s="33" t="inlineStr">
        <is>
          <t>krupabhardiya@gmail.com</t>
        </is>
      </c>
      <c r="E47" s="33" t="inlineStr">
        <is>
          <t>B 201 ambiance antilia,opp euro kids,bavdhan</t>
        </is>
      </c>
      <c r="F47" s="33" t="inlineStr">
        <is>
          <t>Pune</t>
        </is>
      </c>
      <c r="G47" s="49" t="inlineStr">
        <is>
          <t>Jiyaan Ripal Vadgama</t>
        </is>
      </c>
      <c r="H47" s="13" t="n">
        <v>6</v>
      </c>
      <c r="I47" s="13" t="inlineStr">
        <is>
          <t>Male</t>
        </is>
      </c>
      <c r="J47" s="33" t="inlineStr">
        <is>
          <t>Sanskriti school</t>
        </is>
      </c>
      <c r="K47" s="13" t="inlineStr">
        <is>
          <t>ukg</t>
        </is>
      </c>
      <c r="L47" s="13" t="inlineStr">
        <is>
          <t>Basic</t>
        </is>
      </c>
      <c r="M47" s="13" t="n"/>
      <c r="N47" s="13" t="inlineStr">
        <is>
          <t>Online</t>
        </is>
      </c>
      <c r="O47" s="14" t="n">
        <v>46091</v>
      </c>
      <c r="P47" s="14" t="n">
        <v>46142</v>
      </c>
      <c r="Q47" s="13" t="inlineStr">
        <is>
          <t>Active</t>
        </is>
      </c>
      <c r="R47" s="23" t="n">
        <v>4500</v>
      </c>
      <c r="S47" s="23" t="n">
        <v>0</v>
      </c>
      <c r="T47" s="23" t="n">
        <v>0</v>
      </c>
      <c r="U47" s="23" t="n">
        <v>4500</v>
      </c>
      <c r="V47" s="25">
        <f>IF(A47="","",SUMIF(payments!B:B,A47,payments!D:D))</f>
        <v/>
      </c>
      <c r="W47" s="23" t="n">
        <v>4500</v>
      </c>
      <c r="X47" s="13" t="inlineStr">
        <is>
          <t>Not Started</t>
        </is>
      </c>
      <c r="Y47" s="33" t="inlineStr">
        <is>
          <t>Friend Referral</t>
        </is>
      </c>
      <c r="Z47" s="33" t="inlineStr">
        <is>
          <t>Friend Referral</t>
        </is>
      </c>
      <c r="AA47" s="33" t="inlineStr">
        <is>
          <t>Https://excelkidshub.in/</t>
        </is>
      </c>
      <c r="AB47" s="18" t="n">
        <v>46091.89714120371</v>
      </c>
      <c r="AC47" s="87" t="n"/>
      <c r="AD47" s="87" t="n"/>
      <c r="AE47" s="88" t="n"/>
      <c r="AF47" s="89" t="n"/>
      <c r="AG47" s="89" t="n"/>
      <c r="AH47" s="88" t="n"/>
      <c r="AI47" s="88" t="n"/>
      <c r="AJ47" s="90" t="n"/>
      <c r="AK47" s="88" t="n"/>
      <c r="AL47" s="91" t="n"/>
      <c r="AM47" s="88" t="n"/>
      <c r="AN47" s="92" t="n"/>
      <c r="AO47" s="93" t="n"/>
      <c r="AP47" s="93" t="n"/>
    </row>
    <row r="48" ht="14.25" customHeight="1" s="84">
      <c r="A48" s="13" t="inlineStr">
        <is>
          <t>A1047</t>
        </is>
      </c>
      <c r="B48" s="49" t="inlineStr">
        <is>
          <t>Neha Akkewar</t>
        </is>
      </c>
      <c r="C48" s="33" t="inlineStr">
        <is>
          <t>9637903044</t>
        </is>
      </c>
      <c r="D48" s="33" t="inlineStr">
        <is>
          <t>shingewar@gmail.com</t>
        </is>
      </c>
      <c r="E48" s="33" t="inlineStr">
        <is>
          <t>Flat no.C-1104 Shreewoods society Dhanori</t>
        </is>
      </c>
      <c r="F48" s="33" t="inlineStr">
        <is>
          <t>Pune</t>
        </is>
      </c>
      <c r="G48" s="49" t="inlineStr">
        <is>
          <t>Maharudra Akkewar</t>
        </is>
      </c>
      <c r="H48" s="13" t="n">
        <v>6</v>
      </c>
      <c r="I48" s="13" t="inlineStr">
        <is>
          <t>Male</t>
        </is>
      </c>
      <c r="J48" s="33" t="inlineStr">
        <is>
          <t>Neuron labs</t>
        </is>
      </c>
      <c r="K48" s="13" t="inlineStr">
        <is>
          <t>currently in Ukg</t>
        </is>
      </c>
      <c r="L48" s="13" t="inlineStr">
        <is>
          <t>Advanced</t>
        </is>
      </c>
      <c r="M48" s="51" t="inlineStr">
        <is>
          <t>Offline L2-B10 Apr'26</t>
        </is>
      </c>
      <c r="N48" s="13" t="inlineStr">
        <is>
          <t>Offline</t>
        </is>
      </c>
      <c r="O48" s="14" t="n">
        <v>46091</v>
      </c>
      <c r="P48" s="14" t="n">
        <v>46157</v>
      </c>
      <c r="Q48" s="13" t="inlineStr">
        <is>
          <t>Active</t>
        </is>
      </c>
      <c r="R48" s="23" t="n">
        <v>6500</v>
      </c>
      <c r="S48" s="23" t="n">
        <v>0</v>
      </c>
      <c r="T48" s="23" t="n">
        <v>0</v>
      </c>
      <c r="U48" s="23" t="n">
        <v>6500</v>
      </c>
      <c r="V48" s="25" t="n">
        <v>500</v>
      </c>
      <c r="W48" s="23" t="n">
        <v>6000</v>
      </c>
      <c r="X48" s="13" t="inlineStr">
        <is>
          <t>Partial</t>
        </is>
      </c>
      <c r="Y48" s="33" t="inlineStr">
        <is>
          <t>Friend Referral</t>
        </is>
      </c>
      <c r="Z48" s="33" t="inlineStr">
        <is>
          <t>Friend Referral</t>
        </is>
      </c>
      <c r="AA48" s="33" t="inlineStr">
        <is>
          <t>Https://excelkidshub.in/</t>
        </is>
      </c>
      <c r="AB48" s="18" t="n">
        <v>46092.66271990741</v>
      </c>
      <c r="AC48" s="87" t="n"/>
      <c r="AD48" s="87" t="n"/>
      <c r="AE48" s="88" t="n"/>
      <c r="AF48" s="89" t="n"/>
      <c r="AG48" s="89" t="n"/>
      <c r="AH48" s="88" t="n"/>
      <c r="AI48" s="88" t="n"/>
      <c r="AJ48" s="90" t="n"/>
      <c r="AK48" s="88" t="n"/>
      <c r="AL48" s="91" t="n"/>
      <c r="AM48" s="88" t="n"/>
      <c r="AN48" s="92" t="n"/>
      <c r="AO48" s="93" t="n"/>
      <c r="AP48" s="93" t="n"/>
    </row>
    <row r="49" ht="14.25" customHeight="1" s="84">
      <c r="A49" s="13" t="inlineStr">
        <is>
          <t>A1048</t>
        </is>
      </c>
      <c r="B49" s="49" t="inlineStr">
        <is>
          <t>Kartiki Thite</t>
        </is>
      </c>
      <c r="C49" s="33" t="inlineStr">
        <is>
          <t>8805965779</t>
        </is>
      </c>
      <c r="D49" s="33" t="inlineStr">
        <is>
          <t>kartiki.lonkar21@gmail.com</t>
        </is>
      </c>
      <c r="E49" s="33" t="inlineStr">
        <is>
          <t>Ambience Antilia Bavdhan</t>
        </is>
      </c>
      <c r="F49" s="33" t="inlineStr">
        <is>
          <t>Pune</t>
        </is>
      </c>
      <c r="G49" s="49" t="inlineStr">
        <is>
          <t>Siya Thite</t>
        </is>
      </c>
      <c r="H49" s="13" t="n">
        <v>5</v>
      </c>
      <c r="I49" s="13" t="inlineStr">
        <is>
          <t>Female</t>
        </is>
      </c>
      <c r="J49" s="33" t="inlineStr">
        <is>
          <t>Sanskriti</t>
        </is>
      </c>
      <c r="K49" s="13" t="inlineStr">
        <is>
          <t>UKG</t>
        </is>
      </c>
      <c r="L49" s="13" t="inlineStr">
        <is>
          <t>Basic</t>
        </is>
      </c>
      <c r="M49" s="13" t="n"/>
      <c r="N49" s="13" t="inlineStr">
        <is>
          <t>Online</t>
        </is>
      </c>
      <c r="O49" s="14" t="n">
        <v>46091</v>
      </c>
      <c r="P49" s="14" t="n">
        <v>46142</v>
      </c>
      <c r="Q49" s="13" t="inlineStr">
        <is>
          <t>Active</t>
        </is>
      </c>
      <c r="R49" s="23" t="n">
        <v>4500</v>
      </c>
      <c r="S49" s="23" t="n">
        <v>0</v>
      </c>
      <c r="T49" s="23" t="n">
        <v>0</v>
      </c>
      <c r="U49" s="23" t="n">
        <v>4500</v>
      </c>
      <c r="V49" s="25">
        <f>IF(A49="","",SUMIF(payments!B:B,A49,payments!D:D))</f>
        <v/>
      </c>
      <c r="W49" s="23" t="n">
        <v>4500</v>
      </c>
      <c r="X49" s="13" t="inlineStr">
        <is>
          <t>Not Started</t>
        </is>
      </c>
      <c r="Y49" s="33" t="inlineStr">
        <is>
          <t>Friend Referral</t>
        </is>
      </c>
      <c r="Z49" s="33" t="inlineStr">
        <is>
          <t>Friend Referral</t>
        </is>
      </c>
      <c r="AA49" s="33" t="inlineStr">
        <is>
          <t>Https://excelkidshub.in/</t>
        </is>
      </c>
      <c r="AB49" s="18" t="n">
        <v>46092.83716435185</v>
      </c>
      <c r="AC49" s="87" t="n"/>
      <c r="AD49" s="87" t="n"/>
      <c r="AE49" s="88" t="n"/>
      <c r="AF49" s="89" t="n"/>
      <c r="AG49" s="89" t="n"/>
      <c r="AH49" s="88" t="n"/>
      <c r="AI49" s="88" t="n"/>
      <c r="AJ49" s="90" t="n"/>
      <c r="AK49" s="88" t="n"/>
      <c r="AL49" s="91" t="n"/>
      <c r="AM49" s="88" t="n"/>
      <c r="AN49" s="92" t="n"/>
      <c r="AO49" s="93" t="n"/>
      <c r="AP49" s="93" t="n"/>
    </row>
    <row r="50" ht="14.25" customHeight="1" s="84">
      <c r="A50" s="13" t="inlineStr">
        <is>
          <t>A1049</t>
        </is>
      </c>
      <c r="B50" s="49" t="inlineStr">
        <is>
          <t>Madhuri Morde</t>
        </is>
      </c>
      <c r="C50" s="33" t="inlineStr">
        <is>
          <t>8855966764</t>
        </is>
      </c>
      <c r="D50" s="33" t="inlineStr">
        <is>
          <t>madhurimorde26@gmail.com</t>
        </is>
      </c>
      <c r="E50" s="33" t="inlineStr">
        <is>
          <t>Flat no 101, shrey paradise, Siddharth Nagar lane no 1, Dhanori</t>
        </is>
      </c>
      <c r="F50" s="33" t="inlineStr">
        <is>
          <t>Pune</t>
        </is>
      </c>
      <c r="G50" s="49" t="inlineStr">
        <is>
          <t>Advik Kedar Shirodkar</t>
        </is>
      </c>
      <c r="H50" s="13" t="n">
        <v>5</v>
      </c>
      <c r="I50" s="13" t="inlineStr">
        <is>
          <t>Male</t>
        </is>
      </c>
      <c r="J50" s="33" t="inlineStr">
        <is>
          <t>Vikhe Patil memorial school</t>
        </is>
      </c>
      <c r="K50" s="13" t="inlineStr">
        <is>
          <t>UKG</t>
        </is>
      </c>
      <c r="L50" s="13" t="inlineStr">
        <is>
          <t>Advanced</t>
        </is>
      </c>
      <c r="M50" s="13" t="inlineStr">
        <is>
          <t>Offline L3-B9 Apr'26</t>
        </is>
      </c>
      <c r="N50" s="13" t="inlineStr">
        <is>
          <t>Offline</t>
        </is>
      </c>
      <c r="O50" s="14" t="n">
        <v>46091</v>
      </c>
      <c r="P50" s="14" t="n">
        <v>46157</v>
      </c>
      <c r="Q50" s="13" t="inlineStr">
        <is>
          <t>Active</t>
        </is>
      </c>
      <c r="R50" s="23" t="n">
        <v>6500</v>
      </c>
      <c r="S50" s="23" t="n">
        <v>0</v>
      </c>
      <c r="T50" s="23" t="n">
        <v>0</v>
      </c>
      <c r="U50" s="23" t="n">
        <v>6500</v>
      </c>
      <c r="V50" s="25" t="n">
        <v>3500</v>
      </c>
      <c r="W50" s="23" t="n">
        <v>3000</v>
      </c>
      <c r="X50" s="13" t="inlineStr">
        <is>
          <t>Partial</t>
        </is>
      </c>
      <c r="Y50" s="33" t="inlineStr">
        <is>
          <t>Poster/Hoarding</t>
        </is>
      </c>
      <c r="Z50" s="33" t="n"/>
      <c r="AA50" s="33" t="inlineStr">
        <is>
          <t>Https://excelkidshub.in/</t>
        </is>
      </c>
      <c r="AB50" s="18" t="n">
        <v>46094.68991898148</v>
      </c>
      <c r="AC50" s="87" t="n"/>
      <c r="AD50" s="87" t="n"/>
      <c r="AE50" s="88" t="n"/>
      <c r="AF50" s="89" t="n"/>
      <c r="AG50" s="89" t="n"/>
      <c r="AH50" s="88" t="n"/>
      <c r="AI50" s="88" t="n"/>
      <c r="AJ50" s="90" t="n"/>
      <c r="AK50" s="88" t="n"/>
      <c r="AL50" s="91" t="n"/>
      <c r="AM50" s="88" t="n"/>
      <c r="AN50" s="92" t="n"/>
      <c r="AO50" s="93" t="n"/>
      <c r="AP50" s="93" t="n"/>
    </row>
    <row r="51" ht="14.25" customHeight="1" s="84">
      <c r="A51" s="13" t="inlineStr">
        <is>
          <t>A1050</t>
        </is>
      </c>
      <c r="B51" s="49" t="inlineStr">
        <is>
          <t>Neha Patle</t>
        </is>
      </c>
      <c r="C51" s="33" t="inlineStr">
        <is>
          <t>7693942589</t>
        </is>
      </c>
      <c r="D51" s="33" t="inlineStr">
        <is>
          <t>patleneha79@gmail.com</t>
        </is>
      </c>
      <c r="E51" s="33" t="inlineStr">
        <is>
          <t>1903 samriddhi indralok, bhayandar</t>
        </is>
      </c>
      <c r="F51" s="33" t="inlineStr">
        <is>
          <t>Pune</t>
        </is>
      </c>
      <c r="G51" s="49" t="inlineStr">
        <is>
          <t>Ridhaan Patle</t>
        </is>
      </c>
      <c r="H51" s="13" t="n">
        <v>6</v>
      </c>
      <c r="I51" s="13" t="inlineStr">
        <is>
          <t>Male</t>
        </is>
      </c>
      <c r="J51" s="33" t="inlineStr">
        <is>
          <t>Sandipani pre school</t>
        </is>
      </c>
      <c r="K51" s="13" t="inlineStr">
        <is>
          <t>Senior Kg</t>
        </is>
      </c>
      <c r="L51" s="13" t="inlineStr">
        <is>
          <t>Basic</t>
        </is>
      </c>
      <c r="M51" s="13" t="n"/>
      <c r="N51" s="13" t="inlineStr">
        <is>
          <t>Online</t>
        </is>
      </c>
      <c r="O51" s="14" t="n">
        <v>46091</v>
      </c>
      <c r="P51" s="14" t="n">
        <v>46142</v>
      </c>
      <c r="Q51" s="13" t="inlineStr">
        <is>
          <t>Active</t>
        </is>
      </c>
      <c r="R51" s="23" t="n">
        <v>4000</v>
      </c>
      <c r="S51" s="23" t="n">
        <v>0</v>
      </c>
      <c r="T51" s="23" t="n">
        <v>0</v>
      </c>
      <c r="U51" s="23" t="n">
        <v>4000</v>
      </c>
      <c r="V51" s="25">
        <f>IF(A51="","",SUMIF(payments!B:B,A51,payments!D:D))</f>
        <v/>
      </c>
      <c r="W51" s="23" t="n">
        <v>4000</v>
      </c>
      <c r="X51" s="13" t="inlineStr">
        <is>
          <t>Not Started</t>
        </is>
      </c>
      <c r="Y51" s="33" t="inlineStr">
        <is>
          <t>Friend Referral</t>
        </is>
      </c>
      <c r="Z51" s="33" t="inlineStr">
        <is>
          <t>Friend Referral</t>
        </is>
      </c>
      <c r="AA51" s="33" t="n"/>
      <c r="AB51" s="18" t="n">
        <v>46095.48131944444</v>
      </c>
      <c r="AC51" s="87" t="n"/>
      <c r="AD51" s="87" t="n"/>
      <c r="AE51" s="88" t="n"/>
      <c r="AF51" s="89" t="n"/>
      <c r="AG51" s="89" t="n"/>
      <c r="AH51" s="88" t="n"/>
      <c r="AI51" s="88" t="n"/>
      <c r="AJ51" s="90" t="n"/>
      <c r="AK51" s="88" t="n"/>
      <c r="AL51" s="91" t="n"/>
      <c r="AM51" s="88" t="n"/>
      <c r="AN51" s="92" t="n"/>
      <c r="AO51" s="93" t="n"/>
      <c r="AP51" s="93" t="n"/>
    </row>
    <row r="52" ht="14.25" customHeight="1" s="84">
      <c r="A52" s="13" t="inlineStr">
        <is>
          <t>A1051</t>
        </is>
      </c>
      <c r="B52" s="49" t="inlineStr">
        <is>
          <t>Sophia Edward</t>
        </is>
      </c>
      <c r="C52" s="33" t="inlineStr">
        <is>
          <t>8698078511</t>
        </is>
      </c>
      <c r="D52" s="33" t="inlineStr">
        <is>
          <t>sophy.edward@gmail.com</t>
        </is>
      </c>
      <c r="E52" s="33" t="inlineStr">
        <is>
          <t>A 304 ,Phase 5, Tirupati campus, lane no 2,Tingre Nagar Pune 411015</t>
        </is>
      </c>
      <c r="F52" s="33" t="inlineStr">
        <is>
          <t>Pune</t>
        </is>
      </c>
      <c r="G52" s="49" t="inlineStr">
        <is>
          <t>Rayanna Rex</t>
        </is>
      </c>
      <c r="H52" s="13" t="n">
        <v>8</v>
      </c>
      <c r="I52" s="13" t="inlineStr">
        <is>
          <t>Female</t>
        </is>
      </c>
      <c r="J52" s="33" t="inlineStr">
        <is>
          <t>The Bishop's Co Ed school</t>
        </is>
      </c>
      <c r="K52" s="13" t="n">
        <v>3</v>
      </c>
      <c r="L52" s="13" t="inlineStr">
        <is>
          <t>Advanced</t>
        </is>
      </c>
      <c r="M52" s="13" t="n"/>
      <c r="N52" s="13" t="inlineStr">
        <is>
          <t>Online</t>
        </is>
      </c>
      <c r="O52" s="14" t="n">
        <v>46091</v>
      </c>
      <c r="P52" s="14" t="n">
        <v>46167</v>
      </c>
      <c r="Q52" s="13" t="inlineStr">
        <is>
          <t>Active</t>
        </is>
      </c>
      <c r="R52" s="29" t="n">
        <v>6500</v>
      </c>
      <c r="S52" s="23" t="n">
        <v>0</v>
      </c>
      <c r="T52" s="23" t="n">
        <v>0</v>
      </c>
      <c r="U52" s="23" t="n">
        <v>6500</v>
      </c>
      <c r="V52" s="46" t="n">
        <v>6500</v>
      </c>
      <c r="W52" s="23" t="n">
        <v>0</v>
      </c>
      <c r="X52" s="13" t="inlineStr">
        <is>
          <t>Completed</t>
        </is>
      </c>
      <c r="Y52" s="33" t="inlineStr">
        <is>
          <t>Friend Referral</t>
        </is>
      </c>
      <c r="Z52" s="33" t="inlineStr">
        <is>
          <t>Friend Referral</t>
        </is>
      </c>
      <c r="AA52" s="33" t="inlineStr">
        <is>
          <t>Https://excelkidshub.in/</t>
        </is>
      </c>
      <c r="AB52" s="18" t="n">
        <v>46095.50038194445</v>
      </c>
      <c r="AC52" s="87" t="n"/>
      <c r="AD52" s="87" t="n"/>
      <c r="AE52" s="88" t="n"/>
      <c r="AF52" s="89" t="n"/>
      <c r="AG52" s="89" t="n"/>
      <c r="AH52" s="88" t="n"/>
      <c r="AI52" s="88" t="n"/>
      <c r="AJ52" s="90" t="n"/>
      <c r="AK52" s="88" t="n"/>
      <c r="AL52" s="91" t="n"/>
      <c r="AM52" s="88" t="n"/>
      <c r="AN52" s="92" t="n"/>
      <c r="AO52" s="93" t="n"/>
      <c r="AP52" s="93" t="n"/>
    </row>
    <row r="53" ht="14.25" customHeight="1" s="84">
      <c r="A53" s="13" t="inlineStr">
        <is>
          <t>A1052</t>
        </is>
      </c>
      <c r="B53" s="49" t="inlineStr">
        <is>
          <t>Sophia Edward</t>
        </is>
      </c>
      <c r="C53" s="33" t="inlineStr">
        <is>
          <t>8698078511</t>
        </is>
      </c>
      <c r="D53" s="33" t="inlineStr">
        <is>
          <t>sophy.edward@gmail.com</t>
        </is>
      </c>
      <c r="E53" s="33" t="inlineStr">
        <is>
          <t>A 304 , Phase 5, Tirupati campus, lane no2, Tingre Nagar, Pune</t>
        </is>
      </c>
      <c r="F53" s="33" t="inlineStr">
        <is>
          <t>Pune</t>
        </is>
      </c>
      <c r="G53" s="49" t="inlineStr">
        <is>
          <t>Seanna Rex</t>
        </is>
      </c>
      <c r="H53" s="13" t="n">
        <v>8</v>
      </c>
      <c r="I53" s="13" t="inlineStr">
        <is>
          <t>Female</t>
        </is>
      </c>
      <c r="J53" s="33" t="inlineStr">
        <is>
          <t>The Bishop's Co Ed school</t>
        </is>
      </c>
      <c r="K53" s="13" t="n">
        <v>3</v>
      </c>
      <c r="L53" s="13" t="inlineStr">
        <is>
          <t>Advanced</t>
        </is>
      </c>
      <c r="M53" s="51" t="inlineStr">
        <is>
          <t>Online L2-B8 Apr'26</t>
        </is>
      </c>
      <c r="N53" s="13" t="inlineStr">
        <is>
          <t>Online</t>
        </is>
      </c>
      <c r="O53" s="14" t="n">
        <v>46091</v>
      </c>
      <c r="P53" s="14" t="n">
        <v>46167</v>
      </c>
      <c r="Q53" s="13" t="inlineStr">
        <is>
          <t>Active</t>
        </is>
      </c>
      <c r="R53" s="29" t="n">
        <v>6500</v>
      </c>
      <c r="S53" s="23" t="n">
        <v>0</v>
      </c>
      <c r="T53" s="23" t="n">
        <v>0</v>
      </c>
      <c r="U53" s="23" t="n">
        <v>6500</v>
      </c>
      <c r="V53" s="46" t="n">
        <v>6500</v>
      </c>
      <c r="W53" s="23" t="n">
        <v>0</v>
      </c>
      <c r="X53" s="13" t="inlineStr">
        <is>
          <t>Completed</t>
        </is>
      </c>
      <c r="Y53" s="33" t="inlineStr">
        <is>
          <t>Friend Referral</t>
        </is>
      </c>
      <c r="Z53" s="33" t="inlineStr">
        <is>
          <t>Friend Referral</t>
        </is>
      </c>
      <c r="AA53" s="33" t="inlineStr">
        <is>
          <t>Https://forms.zohopublic.in/excelkidshubzoho1/form/parentenquiryformexcelkidshubphonicsacademy/thankyou/formperma/eoaa5qfag8-0p2dnh5dgzpadjzllhkthogwpbgu7tza</t>
        </is>
      </c>
      <c r="AB53" s="18" t="n">
        <v>46095.50144675926</v>
      </c>
      <c r="AC53" s="87" t="n"/>
      <c r="AD53" s="87" t="n"/>
      <c r="AE53" s="88" t="n"/>
      <c r="AF53" s="89" t="n"/>
      <c r="AG53" s="89" t="n"/>
      <c r="AH53" s="88" t="n"/>
      <c r="AI53" s="88" t="n"/>
      <c r="AJ53" s="90" t="n"/>
      <c r="AK53" s="88" t="n"/>
      <c r="AL53" s="91" t="n"/>
      <c r="AM53" s="88" t="n"/>
      <c r="AN53" s="92" t="n"/>
      <c r="AO53" s="93" t="n"/>
      <c r="AP53" s="93" t="n"/>
    </row>
    <row r="54" ht="14.25" customHeight="1" s="84">
      <c r="A54" s="13" t="inlineStr">
        <is>
          <t>A1053</t>
        </is>
      </c>
      <c r="B54" s="49" t="inlineStr">
        <is>
          <t>Manish Kumar Prasad</t>
        </is>
      </c>
      <c r="C54" s="33" t="inlineStr">
        <is>
          <t>7767983380</t>
        </is>
      </c>
      <c r="D54" s="33" t="inlineStr">
        <is>
          <t>manish0922@gmail.com</t>
        </is>
      </c>
      <c r="E54" s="33" t="inlineStr">
        <is>
          <t>Flat No - 204 Wing - D Laxmi Nagar Society Dhanori Pune-411015</t>
        </is>
      </c>
      <c r="F54" s="33" t="inlineStr">
        <is>
          <t>Pune</t>
        </is>
      </c>
      <c r="G54" s="49" t="inlineStr">
        <is>
          <t>Saanya Priyadarshini</t>
        </is>
      </c>
      <c r="H54" s="13" t="n">
        <v>6</v>
      </c>
      <c r="I54" s="13" t="inlineStr">
        <is>
          <t>Female</t>
        </is>
      </c>
      <c r="J54" s="33" t="inlineStr">
        <is>
          <t>Neuron Labs</t>
        </is>
      </c>
      <c r="K54" s="13" t="n">
        <v>1</v>
      </c>
      <c r="L54" s="13" t="inlineStr">
        <is>
          <t>Basic</t>
        </is>
      </c>
      <c r="M54" s="51" t="inlineStr">
        <is>
          <t>Online L2-B8 Apr'26</t>
        </is>
      </c>
      <c r="N54" s="13" t="inlineStr">
        <is>
          <t>Offline</t>
        </is>
      </c>
      <c r="O54" s="14" t="n">
        <v>46091</v>
      </c>
      <c r="P54" s="14" t="n">
        <v>46142</v>
      </c>
      <c r="Q54" s="13" t="inlineStr">
        <is>
          <t>Active</t>
        </is>
      </c>
      <c r="R54" s="29" t="n">
        <v>6500</v>
      </c>
      <c r="S54" s="23" t="n">
        <v>0</v>
      </c>
      <c r="T54" s="23" t="n">
        <v>0</v>
      </c>
      <c r="U54" s="23" t="n">
        <v>6500</v>
      </c>
      <c r="V54" s="46" t="n">
        <v>6500</v>
      </c>
      <c r="W54" s="23" t="n">
        <v>0</v>
      </c>
      <c r="X54" s="13" t="inlineStr">
        <is>
          <t>Completed</t>
        </is>
      </c>
      <c r="Y54" s="33" t="inlineStr">
        <is>
          <t>Friend Referral</t>
        </is>
      </c>
      <c r="Z54" s="33" t="inlineStr">
        <is>
          <t>Friend Referral</t>
        </is>
      </c>
      <c r="AA54" s="33" t="inlineStr">
        <is>
          <t>Https://excelkidshub.in/</t>
        </is>
      </c>
      <c r="AB54" s="18" t="n">
        <v>46095.71923611111</v>
      </c>
      <c r="AC54" s="87" t="n"/>
      <c r="AD54" s="87" t="n"/>
      <c r="AE54" s="88" t="n"/>
      <c r="AF54" s="89" t="n"/>
      <c r="AG54" s="89" t="n"/>
      <c r="AH54" s="88" t="n"/>
      <c r="AI54" s="88" t="n"/>
      <c r="AJ54" s="90" t="n"/>
      <c r="AK54" s="88" t="n"/>
      <c r="AL54" s="91" t="n"/>
      <c r="AM54" s="88" t="n"/>
      <c r="AN54" s="92" t="n"/>
      <c r="AO54" s="93" t="n"/>
      <c r="AP54" s="93" t="n"/>
    </row>
    <row r="55" ht="14.25" customHeight="1" s="84">
      <c r="A55" s="13" t="inlineStr">
        <is>
          <t>A1054</t>
        </is>
      </c>
      <c r="B55" s="49" t="inlineStr">
        <is>
          <t>Saraswati Suraj Shinde</t>
        </is>
      </c>
      <c r="C55" s="33" t="inlineStr">
        <is>
          <t>9545219922</t>
        </is>
      </c>
      <c r="D55" s="33" t="inlineStr">
        <is>
          <t>shindesarita1985@gmail.com</t>
        </is>
      </c>
      <c r="E55" s="33" t="inlineStr">
        <is>
          <t>Flat no 1302-B, Manhattan, Pride world city. Charholi. Pune 412105.</t>
        </is>
      </c>
      <c r="F55" s="33" t="inlineStr">
        <is>
          <t>Pune</t>
        </is>
      </c>
      <c r="G55" s="49" t="inlineStr">
        <is>
          <t>Advita Suraj Shinde</t>
        </is>
      </c>
      <c r="H55" s="13" t="n">
        <v>5</v>
      </c>
      <c r="I55" s="13" t="inlineStr">
        <is>
          <t>Female</t>
        </is>
      </c>
      <c r="J55" s="33" t="inlineStr">
        <is>
          <t>Mount St. Patrick Academy</t>
        </is>
      </c>
      <c r="K55" s="13" t="n">
        <v>1</v>
      </c>
      <c r="L55" s="13" t="inlineStr">
        <is>
          <t>Basic</t>
        </is>
      </c>
      <c r="M55" s="13" t="n"/>
      <c r="N55" s="13" t="inlineStr">
        <is>
          <t>Online</t>
        </is>
      </c>
      <c r="O55" s="14" t="n">
        <v>46091</v>
      </c>
      <c r="P55" s="14" t="n">
        <v>46142</v>
      </c>
      <c r="Q55" s="13" t="inlineStr">
        <is>
          <t>Active</t>
        </is>
      </c>
      <c r="R55" s="23" t="n">
        <v>4500</v>
      </c>
      <c r="S55" s="23" t="n">
        <v>0</v>
      </c>
      <c r="T55" s="23" t="n">
        <v>0</v>
      </c>
      <c r="U55" s="23" t="n">
        <v>4500</v>
      </c>
      <c r="V55" s="25">
        <f>IF(A55="","",SUMIF(payments!B:B,A55,payments!D:D))</f>
        <v/>
      </c>
      <c r="W55" s="23" t="n">
        <v>4500</v>
      </c>
      <c r="X55" s="13" t="inlineStr">
        <is>
          <t>Not Started</t>
        </is>
      </c>
      <c r="Y55" s="33" t="inlineStr">
        <is>
          <t>Friend Referral</t>
        </is>
      </c>
      <c r="Z55" s="33" t="inlineStr">
        <is>
          <t>Friend Referral</t>
        </is>
      </c>
      <c r="AA55" s="33" t="inlineStr">
        <is>
          <t>Https://excelkidshub.in/</t>
        </is>
      </c>
      <c r="AB55" s="18" t="n">
        <v>46095.78807870371</v>
      </c>
      <c r="AC55" s="87" t="n"/>
      <c r="AD55" s="87" t="n"/>
      <c r="AE55" s="88" t="n"/>
      <c r="AF55" s="89" t="n"/>
      <c r="AG55" s="89" t="n"/>
      <c r="AH55" s="88" t="n"/>
      <c r="AI55" s="88" t="n"/>
      <c r="AJ55" s="90" t="n"/>
      <c r="AK55" s="88" t="n"/>
      <c r="AL55" s="91" t="n"/>
      <c r="AM55" s="88" t="n"/>
      <c r="AN55" s="92" t="n"/>
      <c r="AO55" s="93" t="n"/>
      <c r="AP55" s="93" t="n"/>
    </row>
    <row r="56" ht="14.25" customHeight="1" s="84">
      <c r="A56" s="13" t="inlineStr">
        <is>
          <t>A1055</t>
        </is>
      </c>
      <c r="B56" s="44" t="inlineStr">
        <is>
          <t>Ankita nikhil kulkarni</t>
        </is>
      </c>
      <c r="C56" s="51" t="n">
        <v>8591226626</v>
      </c>
      <c r="D56" s="51" t="inlineStr">
        <is>
          <t>ankitak1192@gmail.com</t>
        </is>
      </c>
      <c r="E56" s="51" t="inlineStr">
        <is>
          <t>A1 502 29gold coast building opp atria society</t>
        </is>
      </c>
      <c r="F56" s="33" t="inlineStr">
        <is>
          <t>Pune</t>
        </is>
      </c>
      <c r="G56" s="44" t="inlineStr">
        <is>
          <t>Jui nikhil kulkarni</t>
        </is>
      </c>
      <c r="H56" s="38" t="n">
        <v>7</v>
      </c>
      <c r="I56" s="39" t="inlineStr">
        <is>
          <t>Female</t>
        </is>
      </c>
      <c r="J56" s="39" t="inlineStr">
        <is>
          <t>Pragati international school</t>
        </is>
      </c>
      <c r="K56" s="38" t="n">
        <v>1</v>
      </c>
      <c r="L56" s="13" t="inlineStr">
        <is>
          <t>Advanced</t>
        </is>
      </c>
      <c r="M56" s="13" t="n"/>
      <c r="N56" s="51" t="inlineStr">
        <is>
          <t>Offline</t>
        </is>
      </c>
      <c r="O56" s="14" t="n"/>
      <c r="P56" s="14" t="n"/>
      <c r="Q56" s="13" t="inlineStr">
        <is>
          <t>Active</t>
        </is>
      </c>
      <c r="R56" s="29" t="n">
        <v>8500</v>
      </c>
      <c r="S56" s="23" t="n">
        <v>0</v>
      </c>
      <c r="T56" s="23" t="n">
        <v>0</v>
      </c>
      <c r="U56" s="29" t="n">
        <v>8500</v>
      </c>
      <c r="V56" s="46" t="n">
        <v>8500</v>
      </c>
      <c r="W56" s="23" t="n">
        <v>0</v>
      </c>
      <c r="X56" s="13" t="inlineStr">
        <is>
          <t>Completed</t>
        </is>
      </c>
      <c r="Y56" s="33" t="n"/>
      <c r="Z56" s="39" t="inlineStr">
        <is>
          <t>Friend Referral</t>
        </is>
      </c>
      <c r="AA56" s="33" t="n"/>
      <c r="AB56" s="34" t="n">
        <v>46096.0358912037</v>
      </c>
      <c r="AC56" s="87" t="n"/>
      <c r="AD56" s="87" t="n"/>
      <c r="AE56" s="88" t="n"/>
      <c r="AF56" s="89" t="n"/>
      <c r="AG56" s="89" t="n"/>
      <c r="AH56" s="88" t="n"/>
      <c r="AI56" s="88" t="n"/>
      <c r="AJ56" s="90" t="n"/>
      <c r="AK56" s="88" t="n"/>
      <c r="AL56" s="91" t="n"/>
      <c r="AM56" s="88" t="n"/>
      <c r="AN56" s="92" t="n"/>
      <c r="AO56" s="93" t="n"/>
      <c r="AP56" s="93" t="n"/>
    </row>
    <row r="57" ht="14.25" customHeight="1" s="84">
      <c r="A57" s="13" t="inlineStr">
        <is>
          <t>A1056</t>
        </is>
      </c>
      <c r="B57" s="44" t="inlineStr">
        <is>
          <t>Ridhima khera</t>
        </is>
      </c>
      <c r="C57" s="38" t="n">
        <v>9818065684</v>
      </c>
      <c r="D57" s="39" t="inlineStr">
        <is>
          <t>riddhmaakhera@gmail.com</t>
        </is>
      </c>
      <c r="E57" s="51" t="inlineStr">
        <is>
          <t>E801, satellite towers, Koregaon park , Pune</t>
        </is>
      </c>
      <c r="F57" s="33" t="inlineStr">
        <is>
          <t>Pune</t>
        </is>
      </c>
      <c r="G57" s="44" t="inlineStr">
        <is>
          <t>Ranveer Kumar</t>
        </is>
      </c>
      <c r="H57" s="38" t="n">
        <v>6</v>
      </c>
      <c r="I57" s="39" t="inlineStr">
        <is>
          <t>Male</t>
        </is>
      </c>
      <c r="J57" s="39" t="inlineStr">
        <is>
          <t>Billabong international school</t>
        </is>
      </c>
      <c r="K57" s="38" t="n">
        <v>1</v>
      </c>
      <c r="L57" s="39" t="inlineStr">
        <is>
          <t>Basic</t>
        </is>
      </c>
      <c r="M57" s="13" t="n"/>
      <c r="N57" s="39" t="inlineStr">
        <is>
          <t>Online</t>
        </is>
      </c>
      <c r="O57" s="14" t="n"/>
      <c r="P57" s="14" t="n"/>
      <c r="Q57" s="13" t="inlineStr">
        <is>
          <t>Active</t>
        </is>
      </c>
      <c r="R57" s="29" t="n">
        <v>4500</v>
      </c>
      <c r="S57" s="23" t="n"/>
      <c r="T57" s="23" t="n"/>
      <c r="U57" s="23" t="n">
        <v>4500</v>
      </c>
      <c r="V57" s="46" t="n">
        <v>4500</v>
      </c>
      <c r="W57" s="23" t="n">
        <v>0</v>
      </c>
      <c r="X57" s="13" t="inlineStr">
        <is>
          <t>Completed</t>
        </is>
      </c>
      <c r="Y57" s="33" t="n"/>
      <c r="Z57" s="39" t="inlineStr">
        <is>
          <t>Friend Referral</t>
        </is>
      </c>
      <c r="AA57" s="33" t="n"/>
      <c r="AB57" s="34" t="n">
        <v>46080.71623842593</v>
      </c>
      <c r="AC57" s="87" t="n"/>
      <c r="AD57" s="87" t="n"/>
      <c r="AE57" s="88" t="n"/>
      <c r="AF57" s="89" t="n"/>
      <c r="AG57" s="89" t="n"/>
      <c r="AH57" s="88" t="n"/>
      <c r="AI57" s="88" t="n"/>
      <c r="AJ57" s="90" t="n"/>
      <c r="AK57" s="88" t="n"/>
      <c r="AL57" s="91" t="n"/>
      <c r="AM57" s="88" t="n"/>
      <c r="AN57" s="92" t="n"/>
      <c r="AO57" s="93" t="n"/>
      <c r="AP57" s="93" t="n"/>
    </row>
    <row r="58" ht="14.25" customHeight="1" s="84">
      <c r="A58" s="13" t="inlineStr">
        <is>
          <t>A1057</t>
        </is>
      </c>
      <c r="B58" s="44" t="inlineStr">
        <is>
          <t>Rupesh Dnyaneshwar Tingre</t>
        </is>
      </c>
      <c r="C58" s="39" t="inlineStr">
        <is>
          <t>97675 74555</t>
        </is>
      </c>
      <c r="D58" s="39" t="inlineStr">
        <is>
          <t>pallavi.tingare1988@gmail.com</t>
        </is>
      </c>
      <c r="E58" s="39" t="inlineStr">
        <is>
          <t>Sr no 22 near bharat dhaba dhanori pune 411015</t>
        </is>
      </c>
      <c r="F58" s="33" t="inlineStr">
        <is>
          <t>Pune</t>
        </is>
      </c>
      <c r="G58" s="44" t="inlineStr">
        <is>
          <t>Paras rupesh tingre</t>
        </is>
      </c>
      <c r="H58" s="38" t="n">
        <v>10</v>
      </c>
      <c r="I58" s="39" t="inlineStr">
        <is>
          <t>Male</t>
        </is>
      </c>
      <c r="J58" s="39" t="inlineStr">
        <is>
          <t>Bharati vidyapeeth english mediun school</t>
        </is>
      </c>
      <c r="K58" s="39" t="n">
        <v>5</v>
      </c>
      <c r="L58" s="13" t="inlineStr">
        <is>
          <t>Advanced</t>
        </is>
      </c>
      <c r="M58" s="13" t="inlineStr">
        <is>
          <t>Offline L2-B10 Apr'26</t>
        </is>
      </c>
      <c r="N58" s="39" t="inlineStr">
        <is>
          <t>Offline</t>
        </is>
      </c>
      <c r="O58" s="14" t="n"/>
      <c r="P58" s="14" t="n"/>
      <c r="Q58" s="13" t="inlineStr">
        <is>
          <t>Active</t>
        </is>
      </c>
      <c r="R58" s="42" t="n">
        <v>6500</v>
      </c>
      <c r="S58" s="23" t="n"/>
      <c r="T58" s="23" t="n"/>
      <c r="U58" s="23" t="n">
        <v>6500</v>
      </c>
      <c r="V58" s="43" t="n">
        <v>500</v>
      </c>
      <c r="W58" s="23" t="n">
        <v>6000</v>
      </c>
      <c r="X58" s="13" t="inlineStr">
        <is>
          <t>Partial</t>
        </is>
      </c>
      <c r="Y58" s="33" t="n"/>
      <c r="Z58" s="39" t="n"/>
      <c r="AA58" s="33" t="n"/>
      <c r="AB58" s="34" t="n">
        <v>46113.52525462963</v>
      </c>
      <c r="AC58" s="87" t="n"/>
      <c r="AD58" s="87" t="n"/>
      <c r="AE58" s="88" t="n"/>
      <c r="AF58" s="89" t="n"/>
      <c r="AG58" s="89" t="n"/>
      <c r="AH58" s="88" t="n"/>
      <c r="AI58" s="88" t="n"/>
      <c r="AJ58" s="90" t="n"/>
      <c r="AK58" s="88" t="n"/>
      <c r="AL58" s="91" t="n"/>
      <c r="AM58" s="88" t="n"/>
      <c r="AN58" s="92" t="n"/>
      <c r="AO58" s="93" t="n"/>
      <c r="AP58" s="93" t="n"/>
    </row>
    <row r="59" ht="14.25" customHeight="1" s="84">
      <c r="A59" s="13" t="inlineStr">
        <is>
          <t>A1058</t>
        </is>
      </c>
      <c r="B59" s="44" t="inlineStr">
        <is>
          <t>Rupesh Dnyaneshwar Tingre</t>
        </is>
      </c>
      <c r="C59" s="39" t="inlineStr">
        <is>
          <t>97675 74555</t>
        </is>
      </c>
      <c r="D59" s="39" t="inlineStr">
        <is>
          <t>pallavi.tingare1988@gmail.com</t>
        </is>
      </c>
      <c r="E59" s="39" t="inlineStr">
        <is>
          <t>Sr no 22 near bharat dhaba dhanori pune 411015</t>
        </is>
      </c>
      <c r="F59" s="33" t="inlineStr">
        <is>
          <t>Pune</t>
        </is>
      </c>
      <c r="G59" s="44" t="inlineStr">
        <is>
          <t>Paras Rupesh Tingre</t>
        </is>
      </c>
      <c r="H59" s="38" t="n">
        <v>10</v>
      </c>
      <c r="I59" s="39" t="inlineStr">
        <is>
          <t>Male</t>
        </is>
      </c>
      <c r="J59" s="39" t="inlineStr">
        <is>
          <t>Bharati Vidyapeeth english medium school</t>
        </is>
      </c>
      <c r="K59" s="39" t="n">
        <v>5</v>
      </c>
      <c r="L59" s="13" t="inlineStr">
        <is>
          <t>Advanced</t>
        </is>
      </c>
      <c r="M59" s="13" t="n"/>
      <c r="N59" s="39" t="inlineStr">
        <is>
          <t>Offline</t>
        </is>
      </c>
      <c r="O59" s="14" t="n"/>
      <c r="P59" s="14" t="n"/>
      <c r="Q59" s="13" t="inlineStr">
        <is>
          <t>Active</t>
        </is>
      </c>
      <c r="R59" s="42" t="n"/>
      <c r="S59" s="23" t="n"/>
      <c r="T59" s="23" t="n"/>
      <c r="U59" s="23" t="inlineStr"/>
      <c r="V59" s="43" t="n"/>
      <c r="W59" s="23" t="inlineStr"/>
      <c r="X59" s="13" t="inlineStr"/>
      <c r="Y59" s="33" t="n"/>
      <c r="Z59" s="39" t="inlineStr">
        <is>
          <t>Friend Referral</t>
        </is>
      </c>
      <c r="AA59" s="33" t="n"/>
      <c r="AB59" s="34" t="n">
        <v>46113.5268287037</v>
      </c>
      <c r="AC59" s="87" t="n"/>
      <c r="AD59" s="87" t="n"/>
      <c r="AE59" s="88" t="n"/>
      <c r="AF59" s="89" t="n"/>
      <c r="AG59" s="89" t="n"/>
      <c r="AH59" s="88" t="n"/>
      <c r="AI59" s="88" t="n"/>
      <c r="AJ59" s="90" t="n"/>
      <c r="AK59" s="88" t="n"/>
      <c r="AL59" s="91" t="n"/>
      <c r="AM59" s="88" t="n"/>
      <c r="AN59" s="92" t="n"/>
      <c r="AO59" s="93" t="n"/>
      <c r="AP59" s="93" t="n"/>
    </row>
    <row r="60" ht="14.25" customHeight="1" s="84">
      <c r="A60" s="13" t="inlineStr">
        <is>
          <t>A1059</t>
        </is>
      </c>
      <c r="B60" s="44" t="inlineStr">
        <is>
          <t>Snehal Gade</t>
        </is>
      </c>
      <c r="C60" s="38" t="n">
        <v>9145570241</v>
      </c>
      <c r="D60" s="39" t="inlineStr">
        <is>
          <t>snehal143.gade@gmail.com</t>
        </is>
      </c>
      <c r="E60" s="39" t="inlineStr">
        <is>
          <t>Elementto society porwal road lohegoan</t>
        </is>
      </c>
      <c r="F60" s="33" t="inlineStr">
        <is>
          <t>Pune</t>
        </is>
      </c>
      <c r="G60" s="44" t="inlineStr">
        <is>
          <t>Nirvana p mahadwarkar</t>
        </is>
      </c>
      <c r="H60" s="38" t="n">
        <v>9</v>
      </c>
      <c r="I60" s="39" t="inlineStr">
        <is>
          <t>Female</t>
        </is>
      </c>
      <c r="J60" s="39" t="inlineStr">
        <is>
          <t>Pune international school</t>
        </is>
      </c>
      <c r="K60" s="38" t="n">
        <v>4</v>
      </c>
      <c r="L60" s="13" t="inlineStr">
        <is>
          <t>Advanced</t>
        </is>
      </c>
      <c r="M60" s="13" t="inlineStr">
        <is>
          <t>Offline L2-B10 Apr'26</t>
        </is>
      </c>
      <c r="N60" s="39" t="inlineStr">
        <is>
          <t>Offline</t>
        </is>
      </c>
      <c r="O60" s="14" t="n"/>
      <c r="P60" s="14" t="n"/>
      <c r="Q60" s="13" t="inlineStr">
        <is>
          <t>Active</t>
        </is>
      </c>
      <c r="R60" s="29" t="n">
        <v>6500</v>
      </c>
      <c r="S60" s="23" t="n"/>
      <c r="T60" s="23" t="n"/>
      <c r="U60" s="23" t="n">
        <v>6500</v>
      </c>
      <c r="V60" s="46" t="n">
        <v>6500</v>
      </c>
      <c r="W60" s="23" t="n">
        <v>0</v>
      </c>
      <c r="X60" s="13" t="inlineStr">
        <is>
          <t>Completed</t>
        </is>
      </c>
      <c r="Y60" s="33" t="n"/>
      <c r="Z60" s="39" t="inlineStr">
        <is>
          <t>Google</t>
        </is>
      </c>
      <c r="AA60" s="33" t="n"/>
      <c r="AB60" s="34" t="n">
        <v>46113.60354166666</v>
      </c>
      <c r="AC60" s="87" t="n"/>
      <c r="AD60" s="87" t="n"/>
      <c r="AE60" s="88" t="n"/>
      <c r="AF60" s="89" t="n"/>
      <c r="AG60" s="89" t="n"/>
      <c r="AH60" s="88" t="n"/>
      <c r="AI60" s="88" t="n"/>
      <c r="AJ60" s="90" t="n"/>
      <c r="AK60" s="88" t="n"/>
      <c r="AL60" s="91" t="n"/>
      <c r="AM60" s="88" t="n"/>
      <c r="AN60" s="92" t="n"/>
      <c r="AO60" s="93" t="n"/>
      <c r="AP60" s="93" t="n"/>
    </row>
    <row r="61" ht="14.25" customHeight="1" s="84">
      <c r="A61" s="13" t="inlineStr">
        <is>
          <t>A1060</t>
        </is>
      </c>
      <c r="B61" s="44" t="inlineStr">
        <is>
          <t>Heena Prakash Raval</t>
        </is>
      </c>
      <c r="C61" s="38" t="n">
        <v>7778959935</v>
      </c>
      <c r="D61" s="39" t="inlineStr">
        <is>
          <t>soniheena85@yahoo.com</t>
        </is>
      </c>
      <c r="E61" s="39" t="inlineStr">
        <is>
          <t>8 Siddhivinayak Society R C Technical Road Ghatlodia 380061 Ahmedabad</t>
        </is>
      </c>
      <c r="F61" s="33" t="inlineStr">
        <is>
          <t>Pune</t>
        </is>
      </c>
      <c r="G61" s="44" t="inlineStr">
        <is>
          <t>Hridaa Prakash Raval</t>
        </is>
      </c>
      <c r="H61" s="38" t="n">
        <v>5</v>
      </c>
      <c r="I61" s="39" t="inlineStr">
        <is>
          <t>Female</t>
        </is>
      </c>
      <c r="J61" s="39" t="inlineStr">
        <is>
          <t>St Kabir Drive in Road Ahmedabad</t>
        </is>
      </c>
      <c r="K61" s="39" t="inlineStr">
        <is>
          <t>Sr kg</t>
        </is>
      </c>
      <c r="L61" s="13" t="inlineStr">
        <is>
          <t>Advanced</t>
        </is>
      </c>
      <c r="M61" s="51" t="inlineStr">
        <is>
          <t>Online L2-B8 Apr'26</t>
        </is>
      </c>
      <c r="N61" s="39" t="inlineStr">
        <is>
          <t>Online</t>
        </is>
      </c>
      <c r="O61" s="14" t="n"/>
      <c r="P61" s="14" t="n"/>
      <c r="Q61" s="13" t="inlineStr">
        <is>
          <t>Active</t>
        </is>
      </c>
      <c r="R61" s="29" t="n">
        <v>6500</v>
      </c>
      <c r="S61" s="23" t="n"/>
      <c r="T61" s="23" t="n"/>
      <c r="U61" s="23" t="n">
        <v>6500</v>
      </c>
      <c r="V61" s="46" t="n">
        <v>6500</v>
      </c>
      <c r="W61" s="23" t="n">
        <v>0</v>
      </c>
      <c r="X61" s="13" t="inlineStr">
        <is>
          <t>Completed</t>
        </is>
      </c>
      <c r="Y61" s="33" t="n"/>
      <c r="Z61" s="39" t="inlineStr">
        <is>
          <t>Friend Referral</t>
        </is>
      </c>
      <c r="AA61" s="33" t="n"/>
      <c r="AB61" s="34" t="n">
        <v>46114.69370370371</v>
      </c>
      <c r="AC61" s="87" t="n"/>
      <c r="AD61" s="87" t="n"/>
      <c r="AE61" s="88" t="n"/>
      <c r="AF61" s="89" t="n"/>
      <c r="AG61" s="89" t="n"/>
      <c r="AH61" s="88" t="n"/>
      <c r="AI61" s="88" t="n"/>
      <c r="AJ61" s="90" t="n"/>
      <c r="AK61" s="88" t="n"/>
      <c r="AL61" s="91" t="n"/>
      <c r="AM61" s="88" t="n"/>
      <c r="AN61" s="92" t="n"/>
      <c r="AO61" s="93" t="n"/>
      <c r="AP61" s="93" t="n"/>
    </row>
    <row r="62" ht="14.25" customHeight="1" s="84">
      <c r="A62" s="13" t="inlineStr">
        <is>
          <t>A1061</t>
        </is>
      </c>
      <c r="B62" s="44" t="inlineStr">
        <is>
          <t>Yogesh Warke</t>
        </is>
      </c>
      <c r="C62" s="38" t="n">
        <v>9607593312</v>
      </c>
      <c r="D62" s="39" t="inlineStr">
        <is>
          <t>yogeshwarke5@gmail.com</t>
        </is>
      </c>
      <c r="E62" s="39" t="inlineStr">
        <is>
          <t>FLAT NO. 301 BUILDING -A, AAIJI PINK CITY, SATHE WASTI, NEAR HP PETROL PUMP LOHEGAON PUNE.- 411047</t>
        </is>
      </c>
      <c r="F62" s="33" t="inlineStr">
        <is>
          <t>Pune</t>
        </is>
      </c>
      <c r="G62" s="44" t="inlineStr">
        <is>
          <t>KARTAVYA YOGESH WARKE</t>
        </is>
      </c>
      <c r="H62" s="38" t="n">
        <v>11</v>
      </c>
      <c r="I62" s="39" t="inlineStr">
        <is>
          <t>Male</t>
        </is>
      </c>
      <c r="J62" s="39" t="inlineStr">
        <is>
          <t>KALPVRIKSHA ACEDAMY</t>
        </is>
      </c>
      <c r="K62" s="39" t="n">
        <v>6</v>
      </c>
      <c r="L62" s="51" t="inlineStr">
        <is>
          <t>Proficient</t>
        </is>
      </c>
      <c r="M62" s="51" t="inlineStr">
        <is>
          <t>Offline L3-B9 Apr'26</t>
        </is>
      </c>
      <c r="N62" s="39" t="inlineStr">
        <is>
          <t>Offline</t>
        </is>
      </c>
      <c r="O62" s="14" t="n"/>
      <c r="P62" s="14" t="n"/>
      <c r="Q62" s="13" t="inlineStr">
        <is>
          <t>Active</t>
        </is>
      </c>
      <c r="R62" s="42" t="n">
        <v>6500</v>
      </c>
      <c r="S62" s="23" t="n"/>
      <c r="T62" s="23" t="n"/>
      <c r="U62" s="23" t="n">
        <v>6500</v>
      </c>
      <c r="V62" s="43" t="n">
        <v>6500</v>
      </c>
      <c r="W62" s="23" t="n">
        <v>0</v>
      </c>
      <c r="X62" s="13" t="inlineStr">
        <is>
          <t>Completed</t>
        </is>
      </c>
      <c r="Y62" s="33" t="n"/>
      <c r="Z62" s="39" t="inlineStr">
        <is>
          <t>Friend Referral</t>
        </is>
      </c>
      <c r="AA62" s="33" t="n"/>
      <c r="AB62" s="34" t="n">
        <v>46115.60215277778</v>
      </c>
      <c r="AC62" s="87" t="n"/>
      <c r="AD62" s="87" t="n"/>
      <c r="AE62" s="88" t="n"/>
      <c r="AF62" s="89" t="n"/>
      <c r="AG62" s="89" t="n"/>
      <c r="AH62" s="88" t="n"/>
      <c r="AI62" s="88" t="n"/>
      <c r="AJ62" s="90" t="n"/>
      <c r="AK62" s="88" t="n"/>
      <c r="AL62" s="91" t="n"/>
      <c r="AM62" s="88" t="n"/>
      <c r="AN62" s="92" t="n"/>
      <c r="AO62" s="93" t="n"/>
      <c r="AP62" s="93" t="n"/>
    </row>
    <row r="63" ht="14.25" customHeight="1" s="84">
      <c r="A63" s="13" t="inlineStr">
        <is>
          <t>A1062</t>
        </is>
      </c>
      <c r="B63" s="44" t="inlineStr">
        <is>
          <t>Minu Cherian</t>
        </is>
      </c>
      <c r="C63" s="38" t="n">
        <v>9850122307</v>
      </c>
      <c r="D63" s="39" t="inlineStr">
        <is>
          <t>jc411047@gmail.com</t>
        </is>
      </c>
      <c r="E63" s="39" t="inlineStr">
        <is>
          <t>Revell Orchid society</t>
        </is>
      </c>
      <c r="F63" s="33" t="inlineStr">
        <is>
          <t>Pune</t>
        </is>
      </c>
      <c r="G63" s="44" t="inlineStr">
        <is>
          <t>Hannah Minu Cherian</t>
        </is>
      </c>
      <c r="H63" s="38" t="n">
        <v>6</v>
      </c>
      <c r="I63" s="39" t="inlineStr">
        <is>
          <t>Female</t>
        </is>
      </c>
      <c r="J63" s="39" t="inlineStr">
        <is>
          <t>D Y P</t>
        </is>
      </c>
      <c r="K63" s="38" t="n">
        <v>1</v>
      </c>
      <c r="L63" s="39" t="inlineStr">
        <is>
          <t>Basic</t>
        </is>
      </c>
      <c r="M63" s="51" t="inlineStr">
        <is>
          <t>Offline L1-B11 Apr'26</t>
        </is>
      </c>
      <c r="N63" s="39" t="inlineStr">
        <is>
          <t>Offline</t>
        </is>
      </c>
      <c r="O63" s="14" t="n"/>
      <c r="P63" s="14" t="n"/>
      <c r="Q63" s="13" t="inlineStr">
        <is>
          <t>Active</t>
        </is>
      </c>
      <c r="R63" s="42" t="n">
        <v>4500</v>
      </c>
      <c r="S63" s="23" t="n"/>
      <c r="T63" s="23" t="n"/>
      <c r="U63" s="23" t="n">
        <v>4500</v>
      </c>
      <c r="V63" s="43" t="n">
        <v>4500</v>
      </c>
      <c r="W63" s="23" t="n">
        <v>0</v>
      </c>
      <c r="X63" s="13" t="inlineStr">
        <is>
          <t>Completed</t>
        </is>
      </c>
      <c r="Y63" s="33" t="n"/>
      <c r="Z63" s="39" t="inlineStr">
        <is>
          <t>Friend Referral</t>
        </is>
      </c>
      <c r="AA63" s="33" t="n"/>
      <c r="AB63" s="34" t="n">
        <v>46117.50903935185</v>
      </c>
      <c r="AC63" s="87" t="n"/>
      <c r="AD63" s="87" t="n"/>
      <c r="AE63" s="88" t="n"/>
      <c r="AF63" s="89" t="n"/>
      <c r="AG63" s="89" t="n"/>
      <c r="AH63" s="88" t="n"/>
      <c r="AI63" s="88" t="n"/>
      <c r="AJ63" s="90" t="n"/>
      <c r="AK63" s="88" t="n"/>
      <c r="AL63" s="91" t="n"/>
      <c r="AM63" s="88" t="n"/>
      <c r="AN63" s="94" t="inlineStr">
        <is>
          <t>Send</t>
        </is>
      </c>
      <c r="AO63" s="87" t="inlineStr">
        <is>
          <t>Not Sent - Payment not completed</t>
        </is>
      </c>
      <c r="AP63" s="93" t="n"/>
    </row>
    <row r="64" ht="14.25" customHeight="1" s="84">
      <c r="A64" s="13" t="inlineStr">
        <is>
          <t>A1063</t>
        </is>
      </c>
      <c r="B64" s="44" t="inlineStr">
        <is>
          <t>Nidhi</t>
        </is>
      </c>
      <c r="C64" s="38" t="n">
        <v>9412175740</v>
      </c>
      <c r="D64" s="39" t="inlineStr">
        <is>
          <t>nidhichaudhary.21@gmail.com</t>
        </is>
      </c>
      <c r="E64" s="39" t="inlineStr">
        <is>
          <t>Iftm university</t>
        </is>
      </c>
      <c r="F64" s="33" t="inlineStr">
        <is>
          <t>Pune</t>
        </is>
      </c>
      <c r="G64" s="44" t="inlineStr">
        <is>
          <t>Tasha</t>
        </is>
      </c>
      <c r="H64" s="38" t="n">
        <v>9</v>
      </c>
      <c r="I64" s="39" t="inlineStr">
        <is>
          <t>Female</t>
        </is>
      </c>
      <c r="J64" s="39" t="inlineStr">
        <is>
          <t>Jagadguru international School</t>
        </is>
      </c>
      <c r="K64" s="39" t="n">
        <v>5</v>
      </c>
      <c r="L64" s="51" t="inlineStr">
        <is>
          <t>Proficient</t>
        </is>
      </c>
      <c r="M64" s="51" t="inlineStr">
        <is>
          <t>Offline L3-B9 Apr'26</t>
        </is>
      </c>
      <c r="N64" s="39" t="inlineStr">
        <is>
          <t>Offline</t>
        </is>
      </c>
      <c r="O64" s="14" t="n"/>
      <c r="P64" s="14" t="n"/>
      <c r="Q64" s="13" t="inlineStr">
        <is>
          <t>Active</t>
        </is>
      </c>
      <c r="R64" s="42" t="n">
        <v>6500</v>
      </c>
      <c r="S64" s="23" t="n"/>
      <c r="T64" s="23" t="n"/>
      <c r="U64" s="23" t="n">
        <v>6500</v>
      </c>
      <c r="V64" s="43" t="n">
        <v>5500</v>
      </c>
      <c r="W64" s="23" t="n">
        <v>1000</v>
      </c>
      <c r="X64" s="13" t="inlineStr">
        <is>
          <t>Partial</t>
        </is>
      </c>
      <c r="Y64" s="33" t="n"/>
      <c r="Z64" s="39" t="inlineStr">
        <is>
          <t>Friend Referral</t>
        </is>
      </c>
      <c r="AA64" s="33" t="n"/>
      <c r="AB64" s="34" t="n">
        <v>46117.66861111111</v>
      </c>
      <c r="AC64" s="87" t="n"/>
      <c r="AD64" s="87" t="n"/>
      <c r="AE64" s="88" t="n"/>
      <c r="AF64" s="89" t="n"/>
      <c r="AG64" s="89" t="n"/>
      <c r="AH64" s="88" t="n"/>
      <c r="AI64" s="88" t="n"/>
      <c r="AJ64" s="90" t="n"/>
      <c r="AK64" s="88" t="n"/>
      <c r="AL64" s="91" t="n"/>
      <c r="AM64" s="88" t="n"/>
      <c r="AN64" s="92" t="n"/>
      <c r="AO64" s="93" t="n"/>
      <c r="AP64" s="93" t="n"/>
    </row>
    <row r="65" ht="14.25" customHeight="1" s="84">
      <c r="A65" s="13" t="inlineStr">
        <is>
          <t>A1064</t>
        </is>
      </c>
      <c r="B65" s="44" t="inlineStr">
        <is>
          <t>nidhichaudhary</t>
        </is>
      </c>
      <c r="C65" s="38" t="n">
        <v>9412175740</v>
      </c>
      <c r="D65" s="39" t="inlineStr">
        <is>
          <t>nidhichaudhary.21@gmail.com</t>
        </is>
      </c>
      <c r="E65" s="39" t="inlineStr">
        <is>
          <t>Vivaan park society jakat naka lohegaon</t>
        </is>
      </c>
      <c r="F65" s="33" t="inlineStr">
        <is>
          <t>Pune</t>
        </is>
      </c>
      <c r="G65" s="44" t="inlineStr">
        <is>
          <t>Gaurik</t>
        </is>
      </c>
      <c r="H65" s="38" t="n">
        <v>6</v>
      </c>
      <c r="I65" s="39" t="inlineStr">
        <is>
          <t>Male</t>
        </is>
      </c>
      <c r="J65" s="39" t="inlineStr">
        <is>
          <t>Jagadguru international School</t>
        </is>
      </c>
      <c r="K65" s="38" t="n">
        <v>1</v>
      </c>
      <c r="L65" s="39" t="inlineStr">
        <is>
          <t>Basic</t>
        </is>
      </c>
      <c r="M65" s="51" t="inlineStr">
        <is>
          <t>Offline L1-B11 Apr'26</t>
        </is>
      </c>
      <c r="N65" s="39" t="inlineStr">
        <is>
          <t>Offline</t>
        </is>
      </c>
      <c r="O65" s="14" t="n"/>
      <c r="P65" s="14" t="n"/>
      <c r="Q65" s="13" t="inlineStr">
        <is>
          <t>Active</t>
        </is>
      </c>
      <c r="R65" s="42" t="n">
        <v>4500</v>
      </c>
      <c r="S65" s="23" t="n"/>
      <c r="T65" s="23" t="n"/>
      <c r="U65" s="23" t="n">
        <v>4500</v>
      </c>
      <c r="V65" s="43" t="n">
        <v>500</v>
      </c>
      <c r="W65" s="23" t="n">
        <v>4000</v>
      </c>
      <c r="X65" s="13" t="inlineStr">
        <is>
          <t>Partial</t>
        </is>
      </c>
      <c r="Y65" s="33" t="n"/>
      <c r="Z65" s="39" t="inlineStr">
        <is>
          <t>Friend Referral</t>
        </is>
      </c>
      <c r="AA65" s="33" t="n"/>
      <c r="AB65" s="34" t="n">
        <v>46117.67024305555</v>
      </c>
      <c r="AC65" s="87" t="n"/>
      <c r="AD65" s="87" t="n"/>
      <c r="AE65" s="88" t="n"/>
      <c r="AF65" s="89" t="n"/>
      <c r="AG65" s="89" t="n"/>
      <c r="AH65" s="88" t="n"/>
      <c r="AI65" s="88" t="n"/>
      <c r="AJ65" s="90" t="n"/>
      <c r="AK65" s="88" t="n"/>
      <c r="AL65" s="91" t="n"/>
      <c r="AM65" s="88" t="n"/>
      <c r="AN65" s="92" t="n"/>
      <c r="AO65" s="93" t="n"/>
      <c r="AP65" s="93" t="n"/>
    </row>
    <row r="66" ht="14.25" customHeight="1" s="84">
      <c r="A66" s="13" t="inlineStr">
        <is>
          <t>A1065</t>
        </is>
      </c>
      <c r="B66" s="44" t="inlineStr">
        <is>
          <t>Sakina Shaikh</t>
        </is>
      </c>
      <c r="C66" s="38" t="n">
        <v>9850604858</v>
      </c>
      <c r="D66" s="39" t="inlineStr">
        <is>
          <t>ssakina0217@gmail.com</t>
        </is>
      </c>
      <c r="E66" s="39" t="inlineStr">
        <is>
          <t>Goodwill Orchid C1-302</t>
        </is>
      </c>
      <c r="F66" s="33" t="inlineStr">
        <is>
          <t>Pune</t>
        </is>
      </c>
      <c r="G66" s="44" t="inlineStr">
        <is>
          <t>Rian Selvaraj</t>
        </is>
      </c>
      <c r="H66" s="38" t="n">
        <v>7</v>
      </c>
      <c r="I66" s="39" t="inlineStr">
        <is>
          <t>Male</t>
        </is>
      </c>
      <c r="J66" s="39" t="inlineStr">
        <is>
          <t>The Bishop's</t>
        </is>
      </c>
      <c r="K66" s="38" t="n">
        <v>2</v>
      </c>
      <c r="L66" s="13" t="inlineStr">
        <is>
          <t>Advanced</t>
        </is>
      </c>
      <c r="M66" s="13" t="n"/>
      <c r="N66" s="39" t="inlineStr">
        <is>
          <t>Offline</t>
        </is>
      </c>
      <c r="O66" s="14" t="n"/>
      <c r="P66" s="14" t="n"/>
      <c r="Q66" s="13" t="inlineStr">
        <is>
          <t>Active</t>
        </is>
      </c>
      <c r="R66" s="29" t="n">
        <v>6500</v>
      </c>
      <c r="S66" s="23" t="n"/>
      <c r="T66" s="23" t="n"/>
      <c r="U66" s="23" t="n">
        <v>6500</v>
      </c>
      <c r="V66" s="46" t="n">
        <v>6500</v>
      </c>
      <c r="W66" s="23" t="n">
        <v>0</v>
      </c>
      <c r="X66" s="13" t="inlineStr">
        <is>
          <t>Completed</t>
        </is>
      </c>
      <c r="Y66" s="33" t="n"/>
      <c r="Z66" s="39" t="inlineStr">
        <is>
          <t>Social Media</t>
        </is>
      </c>
      <c r="AA66" s="33" t="n"/>
      <c r="AB66" s="34" t="n">
        <v>46117.79940972223</v>
      </c>
      <c r="AC66" s="87" t="n"/>
      <c r="AD66" s="87" t="n"/>
      <c r="AE66" s="88" t="n"/>
      <c r="AF66" s="89" t="n"/>
      <c r="AG66" s="89" t="n"/>
      <c r="AH66" s="88" t="n"/>
      <c r="AI66" s="88" t="n"/>
      <c r="AJ66" s="90" t="n"/>
      <c r="AK66" s="88" t="n"/>
      <c r="AL66" s="91" t="n"/>
      <c r="AM66" s="88" t="n"/>
      <c r="AN66" s="92" t="n"/>
      <c r="AO66" s="93" t="n"/>
      <c r="AP66" s="93" t="n"/>
    </row>
    <row r="67" ht="14.25" customHeight="1" s="84">
      <c r="A67" s="13" t="inlineStr">
        <is>
          <t>A1066</t>
        </is>
      </c>
      <c r="B67" s="44" t="inlineStr">
        <is>
          <t>Sakina Shaikh</t>
        </is>
      </c>
      <c r="C67" s="38" t="n">
        <v>9850604858</v>
      </c>
      <c r="D67" s="39" t="inlineStr">
        <is>
          <t>ssakina0217@gmail.com</t>
        </is>
      </c>
      <c r="E67" s="39" t="inlineStr">
        <is>
          <t>Goodwill Orchid C1-302</t>
        </is>
      </c>
      <c r="F67" s="33" t="inlineStr">
        <is>
          <t>Pune</t>
        </is>
      </c>
      <c r="G67" s="44" t="inlineStr">
        <is>
          <t>Riana Selvaraj</t>
        </is>
      </c>
      <c r="H67" s="38" t="n">
        <v>7</v>
      </c>
      <c r="I67" s="39" t="inlineStr">
        <is>
          <t>Female</t>
        </is>
      </c>
      <c r="J67" s="39" t="inlineStr">
        <is>
          <t>The Bishop's Co-ed School</t>
        </is>
      </c>
      <c r="K67" s="38" t="n">
        <v>2</v>
      </c>
      <c r="L67" s="13" t="inlineStr">
        <is>
          <t>Advanced</t>
        </is>
      </c>
      <c r="M67" s="13" t="inlineStr">
        <is>
          <t>Offline L2-B10 Apr'26</t>
        </is>
      </c>
      <c r="N67" s="39" t="inlineStr">
        <is>
          <t>Offline</t>
        </is>
      </c>
      <c r="O67" s="14" t="n"/>
      <c r="P67" s="14" t="n"/>
      <c r="Q67" s="13" t="inlineStr">
        <is>
          <t>Active</t>
        </is>
      </c>
      <c r="R67" s="29" t="n">
        <v>6500</v>
      </c>
      <c r="S67" s="23" t="n"/>
      <c r="T67" s="23" t="n"/>
      <c r="U67" s="23" t="n">
        <v>6500</v>
      </c>
      <c r="V67" s="46" t="n">
        <v>6500</v>
      </c>
      <c r="W67" s="23" t="n">
        <v>0</v>
      </c>
      <c r="X67" s="13" t="inlineStr">
        <is>
          <t>Completed</t>
        </is>
      </c>
      <c r="Y67" s="33" t="n"/>
      <c r="Z67" s="39" t="inlineStr">
        <is>
          <t>Social Media</t>
        </is>
      </c>
      <c r="AA67" s="33" t="n"/>
      <c r="AB67" s="34" t="n">
        <v>46117.80032407407</v>
      </c>
      <c r="AC67" s="87" t="n"/>
      <c r="AD67" s="87" t="n"/>
      <c r="AE67" s="88" t="n"/>
      <c r="AF67" s="89" t="n"/>
      <c r="AG67" s="89" t="n"/>
      <c r="AH67" s="88" t="n"/>
      <c r="AI67" s="88" t="n"/>
      <c r="AJ67" s="90" t="n"/>
      <c r="AK67" s="88" t="n"/>
      <c r="AL67" s="91" t="n"/>
      <c r="AM67" s="88" t="n"/>
      <c r="AN67" s="92" t="n"/>
      <c r="AO67" s="93" t="n"/>
      <c r="AP67" s="93" t="n"/>
    </row>
    <row r="68" ht="14.25" customHeight="1" s="84">
      <c r="A68" s="13" t="inlineStr">
        <is>
          <t>A1067</t>
        </is>
      </c>
      <c r="B68" s="44" t="inlineStr">
        <is>
          <t>Bhakti Arun Padule</t>
        </is>
      </c>
      <c r="C68" s="38" t="n">
        <v>9923953578</v>
      </c>
      <c r="D68" s="39" t="inlineStr">
        <is>
          <t>bhaktipawar512@gmail.com</t>
        </is>
      </c>
      <c r="E68" s="39" t="inlineStr">
        <is>
          <t>C1203 Goodwill breeza society Dhanori</t>
        </is>
      </c>
      <c r="F68" s="33" t="inlineStr">
        <is>
          <t>Pune</t>
        </is>
      </c>
      <c r="G68" s="44" t="inlineStr">
        <is>
          <t>Arjun Arun Padule</t>
        </is>
      </c>
      <c r="H68" s="38" t="n">
        <v>7</v>
      </c>
      <c r="I68" s="39" t="inlineStr">
        <is>
          <t>Male</t>
        </is>
      </c>
      <c r="J68" s="39" t="inlineStr">
        <is>
          <t>Jagadguru international</t>
        </is>
      </c>
      <c r="K68" s="38" t="n">
        <v>3</v>
      </c>
      <c r="L68" s="13" t="inlineStr">
        <is>
          <t>Advanced</t>
        </is>
      </c>
      <c r="M68" s="51" t="inlineStr">
        <is>
          <t>Online L2-B8 Apr'26</t>
        </is>
      </c>
      <c r="N68" s="39" t="inlineStr">
        <is>
          <t>Online</t>
        </is>
      </c>
      <c r="O68" s="14" t="n"/>
      <c r="P68" s="14" t="n"/>
      <c r="Q68" s="13" t="inlineStr">
        <is>
          <t>Active</t>
        </is>
      </c>
      <c r="R68" s="29" t="n">
        <v>6500</v>
      </c>
      <c r="S68" s="23" t="n"/>
      <c r="T68" s="23" t="n"/>
      <c r="U68" s="23" t="n">
        <v>6500</v>
      </c>
      <c r="V68" s="46" t="n">
        <v>500</v>
      </c>
      <c r="W68" s="23" t="n">
        <v>6000</v>
      </c>
      <c r="X68" s="13" t="inlineStr">
        <is>
          <t>Partial</t>
        </is>
      </c>
      <c r="Y68" s="33" t="n"/>
      <c r="Z68" s="39" t="inlineStr">
        <is>
          <t>Friend Referral</t>
        </is>
      </c>
      <c r="AA68" s="33" t="n"/>
      <c r="AB68" s="34" t="n">
        <v>46117.89670138889</v>
      </c>
      <c r="AC68" s="87" t="n"/>
      <c r="AD68" s="87" t="n"/>
      <c r="AE68" s="88" t="n"/>
      <c r="AF68" s="89" t="n"/>
      <c r="AG68" s="89" t="n"/>
      <c r="AH68" s="88" t="n"/>
      <c r="AI68" s="88" t="n"/>
      <c r="AJ68" s="90" t="n"/>
      <c r="AK68" s="88" t="n"/>
      <c r="AL68" s="91" t="n"/>
      <c r="AM68" s="88" t="n"/>
      <c r="AN68" s="92" t="n"/>
      <c r="AO68" s="93" t="n"/>
      <c r="AP68" s="93" t="n"/>
    </row>
    <row r="69" ht="14.25" customHeight="1" s="84">
      <c r="A69" s="13" t="inlineStr">
        <is>
          <t>A1068</t>
        </is>
      </c>
      <c r="B69" s="44" t="inlineStr">
        <is>
          <t>Prabhat sharma</t>
        </is>
      </c>
      <c r="C69" s="38" t="n">
        <v>7999597338</v>
      </c>
      <c r="D69" s="39" t="inlineStr">
        <is>
          <t>rach3081982@gmail.com</t>
        </is>
      </c>
      <c r="E69" s="39" t="inlineStr">
        <is>
          <t>Lukand coloande ch 1 near Datt mandir chowk viman Nagar</t>
        </is>
      </c>
      <c r="F69" s="33" t="inlineStr">
        <is>
          <t>Pune</t>
        </is>
      </c>
      <c r="G69" s="44" t="inlineStr">
        <is>
          <t>Aarul Sharma</t>
        </is>
      </c>
      <c r="H69" s="38" t="n">
        <v>11</v>
      </c>
      <c r="I69" s="39" t="inlineStr">
        <is>
          <t>Female</t>
        </is>
      </c>
      <c r="J69" s="39" t="inlineStr">
        <is>
          <t>Ryan international Academy</t>
        </is>
      </c>
      <c r="K69" s="38" t="n">
        <v>6</v>
      </c>
      <c r="L69" s="13" t="inlineStr">
        <is>
          <t>Advanced</t>
        </is>
      </c>
      <c r="M69" s="13" t="n"/>
      <c r="N69" s="39" t="inlineStr">
        <is>
          <t>Online</t>
        </is>
      </c>
      <c r="O69" s="14" t="n"/>
      <c r="P69" s="14" t="n"/>
      <c r="Q69" s="13" t="inlineStr">
        <is>
          <t>Active</t>
        </is>
      </c>
      <c r="R69" s="42" t="n"/>
      <c r="S69" s="23" t="n"/>
      <c r="T69" s="23" t="n"/>
      <c r="U69" s="23" t="inlineStr"/>
      <c r="V69" s="43" t="n"/>
      <c r="W69" s="23" t="inlineStr"/>
      <c r="X69" s="13" t="inlineStr"/>
      <c r="Y69" s="33" t="n"/>
      <c r="Z69" s="39" t="inlineStr">
        <is>
          <t>Social Media</t>
        </is>
      </c>
      <c r="AA69" s="33" t="n"/>
      <c r="AB69" s="34" t="n">
        <v>46119.96738425926</v>
      </c>
      <c r="AC69" s="87" t="n"/>
      <c r="AD69" s="87" t="n"/>
      <c r="AE69" s="88" t="n"/>
      <c r="AF69" s="89" t="n"/>
      <c r="AG69" s="89" t="n"/>
      <c r="AH69" s="88" t="n"/>
      <c r="AI69" s="88" t="n"/>
      <c r="AJ69" s="90" t="n"/>
      <c r="AK69" s="88" t="n"/>
      <c r="AL69" s="91" t="n"/>
      <c r="AM69" s="88" t="n"/>
      <c r="AN69" s="92" t="n"/>
      <c r="AO69" s="93" t="n"/>
      <c r="AP69" s="93" t="n"/>
    </row>
    <row r="70" ht="14.25" customHeight="1" s="84">
      <c r="A70" s="13" t="inlineStr">
        <is>
          <t>A1069</t>
        </is>
      </c>
      <c r="B70" s="44" t="inlineStr">
        <is>
          <t>Shweta shailesh Dastke</t>
        </is>
      </c>
      <c r="C70" s="38" t="n">
        <v>7447473509</v>
      </c>
      <c r="D70" s="51" t="inlineStr">
        <is>
          <t>shweta.dastke@gmail.com</t>
        </is>
      </c>
      <c r="E70" s="39" t="inlineStr">
        <is>
          <t>C-607, niwas udaan kutwal colony</t>
        </is>
      </c>
      <c r="F70" s="33" t="inlineStr">
        <is>
          <t>Pune</t>
        </is>
      </c>
      <c r="G70" s="44" t="inlineStr">
        <is>
          <t>Adinath shailesh Dastke</t>
        </is>
      </c>
      <c r="H70" s="38" t="n">
        <v>7</v>
      </c>
      <c r="I70" s="39" t="inlineStr">
        <is>
          <t>Male</t>
        </is>
      </c>
      <c r="J70" s="39" t="inlineStr">
        <is>
          <t>Neuron lab</t>
        </is>
      </c>
      <c r="K70" s="38" t="n">
        <v>3</v>
      </c>
      <c r="L70" s="13" t="inlineStr">
        <is>
          <t>Proficient</t>
        </is>
      </c>
      <c r="M70" s="51" t="inlineStr">
        <is>
          <t>Offline L3-B9 Apr'26</t>
        </is>
      </c>
      <c r="N70" s="39" t="inlineStr">
        <is>
          <t>Offline</t>
        </is>
      </c>
      <c r="O70" s="14" t="n"/>
      <c r="P70" s="14" t="n"/>
      <c r="Q70" s="13" t="inlineStr">
        <is>
          <t>Active</t>
        </is>
      </c>
      <c r="R70" s="42" t="n">
        <v>6500</v>
      </c>
      <c r="S70" s="23" t="n"/>
      <c r="T70" s="23" t="n"/>
      <c r="U70" s="23" t="n">
        <v>6500</v>
      </c>
      <c r="V70" s="43" t="n">
        <v>500</v>
      </c>
      <c r="W70" s="23" t="n">
        <v>6000</v>
      </c>
      <c r="X70" s="13" t="inlineStr">
        <is>
          <t>Partial</t>
        </is>
      </c>
      <c r="Y70" s="33" t="n"/>
      <c r="Z70" s="39" t="inlineStr">
        <is>
          <t>Social Media</t>
        </is>
      </c>
      <c r="AA70" s="33" t="n"/>
      <c r="AB70" s="34" t="n">
        <v>46120.52976851852</v>
      </c>
      <c r="AC70" s="87" t="n"/>
      <c r="AD70" s="87" t="n"/>
      <c r="AE70" s="88" t="n"/>
      <c r="AF70" s="89" t="n"/>
      <c r="AG70" s="89" t="n"/>
      <c r="AH70" s="88" t="n"/>
      <c r="AI70" s="88" t="n"/>
      <c r="AJ70" s="90" t="n"/>
      <c r="AK70" s="88" t="n"/>
      <c r="AL70" s="91" t="n"/>
      <c r="AM70" s="88" t="n"/>
      <c r="AN70" s="92" t="n"/>
      <c r="AO70" s="93" t="n"/>
      <c r="AP70" s="93" t="n"/>
    </row>
    <row r="71" ht="14.25" customHeight="1" s="84">
      <c r="A71" s="13" t="inlineStr">
        <is>
          <t>A1070</t>
        </is>
      </c>
      <c r="B71" s="49" t="n"/>
      <c r="C71" s="33" t="n"/>
      <c r="D71" s="33" t="n"/>
      <c r="E71" s="33" t="n"/>
      <c r="F71" s="33" t="n"/>
      <c r="G71" s="47" t="inlineStr">
        <is>
          <t>Kabir</t>
        </is>
      </c>
      <c r="H71" s="13" t="n"/>
      <c r="I71" s="39" t="inlineStr">
        <is>
          <t>Male</t>
        </is>
      </c>
      <c r="J71" s="33" t="n"/>
      <c r="K71" s="13" t="n"/>
      <c r="L71" s="13" t="inlineStr">
        <is>
          <t>Advanced</t>
        </is>
      </c>
      <c r="M71" s="51" t="inlineStr">
        <is>
          <t>Online L2-B8 Apr'26</t>
        </is>
      </c>
      <c r="N71" s="39" t="inlineStr">
        <is>
          <t>Online</t>
        </is>
      </c>
      <c r="O71" s="14" t="n"/>
      <c r="P71" s="14" t="n"/>
      <c r="Q71" s="13" t="inlineStr">
        <is>
          <t>Active</t>
        </is>
      </c>
      <c r="R71" s="29" t="n">
        <v>6500</v>
      </c>
      <c r="S71" s="23" t="n"/>
      <c r="T71" s="23" t="n"/>
      <c r="U71" s="23" t="n">
        <v>6500</v>
      </c>
      <c r="V71" s="46" t="n">
        <v>6500</v>
      </c>
      <c r="W71" s="23" t="n">
        <v>0</v>
      </c>
      <c r="X71" s="13" t="inlineStr">
        <is>
          <t>Completed</t>
        </is>
      </c>
      <c r="Y71" s="48" t="inlineStr">
        <is>
          <t>Admin UI</t>
        </is>
      </c>
      <c r="Z71" s="33" t="n"/>
      <c r="AA71" s="33" t="n"/>
      <c r="AB71" s="18" t="n"/>
      <c r="AC71" s="87" t="n"/>
      <c r="AD71" s="87" t="n"/>
      <c r="AE71" s="88" t="n"/>
      <c r="AF71" s="89" t="n"/>
      <c r="AG71" s="89" t="n"/>
      <c r="AH71" s="88" t="n"/>
      <c r="AI71" s="88" t="n"/>
      <c r="AJ71" s="90" t="n"/>
      <c r="AK71" s="88" t="n"/>
      <c r="AL71" s="91" t="n"/>
      <c r="AM71" s="88" t="n"/>
      <c r="AN71" s="92" t="n"/>
      <c r="AO71" s="93" t="n"/>
      <c r="AP71" s="93" t="n"/>
    </row>
    <row r="72" ht="14.25" customHeight="1" s="84">
      <c r="A72" s="13" t="inlineStr">
        <is>
          <t>A1072</t>
        </is>
      </c>
      <c r="B72" s="49" t="n"/>
      <c r="C72" s="33" t="n"/>
      <c r="D72" s="33" t="n"/>
      <c r="E72" s="33" t="n"/>
      <c r="F72" s="33" t="n"/>
      <c r="G72" s="49" t="inlineStr">
        <is>
          <t>Chitransh</t>
        </is>
      </c>
      <c r="H72" s="13" t="n"/>
      <c r="I72" s="13" t="inlineStr">
        <is>
          <t>Female</t>
        </is>
      </c>
      <c r="J72" s="33" t="n"/>
      <c r="K72" s="13" t="n"/>
      <c r="L72" s="13" t="inlineStr">
        <is>
          <t>Advanced</t>
        </is>
      </c>
      <c r="M72" s="51" t="inlineStr">
        <is>
          <t>Online L2-B8 Apr'26</t>
        </is>
      </c>
      <c r="N72" s="39" t="inlineStr">
        <is>
          <t>Online</t>
        </is>
      </c>
      <c r="O72" s="14" t="n"/>
      <c r="P72" s="14" t="n"/>
      <c r="Q72" s="13" t="inlineStr">
        <is>
          <t>Active</t>
        </is>
      </c>
      <c r="R72" s="23" t="n">
        <v>6500</v>
      </c>
      <c r="S72" s="23" t="n"/>
      <c r="T72" s="23" t="n"/>
      <c r="U72" s="23" t="n">
        <v>6500</v>
      </c>
      <c r="V72" s="25" t="n">
        <v>6500</v>
      </c>
      <c r="W72" s="23" t="n">
        <v>0</v>
      </c>
      <c r="X72" s="13" t="inlineStr">
        <is>
          <t>Completed</t>
        </is>
      </c>
      <c r="Y72" s="48" t="inlineStr">
        <is>
          <t>Admin UI</t>
        </is>
      </c>
      <c r="Z72" s="33" t="n"/>
      <c r="AA72" s="33" t="n"/>
      <c r="AB72" s="18" t="n"/>
      <c r="AC72" s="87" t="n"/>
      <c r="AD72" s="87" t="n"/>
      <c r="AE72" s="88" t="n"/>
      <c r="AF72" s="89" t="n"/>
      <c r="AG72" s="89" t="n"/>
      <c r="AH72" s="88" t="n"/>
      <c r="AI72" s="88" t="n"/>
      <c r="AJ72" s="90" t="n"/>
      <c r="AK72" s="88" t="n"/>
      <c r="AL72" s="91" t="n"/>
      <c r="AM72" s="88" t="n"/>
      <c r="AN72" s="92" t="n"/>
      <c r="AO72" s="93" t="n"/>
      <c r="AP72" s="93" t="n"/>
    </row>
    <row r="73" ht="14.25" customHeight="1" s="84">
      <c r="A73" s="13" t="inlineStr">
        <is>
          <t>A1073</t>
        </is>
      </c>
      <c r="B73" s="49" t="n"/>
      <c r="C73" s="33" t="n"/>
      <c r="D73" s="33" t="n"/>
      <c r="E73" s="33" t="n"/>
      <c r="F73" s="33" t="n"/>
      <c r="G73" s="51" t="inlineStr">
        <is>
          <t>Vivaan</t>
        </is>
      </c>
      <c r="H73" s="13" t="n"/>
      <c r="I73" s="13" t="inlineStr">
        <is>
          <t>Male</t>
        </is>
      </c>
      <c r="J73" s="33" t="n"/>
      <c r="K73" s="13" t="n"/>
      <c r="L73" s="13" t="inlineStr">
        <is>
          <t>Advanced</t>
        </is>
      </c>
      <c r="M73" s="51" t="inlineStr">
        <is>
          <t>Offline L3-B9 Apr'26</t>
        </is>
      </c>
      <c r="N73" s="13" t="inlineStr">
        <is>
          <t>Offline</t>
        </is>
      </c>
      <c r="O73" s="14" t="n"/>
      <c r="P73" s="14" t="n"/>
      <c r="Q73" s="13" t="inlineStr">
        <is>
          <t>Active</t>
        </is>
      </c>
      <c r="R73" s="23" t="n">
        <v>6500</v>
      </c>
      <c r="S73" s="23" t="n"/>
      <c r="T73" s="23" t="n"/>
      <c r="U73" s="23" t="n">
        <v>6500</v>
      </c>
      <c r="V73" s="25" t="n">
        <v>500</v>
      </c>
      <c r="W73" s="23" t="n">
        <v>6000</v>
      </c>
      <c r="X73" s="13" t="inlineStr">
        <is>
          <t>Partial</t>
        </is>
      </c>
      <c r="Y73" s="33" t="n"/>
      <c r="Z73" s="33" t="n"/>
      <c r="AA73" s="33" t="n"/>
      <c r="AB73" s="18" t="n"/>
      <c r="AC73" s="87" t="n"/>
      <c r="AD73" s="87" t="n"/>
      <c r="AE73" s="88" t="n"/>
      <c r="AF73" s="89" t="n"/>
      <c r="AG73" s="89" t="n"/>
      <c r="AH73" s="88" t="n"/>
      <c r="AI73" s="88" t="n"/>
      <c r="AJ73" s="90" t="n"/>
      <c r="AK73" s="88" t="n"/>
      <c r="AL73" s="91" t="n"/>
      <c r="AM73" s="88" t="n"/>
      <c r="AN73" s="92" t="n"/>
      <c r="AO73" s="93" t="n"/>
      <c r="AP73" s="93" t="n"/>
    </row>
    <row r="74" ht="14.25" customHeight="1" s="84">
      <c r="A74" s="13" t="inlineStr">
        <is>
          <t>A1074</t>
        </is>
      </c>
      <c r="B74" s="49" t="n"/>
      <c r="C74" s="33" t="n"/>
      <c r="D74" s="33" t="n"/>
      <c r="E74" s="33" t="n"/>
      <c r="F74" s="33" t="n"/>
      <c r="G74" s="49" t="inlineStr">
        <is>
          <t>Kavita</t>
        </is>
      </c>
      <c r="H74" s="13" t="n"/>
      <c r="I74" s="13" t="inlineStr">
        <is>
          <t>Female</t>
        </is>
      </c>
      <c r="J74" s="33" t="n"/>
      <c r="K74" s="13" t="n"/>
      <c r="L74" s="13" t="inlineStr">
        <is>
          <t>Proficient</t>
        </is>
      </c>
      <c r="M74" s="51" t="inlineStr">
        <is>
          <t>Offline L3-B9 Apr'26</t>
        </is>
      </c>
      <c r="N74" s="13" t="inlineStr">
        <is>
          <t>Offline</t>
        </is>
      </c>
      <c r="O74" s="14" t="n"/>
      <c r="P74" s="14" t="n"/>
      <c r="Q74" s="13" t="inlineStr">
        <is>
          <t>Active</t>
        </is>
      </c>
      <c r="R74" s="23" t="n">
        <v>6500</v>
      </c>
      <c r="S74" s="23" t="n"/>
      <c r="T74" s="23" t="n"/>
      <c r="U74" s="23" t="n">
        <v>6500</v>
      </c>
      <c r="V74" s="25" t="n">
        <v>500</v>
      </c>
      <c r="W74" s="23" t="n">
        <v>6000</v>
      </c>
      <c r="X74" s="13" t="inlineStr">
        <is>
          <t>Partial</t>
        </is>
      </c>
      <c r="Y74" s="33" t="n"/>
      <c r="Z74" s="33" t="n"/>
      <c r="AA74" s="33" t="n"/>
      <c r="AB74" s="18" t="n"/>
      <c r="AC74" s="87" t="n"/>
      <c r="AD74" s="87" t="n"/>
      <c r="AE74" s="88" t="n"/>
      <c r="AF74" s="89" t="n"/>
      <c r="AG74" s="89" t="n"/>
      <c r="AH74" s="88" t="n"/>
      <c r="AI74" s="88" t="n"/>
      <c r="AJ74" s="90" t="n"/>
      <c r="AK74" s="88" t="n"/>
      <c r="AL74" s="91" t="n"/>
      <c r="AM74" s="88" t="n"/>
      <c r="AN74" s="92" t="n"/>
      <c r="AO74" s="93" t="n"/>
      <c r="AP74" s="93" t="n"/>
    </row>
    <row r="75" ht="14.25" customHeight="1" s="84">
      <c r="A75" s="13" t="inlineStr">
        <is>
          <t>A1075</t>
        </is>
      </c>
      <c r="B75" s="49" t="n"/>
      <c r="C75" s="33" t="n"/>
      <c r="D75" s="33" t="n"/>
      <c r="E75" s="33" t="n"/>
      <c r="F75" s="33" t="n"/>
      <c r="G75" s="51" t="inlineStr">
        <is>
          <t>Aaryan</t>
        </is>
      </c>
      <c r="H75" s="13" t="n"/>
      <c r="I75" s="13" t="inlineStr">
        <is>
          <t>Male</t>
        </is>
      </c>
      <c r="J75" s="33" t="n"/>
      <c r="K75" s="13" t="n"/>
      <c r="L75" s="13" t="inlineStr">
        <is>
          <t>Proficient</t>
        </is>
      </c>
      <c r="M75" s="51" t="inlineStr">
        <is>
          <t>Offline L3-B9 Apr'26</t>
        </is>
      </c>
      <c r="N75" s="13" t="inlineStr">
        <is>
          <t>Offline</t>
        </is>
      </c>
      <c r="O75" s="14" t="n"/>
      <c r="P75" s="14" t="n"/>
      <c r="Q75" s="13" t="inlineStr">
        <is>
          <t>Active</t>
        </is>
      </c>
      <c r="R75" s="23" t="n">
        <v>6500</v>
      </c>
      <c r="S75" s="23" t="n"/>
      <c r="T75" s="23" t="n"/>
      <c r="U75" s="23" t="n">
        <v>6500</v>
      </c>
      <c r="V75" s="25" t="n">
        <v>500</v>
      </c>
      <c r="W75" s="23" t="n">
        <v>6000</v>
      </c>
      <c r="X75" s="13" t="inlineStr">
        <is>
          <t>Partial</t>
        </is>
      </c>
      <c r="Y75" s="33" t="n"/>
      <c r="Z75" s="33" t="n"/>
      <c r="AA75" s="33" t="n"/>
      <c r="AB75" s="18" t="n"/>
      <c r="AC75" s="87" t="n"/>
      <c r="AD75" s="87" t="n"/>
      <c r="AE75" s="88" t="n"/>
      <c r="AF75" s="89" t="n"/>
      <c r="AG75" s="89" t="n"/>
      <c r="AH75" s="88" t="n"/>
      <c r="AI75" s="88" t="n"/>
      <c r="AJ75" s="90" t="n"/>
      <c r="AK75" s="88" t="n"/>
      <c r="AL75" s="91" t="n"/>
      <c r="AM75" s="88" t="n"/>
      <c r="AN75" s="92" t="n"/>
      <c r="AO75" s="93" t="n"/>
      <c r="AP75" s="93" t="n"/>
    </row>
    <row r="76" ht="14.25" customHeight="1" s="84">
      <c r="A76" s="13" t="inlineStr">
        <is>
          <t>A1076</t>
        </is>
      </c>
      <c r="B76" s="39" t="inlineStr">
        <is>
          <t>Vishal Vaidya</t>
        </is>
      </c>
      <c r="C76" s="38" t="n">
        <v>9822672693</v>
      </c>
      <c r="D76" s="39" t="inlineStr">
        <is>
          <t>Vishal.v1988@gmail.com</t>
        </is>
      </c>
      <c r="E76" s="33" t="n"/>
      <c r="F76" s="33" t="n"/>
      <c r="G76" s="51" t="inlineStr">
        <is>
          <t>Anika Vaidya</t>
        </is>
      </c>
      <c r="H76" s="13" t="n"/>
      <c r="I76" s="13" t="inlineStr">
        <is>
          <t>Female</t>
        </is>
      </c>
      <c r="J76" s="51" t="inlineStr">
        <is>
          <t>Erin N nagarwala</t>
        </is>
      </c>
      <c r="K76" s="13" t="n">
        <v>2</v>
      </c>
      <c r="L76" s="13" t="inlineStr">
        <is>
          <t>Advanced</t>
        </is>
      </c>
      <c r="M76" s="13" t="inlineStr">
        <is>
          <t>Offline L2-B10 Apr'26</t>
        </is>
      </c>
      <c r="N76" s="13" t="inlineStr">
        <is>
          <t>Offline</t>
        </is>
      </c>
      <c r="O76" s="14" t="n"/>
      <c r="P76" s="14" t="n"/>
      <c r="Q76" s="13" t="inlineStr">
        <is>
          <t>Active</t>
        </is>
      </c>
      <c r="R76" s="23" t="n">
        <v>6500</v>
      </c>
      <c r="S76" s="23" t="n"/>
      <c r="T76" s="23" t="n"/>
      <c r="U76" s="23" t="n">
        <v>6500</v>
      </c>
      <c r="V76" s="25" t="n">
        <v>500</v>
      </c>
      <c r="W76" s="23" t="n">
        <v>6000</v>
      </c>
      <c r="X76" s="13" t="inlineStr">
        <is>
          <t>Partial</t>
        </is>
      </c>
      <c r="Y76" s="33" t="n"/>
      <c r="Z76" s="33" t="n"/>
      <c r="AA76" s="33" t="n"/>
      <c r="AB76" s="50" t="n">
        <v>46111.49524305556</v>
      </c>
      <c r="AC76" s="87" t="n"/>
      <c r="AD76" s="87" t="n"/>
      <c r="AE76" s="88" t="n"/>
      <c r="AF76" s="89" t="n"/>
      <c r="AG76" s="89" t="n"/>
      <c r="AH76" s="88" t="n"/>
      <c r="AI76" s="88" t="n"/>
      <c r="AJ76" s="90" t="n"/>
      <c r="AK76" s="88" t="n"/>
      <c r="AL76" s="91" t="n"/>
      <c r="AM76" s="88" t="n"/>
      <c r="AN76" s="92" t="n"/>
      <c r="AO76" s="93" t="n"/>
      <c r="AP76" s="93" t="n"/>
    </row>
    <row r="77" ht="14.25" customHeight="1" s="84">
      <c r="A77" s="13" t="inlineStr">
        <is>
          <t>A1077</t>
        </is>
      </c>
      <c r="B77" s="49" t="n"/>
      <c r="C77" s="33" t="n"/>
      <c r="D77" s="33" t="n"/>
      <c r="E77" s="33" t="n"/>
      <c r="F77" s="33" t="n"/>
      <c r="G77" s="51" t="inlineStr">
        <is>
          <t xml:space="preserve">Rayaan </t>
        </is>
      </c>
      <c r="H77" s="13" t="n"/>
      <c r="I77" s="13" t="inlineStr">
        <is>
          <t>Male</t>
        </is>
      </c>
      <c r="J77" s="33" t="n"/>
      <c r="K77" s="13" t="n"/>
      <c r="L77" s="13" t="inlineStr">
        <is>
          <t>Advanced</t>
        </is>
      </c>
      <c r="M77" s="13" t="inlineStr">
        <is>
          <t>Offline L2-B10 Apr'26</t>
        </is>
      </c>
      <c r="N77" s="13" t="inlineStr">
        <is>
          <t>Offline</t>
        </is>
      </c>
      <c r="O77" s="14" t="n"/>
      <c r="P77" s="14" t="n"/>
      <c r="Q77" s="13" t="inlineStr">
        <is>
          <t>Active</t>
        </is>
      </c>
      <c r="R77" s="23" t="n">
        <v>6500</v>
      </c>
      <c r="S77" s="23" t="n"/>
      <c r="T77" s="23" t="n"/>
      <c r="U77" s="23" t="n">
        <v>6500</v>
      </c>
      <c r="V77" s="25" t="n">
        <v>6500</v>
      </c>
      <c r="W77" s="23" t="n">
        <v>0</v>
      </c>
      <c r="X77" s="13" t="inlineStr">
        <is>
          <t>Completed</t>
        </is>
      </c>
      <c r="Y77" s="33" t="n"/>
      <c r="Z77" s="33" t="n"/>
      <c r="AA77" s="33" t="n"/>
      <c r="AB77" s="18" t="n"/>
      <c r="AC77" s="87" t="n"/>
      <c r="AD77" s="87" t="n"/>
      <c r="AE77" s="88" t="n"/>
      <c r="AF77" s="89" t="n"/>
      <c r="AG77" s="89" t="n"/>
      <c r="AH77" s="88" t="n"/>
      <c r="AI77" s="88" t="n"/>
      <c r="AJ77" s="90" t="n"/>
      <c r="AK77" s="88" t="n"/>
      <c r="AL77" s="91" t="n"/>
      <c r="AM77" s="88" t="n"/>
      <c r="AN77" s="92" t="n"/>
      <c r="AO77" s="93" t="n"/>
      <c r="AP77" s="93" t="n"/>
    </row>
    <row r="78" ht="14.25" customHeight="1" s="84">
      <c r="A78" s="13" t="inlineStr">
        <is>
          <t>A1078</t>
        </is>
      </c>
      <c r="B78" s="49" t="n"/>
      <c r="C78" s="33" t="n"/>
      <c r="D78" s="33" t="n"/>
      <c r="E78" s="33" t="n"/>
      <c r="F78" s="33" t="n"/>
      <c r="G78" s="49" t="inlineStr">
        <is>
          <t>Avani</t>
        </is>
      </c>
      <c r="H78" s="13" t="n"/>
      <c r="I78" s="13" t="inlineStr">
        <is>
          <t>Female</t>
        </is>
      </c>
      <c r="J78" s="33" t="n"/>
      <c r="K78" s="13" t="n"/>
      <c r="L78" s="13" t="inlineStr">
        <is>
          <t>Advanced</t>
        </is>
      </c>
      <c r="M78" s="13" t="inlineStr">
        <is>
          <t>Offline L2-B10 Apr'26</t>
        </is>
      </c>
      <c r="N78" s="13" t="inlineStr">
        <is>
          <t>Offline</t>
        </is>
      </c>
      <c r="O78" s="14" t="n"/>
      <c r="P78" s="14" t="n"/>
      <c r="Q78" s="13" t="inlineStr">
        <is>
          <t>Active</t>
        </is>
      </c>
      <c r="R78" s="23" t="n">
        <v>6500</v>
      </c>
      <c r="S78" s="23" t="n"/>
      <c r="T78" s="23" t="n"/>
      <c r="U78" s="23" t="n">
        <v>6500</v>
      </c>
      <c r="V78" s="25" t="n">
        <v>6500</v>
      </c>
      <c r="W78" s="23" t="n">
        <v>0</v>
      </c>
      <c r="X78" s="13" t="inlineStr">
        <is>
          <t>Completed</t>
        </is>
      </c>
      <c r="Y78" s="33" t="n"/>
      <c r="Z78" s="33" t="n"/>
      <c r="AA78" s="33" t="n"/>
      <c r="AB78" s="18" t="n"/>
      <c r="AC78" s="87" t="n"/>
      <c r="AD78" s="87" t="n"/>
      <c r="AE78" s="88" t="n"/>
      <c r="AF78" s="89" t="n"/>
      <c r="AG78" s="89" t="n"/>
      <c r="AH78" s="88" t="n"/>
      <c r="AI78" s="88" t="n"/>
      <c r="AJ78" s="90" t="n"/>
      <c r="AK78" s="88" t="n"/>
      <c r="AL78" s="91" t="n"/>
      <c r="AM78" s="88" t="n"/>
      <c r="AN78" s="92" t="n"/>
      <c r="AO78" s="93" t="n"/>
      <c r="AP78" s="93" t="n"/>
    </row>
    <row r="79" ht="14.25" customHeight="1" s="84">
      <c r="A79" s="13" t="inlineStr">
        <is>
          <t>A1079</t>
        </is>
      </c>
      <c r="B79" s="47" t="inlineStr">
        <is>
          <t>Praveen</t>
        </is>
      </c>
      <c r="C79" s="51" t="n">
        <v>8055665323</v>
      </c>
      <c r="D79" s="51" t="inlineStr">
        <is>
          <t>praveend06@gmail.com</t>
        </is>
      </c>
      <c r="E79" s="51" t="inlineStr">
        <is>
          <t>Madhav Nagar, Dhanori</t>
        </is>
      </c>
      <c r="F79" s="51" t="inlineStr">
        <is>
          <t>Pune</t>
        </is>
      </c>
      <c r="G79" s="47" t="inlineStr">
        <is>
          <t>Shanvika</t>
        </is>
      </c>
      <c r="H79" s="51" t="n"/>
      <c r="I79" s="51" t="inlineStr">
        <is>
          <t>Female</t>
        </is>
      </c>
      <c r="J79" s="51" t="inlineStr">
        <is>
          <t>DYPIS</t>
        </is>
      </c>
      <c r="K79" s="51" t="n"/>
      <c r="L79" s="51" t="inlineStr">
        <is>
          <t>Basic</t>
        </is>
      </c>
      <c r="N79" s="51" t="inlineStr">
        <is>
          <t>Online</t>
        </is>
      </c>
      <c r="Q79" s="51" t="inlineStr">
        <is>
          <t>Pending Start</t>
        </is>
      </c>
      <c r="R79" s="51" t="n">
        <v>4500</v>
      </c>
      <c r="S79" s="51" t="n">
        <v>500</v>
      </c>
      <c r="T79" s="51" t="n">
        <v>0</v>
      </c>
      <c r="U79" s="51" t="n">
        <v>4000</v>
      </c>
      <c r="V79" s="55" t="n"/>
      <c r="W79" s="51" t="n">
        <v>4000</v>
      </c>
      <c r="X79" s="51" t="inlineStr">
        <is>
          <t>Not Started</t>
        </is>
      </c>
      <c r="Y79" s="51" t="inlineStr">
        <is>
          <t>Website</t>
        </is>
      </c>
      <c r="AB79" s="53" t="n">
        <v>46122.32653447917</v>
      </c>
      <c r="AC79" s="90" t="n"/>
      <c r="AD79" s="90" t="n"/>
      <c r="AE79" s="88" t="n"/>
      <c r="AF79" s="91" t="n"/>
      <c r="AG79" s="91" t="n"/>
      <c r="AH79" s="88" t="n"/>
      <c r="AI79" s="88" t="n"/>
      <c r="AJ79" s="90" t="n"/>
      <c r="AK79" s="88" t="n"/>
      <c r="AL79" s="91" t="n"/>
      <c r="AM79" s="88" t="n"/>
      <c r="AN79" s="95" t="n"/>
      <c r="AO79" s="90" t="n"/>
      <c r="AP79" s="96" t="inlineStr">
        <is>
          <t>Sent</t>
        </is>
      </c>
    </row>
    <row r="80" ht="14.25" customHeight="1" s="84">
      <c r="A80" s="13" t="inlineStr">
        <is>
          <t>A1080</t>
        </is>
      </c>
      <c r="B80" s="47" t="inlineStr">
        <is>
          <t>Priyanka Yadav</t>
        </is>
      </c>
      <c r="C80" s="51" t="n">
        <v>9452721922</v>
      </c>
      <c r="D80" s="51" t="inlineStr">
        <is>
          <t>priyanka.sona2@gmail.com</t>
        </is>
      </c>
      <c r="E80" s="51" t="inlineStr">
        <is>
          <t>A203, Revell Orchid Porwal road, Lohegaon</t>
        </is>
      </c>
      <c r="F80" s="51" t="inlineStr">
        <is>
          <t>Pune</t>
        </is>
      </c>
      <c r="G80" s="47" t="inlineStr">
        <is>
          <t>Anaya Yadav</t>
        </is>
      </c>
      <c r="H80" s="51" t="n">
        <v>6</v>
      </c>
      <c r="I80" s="51" t="inlineStr">
        <is>
          <t>Female</t>
        </is>
      </c>
      <c r="J80" s="51" t="inlineStr">
        <is>
          <t>GIIS</t>
        </is>
      </c>
      <c r="K80" s="51" t="n">
        <v>2</v>
      </c>
      <c r="L80" s="51" t="inlineStr">
        <is>
          <t>Basic</t>
        </is>
      </c>
      <c r="M80" s="51" t="inlineStr">
        <is>
          <t>Offline L1-B11 Apr'26</t>
        </is>
      </c>
      <c r="N80" s="51" t="inlineStr">
        <is>
          <t>Offline</t>
        </is>
      </c>
      <c r="Q80" s="51" t="inlineStr">
        <is>
          <t>Pending Start</t>
        </is>
      </c>
      <c r="R80" s="51" t="n">
        <v>4500</v>
      </c>
      <c r="S80" s="51" t="n">
        <v>0</v>
      </c>
      <c r="T80" s="51" t="n">
        <v>0</v>
      </c>
      <c r="U80" s="51" t="n">
        <v>4500</v>
      </c>
      <c r="V80" s="55" t="n">
        <v>4500</v>
      </c>
      <c r="W80" s="51" t="n">
        <v>0</v>
      </c>
      <c r="X80" s="51" t="inlineStr">
        <is>
          <t>Completed</t>
        </is>
      </c>
      <c r="Y80" s="51" t="inlineStr">
        <is>
          <t>Friend Referral</t>
        </is>
      </c>
      <c r="AB80" s="53" t="n">
        <v>46122.3902552662</v>
      </c>
      <c r="AC80" s="90" t="n"/>
      <c r="AD80" s="90" t="n"/>
      <c r="AE80" s="88" t="n"/>
      <c r="AF80" s="91" t="n"/>
      <c r="AG80" s="91" t="n"/>
      <c r="AH80" s="88" t="n"/>
      <c r="AI80" s="88" t="n"/>
      <c r="AJ80" s="90" t="n"/>
      <c r="AK80" s="88" t="n"/>
      <c r="AL80" s="91" t="n"/>
      <c r="AM80" s="88" t="n"/>
      <c r="AN80" s="95" t="inlineStr">
        <is>
          <t>Send</t>
        </is>
      </c>
      <c r="AO80" s="96" t="inlineStr">
        <is>
          <t>Email Sent</t>
        </is>
      </c>
      <c r="AP80" s="96" t="n"/>
    </row>
    <row r="81" ht="14.25" customHeight="1" s="84">
      <c r="A81" s="13" t="inlineStr">
        <is>
          <t>A1081</t>
        </is>
      </c>
      <c r="B81" s="47" t="inlineStr">
        <is>
          <t>Kavita Agarwal</t>
        </is>
      </c>
      <c r="C81" s="51" t="n">
        <v>9970015476</v>
      </c>
      <c r="D81" s="51" t="inlineStr">
        <is>
          <t>kabu.goyal28@gmail.com</t>
        </is>
      </c>
      <c r="E81" s="51" t="inlineStr">
        <is>
          <t>B 304, Vivanta life vishakha, Dhanori</t>
        </is>
      </c>
      <c r="F81" s="51" t="inlineStr">
        <is>
          <t>Pune</t>
        </is>
      </c>
      <c r="G81" s="47" t="inlineStr">
        <is>
          <t>Hinaya Agarwal</t>
        </is>
      </c>
      <c r="H81" s="51" t="n">
        <v>7.5</v>
      </c>
      <c r="I81" s="51" t="inlineStr">
        <is>
          <t>Female</t>
        </is>
      </c>
      <c r="J81" s="51" t="inlineStr">
        <is>
          <t>Sanskriti school</t>
        </is>
      </c>
      <c r="K81" s="51" t="inlineStr">
        <is>
          <t>3rd</t>
        </is>
      </c>
      <c r="L81" s="51" t="inlineStr">
        <is>
          <t>Proficient</t>
        </is>
      </c>
      <c r="M81" s="51" t="inlineStr">
        <is>
          <t>Online L3-B12 Apr'26</t>
        </is>
      </c>
      <c r="N81" s="51" t="inlineStr">
        <is>
          <t>Offline</t>
        </is>
      </c>
      <c r="Q81" s="51" t="inlineStr">
        <is>
          <t>Pending Start</t>
        </is>
      </c>
      <c r="R81" s="51" t="n">
        <v>6500</v>
      </c>
      <c r="S81" s="51" t="n">
        <v>0</v>
      </c>
      <c r="T81" s="51" t="n">
        <v>0</v>
      </c>
      <c r="U81" s="51" t="n">
        <v>6500</v>
      </c>
      <c r="V81" s="55" t="n"/>
      <c r="W81" s="51" t="n">
        <v>6500</v>
      </c>
      <c r="X81" s="51" t="inlineStr">
        <is>
          <t>Not Started</t>
        </is>
      </c>
      <c r="Y81" s="51" t="inlineStr">
        <is>
          <t>Friend Referral</t>
        </is>
      </c>
      <c r="AB81" s="53" t="n">
        <v>46123.03986414352</v>
      </c>
      <c r="AC81" s="90" t="n"/>
      <c r="AD81" s="90" t="n"/>
      <c r="AE81" s="88" t="n"/>
      <c r="AF81" s="91" t="n"/>
      <c r="AG81" s="91" t="n"/>
      <c r="AH81" s="88" t="n"/>
      <c r="AI81" s="88" t="n"/>
      <c r="AJ81" s="90" t="n"/>
      <c r="AK81" s="88" t="n"/>
      <c r="AL81" s="91" t="n"/>
      <c r="AM81" s="88" t="n"/>
      <c r="AN81" s="95" t="n"/>
      <c r="AO81" s="90" t="n"/>
      <c r="AP81" s="90" t="n"/>
    </row>
    <row r="82" ht="14.25" customHeight="1" s="84">
      <c r="A82" s="13" t="inlineStr">
        <is>
          <t>A1082</t>
        </is>
      </c>
      <c r="B82" s="47" t="inlineStr">
        <is>
          <t>Ankur Arora</t>
        </is>
      </c>
      <c r="C82" s="51" t="n">
        <v>9990150100</v>
      </c>
      <c r="D82" s="51" t="inlineStr">
        <is>
          <t>Ankurarora67@gmail.com</t>
        </is>
      </c>
      <c r="E82" s="51" t="inlineStr">
        <is>
          <t>Flat F 701 Goodwill Breeza Dhanori</t>
        </is>
      </c>
      <c r="F82" s="51" t="inlineStr">
        <is>
          <t>Pune</t>
        </is>
      </c>
      <c r="G82" s="47" t="inlineStr">
        <is>
          <t>Sahaj Arora</t>
        </is>
      </c>
      <c r="H82" s="51" t="n">
        <v>6</v>
      </c>
      <c r="I82" s="51" t="inlineStr">
        <is>
          <t>Male</t>
        </is>
      </c>
      <c r="J82" s="51" t="inlineStr">
        <is>
          <t>Vibgyor High</t>
        </is>
      </c>
      <c r="K82" s="51" t="n">
        <v>1</v>
      </c>
      <c r="L82" s="51" t="inlineStr">
        <is>
          <t>Advanced</t>
        </is>
      </c>
      <c r="M82" s="51" t="inlineStr">
        <is>
          <t>Offline L2-B10 Apr'26</t>
        </is>
      </c>
      <c r="N82" s="51" t="inlineStr">
        <is>
          <t>Offline</t>
        </is>
      </c>
      <c r="Q82" s="51" t="inlineStr">
        <is>
          <t>Pending Start</t>
        </is>
      </c>
      <c r="R82" s="51" t="n">
        <v>6500</v>
      </c>
      <c r="S82" s="51" t="n">
        <v>0</v>
      </c>
      <c r="T82" s="51" t="n">
        <v>0</v>
      </c>
      <c r="U82" s="51" t="n">
        <v>6500</v>
      </c>
      <c r="V82" s="55" t="n">
        <v>6500</v>
      </c>
      <c r="W82" s="51" t="n">
        <v>0</v>
      </c>
      <c r="X82" s="51" t="inlineStr">
        <is>
          <t>Completed</t>
        </is>
      </c>
      <c r="Y82" s="51" t="inlineStr">
        <is>
          <t>Website</t>
        </is>
      </c>
      <c r="AB82" s="53" t="n">
        <v>46123.21436513889</v>
      </c>
      <c r="AC82" s="90" t="n"/>
      <c r="AD82" s="90" t="n"/>
      <c r="AE82" s="88" t="n"/>
      <c r="AF82" s="91" t="n"/>
      <c r="AG82" s="91" t="n"/>
      <c r="AH82" s="88" t="n"/>
      <c r="AI82" s="88" t="n"/>
      <c r="AJ82" s="90" t="n"/>
      <c r="AK82" s="88" t="n"/>
      <c r="AL82" s="91" t="n"/>
      <c r="AM82" s="88" t="n"/>
      <c r="AN82" s="95" t="inlineStr">
        <is>
          <t>Send</t>
        </is>
      </c>
      <c r="AO82" s="96" t="inlineStr">
        <is>
          <t>Email Sent</t>
        </is>
      </c>
      <c r="AP82" s="90" t="n"/>
    </row>
    <row r="83" ht="14.25" customHeight="1" s="84">
      <c r="A83" s="13" t="inlineStr">
        <is>
          <t>A1083</t>
        </is>
      </c>
      <c r="B83" s="47" t="inlineStr">
        <is>
          <t>Archana Yuvraj Ramdas Ghule</t>
        </is>
      </c>
      <c r="C83" s="51" t="n">
        <v>8007266071</v>
      </c>
      <c r="D83" s="51" t="inlineStr">
        <is>
          <t>archanaghule92@gmail.com</t>
        </is>
      </c>
      <c r="E83" s="51" t="inlineStr">
        <is>
          <t>B2 -404,Ganga Niwas co-operative Hsg Society .lane no-7,Munjawasti, Dhanori, Pune.15</t>
        </is>
      </c>
      <c r="F83" s="51" t="inlineStr">
        <is>
          <t>Pune</t>
        </is>
      </c>
      <c r="G83" s="47" t="inlineStr">
        <is>
          <t>Shriyash Yuvraj Ghule</t>
        </is>
      </c>
      <c r="H83" s="51" t="n">
        <v>7</v>
      </c>
      <c r="I83" s="51" t="inlineStr">
        <is>
          <t>Male</t>
        </is>
      </c>
      <c r="J83" s="51" t="inlineStr">
        <is>
          <t>Erin.N.Nagarwala day school, kalyaninagar</t>
        </is>
      </c>
      <c r="K83" s="51" t="n">
        <v>1</v>
      </c>
      <c r="L83" s="51" t="inlineStr">
        <is>
          <t>Advanced</t>
        </is>
      </c>
      <c r="M83" s="51" t="inlineStr">
        <is>
          <t>Online L3-B12 Apr'26</t>
        </is>
      </c>
      <c r="N83" s="51" t="inlineStr">
        <is>
          <t>Offline</t>
        </is>
      </c>
      <c r="Q83" s="51" t="inlineStr">
        <is>
          <t>Pending Start</t>
        </is>
      </c>
      <c r="R83" s="51" t="n">
        <v>6500</v>
      </c>
      <c r="S83" s="51" t="n">
        <v>0</v>
      </c>
      <c r="T83" s="51" t="n">
        <v>0</v>
      </c>
      <c r="U83" s="51" t="n">
        <v>6500</v>
      </c>
      <c r="V83" s="55" t="n">
        <v>6500</v>
      </c>
      <c r="W83" s="51" t="n">
        <v>0</v>
      </c>
      <c r="X83" s="51" t="inlineStr">
        <is>
          <t>Completed</t>
        </is>
      </c>
      <c r="Y83" s="51" t="inlineStr">
        <is>
          <t>Friend Referral</t>
        </is>
      </c>
      <c r="AB83" s="57" t="n">
        <v>46125.34673587963</v>
      </c>
      <c r="AC83" s="90" t="n"/>
      <c r="AD83" s="90" t="n"/>
      <c r="AE83" s="88" t="n"/>
      <c r="AF83" s="91" t="n"/>
      <c r="AG83" s="91" t="n"/>
      <c r="AH83" s="88" t="n"/>
      <c r="AI83" s="88" t="n"/>
      <c r="AJ83" s="90" t="n"/>
      <c r="AK83" s="88" t="n"/>
      <c r="AL83" s="91" t="n"/>
      <c r="AM83" s="88" t="n"/>
      <c r="AN83" s="95" t="inlineStr">
        <is>
          <t>Send</t>
        </is>
      </c>
      <c r="AO83" s="96" t="inlineStr">
        <is>
          <t>Email Sent</t>
        </is>
      </c>
      <c r="AP83" s="96" t="n"/>
    </row>
    <row r="84" ht="14.25" customHeight="1" s="84">
      <c r="A84" s="13" t="inlineStr">
        <is>
          <t>A1084</t>
        </is>
      </c>
      <c r="B84" s="47" t="inlineStr">
        <is>
          <t>Sonali kirtiraj Jadhav</t>
        </is>
      </c>
      <c r="C84" s="51" t="n">
        <v>7719992185</v>
      </c>
      <c r="D84" s="51" t="inlineStr">
        <is>
          <t>sonalibhapkar1997@gmail.com</t>
        </is>
      </c>
      <c r="E84" s="51" t="inlineStr">
        <is>
          <t>Tirupati kashiganga,dhanori</t>
        </is>
      </c>
      <c r="F84" s="51" t="inlineStr">
        <is>
          <t>Pune</t>
        </is>
      </c>
      <c r="G84" s="47" t="inlineStr">
        <is>
          <t>Jija kirtiraj Jadhav</t>
        </is>
      </c>
      <c r="H84" s="51" t="n">
        <v>6</v>
      </c>
      <c r="I84" s="51" t="inlineStr">
        <is>
          <t>Female</t>
        </is>
      </c>
      <c r="J84" s="51" t="inlineStr">
        <is>
          <t>Neuron labs</t>
        </is>
      </c>
      <c r="K84" s="51" t="n">
        <v>1</v>
      </c>
      <c r="L84" s="51" t="inlineStr">
        <is>
          <t>Basic</t>
        </is>
      </c>
      <c r="M84" s="51" t="inlineStr">
        <is>
          <t>Offline L1-B11 Apr'26</t>
        </is>
      </c>
      <c r="N84" s="51" t="inlineStr">
        <is>
          <t>Offline</t>
        </is>
      </c>
      <c r="Q84" s="51" t="inlineStr">
        <is>
          <t>Pending Start</t>
        </is>
      </c>
      <c r="R84" s="51" t="n">
        <v>4500</v>
      </c>
      <c r="S84" s="51" t="n">
        <v>0</v>
      </c>
      <c r="T84" s="51" t="n">
        <v>0</v>
      </c>
      <c r="U84" s="51" t="n">
        <v>4500</v>
      </c>
      <c r="V84" s="55" t="n">
        <v>4500</v>
      </c>
      <c r="W84" s="51" t="n">
        <v>0</v>
      </c>
      <c r="X84" s="51" t="inlineStr">
        <is>
          <t>Completed</t>
        </is>
      </c>
      <c r="Y84" s="51" t="inlineStr">
        <is>
          <t>Friend Referral</t>
        </is>
      </c>
      <c r="AB84" s="57" t="n">
        <v>46125.95892298611</v>
      </c>
      <c r="AC84" s="90" t="n"/>
      <c r="AD84" s="90" t="n"/>
      <c r="AE84" s="88" t="n"/>
      <c r="AF84" s="91" t="n"/>
      <c r="AG84" s="91" t="n"/>
      <c r="AH84" s="88" t="n"/>
      <c r="AI84" s="88" t="n"/>
      <c r="AJ84" s="90" t="n"/>
      <c r="AK84" s="88" t="n"/>
      <c r="AL84" s="91" t="n"/>
      <c r="AM84" s="88" t="n"/>
      <c r="AN84" s="95" t="inlineStr">
        <is>
          <t>Send</t>
        </is>
      </c>
      <c r="AO84" s="96" t="inlineStr">
        <is>
          <t>Email Sent</t>
        </is>
      </c>
      <c r="AP84" s="96" t="n"/>
    </row>
    <row r="85" ht="14.25" customHeight="1" s="84">
      <c r="A85" s="13" t="inlineStr">
        <is>
          <t>A1085</t>
        </is>
      </c>
      <c r="B85" s="47" t="inlineStr">
        <is>
          <t>Gajanan Kapate</t>
        </is>
      </c>
      <c r="C85" s="51" t="n">
        <v>9665112029</v>
      </c>
      <c r="D85" s="51" t="inlineStr">
        <is>
          <t>drgajanankapate@gmail.com</t>
        </is>
      </c>
      <c r="E85" s="51" t="inlineStr">
        <is>
          <t>103 Tulio Residency Sathe vasti Lohagaon</t>
        </is>
      </c>
      <c r="F85" s="51" t="inlineStr">
        <is>
          <t>Pune</t>
        </is>
      </c>
      <c r="G85" s="47" t="inlineStr">
        <is>
          <t>Prisha G Kapate</t>
        </is>
      </c>
      <c r="H85" s="51" t="n">
        <v>5</v>
      </c>
      <c r="I85" s="51" t="inlineStr">
        <is>
          <t>Female</t>
        </is>
      </c>
      <c r="J85" s="51" t="inlineStr">
        <is>
          <t>Hello kids Lohagaon</t>
        </is>
      </c>
      <c r="K85" s="51" t="inlineStr">
        <is>
          <t>UKG</t>
        </is>
      </c>
      <c r="L85" s="51" t="inlineStr">
        <is>
          <t>Basic</t>
        </is>
      </c>
      <c r="M85" s="51" t="inlineStr">
        <is>
          <t>Offline L1-B11 Apr'26</t>
        </is>
      </c>
      <c r="N85" s="51" t="inlineStr">
        <is>
          <t>Offline</t>
        </is>
      </c>
      <c r="Q85" s="51" t="inlineStr">
        <is>
          <t>Pending Start</t>
        </is>
      </c>
      <c r="R85" s="51" t="n">
        <v>4500</v>
      </c>
      <c r="S85" s="51" t="n">
        <v>0</v>
      </c>
      <c r="T85" s="51" t="n">
        <v>0</v>
      </c>
      <c r="U85" s="51" t="n">
        <v>4500</v>
      </c>
      <c r="V85" s="55" t="n">
        <v>4500</v>
      </c>
      <c r="W85" s="51" t="n">
        <v>0</v>
      </c>
      <c r="X85" s="51" t="inlineStr">
        <is>
          <t>Completed</t>
        </is>
      </c>
      <c r="Y85" s="51" t="inlineStr">
        <is>
          <t>Poster/Hoarding</t>
        </is>
      </c>
      <c r="AB85" s="57" t="n">
        <v>46126.04142381944</v>
      </c>
      <c r="AC85" s="90" t="n"/>
      <c r="AD85" s="90" t="n"/>
      <c r="AE85" s="88" t="n"/>
      <c r="AF85" s="91" t="n"/>
      <c r="AG85" s="91" t="n"/>
      <c r="AH85" s="88" t="n"/>
      <c r="AI85" s="88" t="n"/>
      <c r="AJ85" s="90" t="n"/>
      <c r="AK85" s="88" t="n"/>
      <c r="AL85" s="91" t="n"/>
      <c r="AM85" s="88" t="n"/>
      <c r="AN85" s="95" t="inlineStr">
        <is>
          <t>Send</t>
        </is>
      </c>
      <c r="AO85" s="96" t="inlineStr">
        <is>
          <t>Email Sent</t>
        </is>
      </c>
      <c r="AP85" s="96" t="n"/>
    </row>
    <row r="86" ht="14.25" customHeight="1" s="84">
      <c r="A86" s="13" t="inlineStr">
        <is>
          <t>A1086</t>
        </is>
      </c>
      <c r="B86" s="47" t="inlineStr">
        <is>
          <t>Om Prakash Burma</t>
        </is>
      </c>
      <c r="C86" s="51" t="n">
        <v>9819640695</v>
      </c>
      <c r="D86" s="51" t="inlineStr">
        <is>
          <t>om.maheshburma@yahoo.com</t>
        </is>
      </c>
      <c r="E86" s="51" t="inlineStr">
        <is>
          <t>E 403, Palladium Plus, Madhav Nagar, Dhanori</t>
        </is>
      </c>
      <c r="F86" s="51" t="inlineStr">
        <is>
          <t>Pune</t>
        </is>
      </c>
      <c r="G86" s="47" t="inlineStr">
        <is>
          <t>Harshita Burma</t>
        </is>
      </c>
      <c r="H86" s="51" t="n">
        <v>6</v>
      </c>
      <c r="I86" s="51" t="inlineStr">
        <is>
          <t>Female</t>
        </is>
      </c>
      <c r="J86" s="51" t="inlineStr">
        <is>
          <t>Euro School, Kharadi</t>
        </is>
      </c>
      <c r="K86" s="51" t="n">
        <v>1</v>
      </c>
      <c r="L86" s="51" t="inlineStr">
        <is>
          <t>Basic</t>
        </is>
      </c>
      <c r="M86" s="51" t="inlineStr">
        <is>
          <t>Offline L1-B11 Apr'26</t>
        </is>
      </c>
      <c r="N86" s="51" t="inlineStr">
        <is>
          <t>Offline</t>
        </is>
      </c>
      <c r="Q86" s="51" t="inlineStr">
        <is>
          <t>Pending Start</t>
        </is>
      </c>
      <c r="R86" s="51" t="n">
        <v>4500</v>
      </c>
      <c r="S86" s="51" t="n">
        <v>0</v>
      </c>
      <c r="T86" s="51" t="n">
        <v>0</v>
      </c>
      <c r="U86" s="51" t="n">
        <v>4500</v>
      </c>
      <c r="V86" s="55" t="n">
        <v>4500</v>
      </c>
      <c r="W86" s="51" t="n">
        <v>0</v>
      </c>
      <c r="X86" s="51" t="inlineStr">
        <is>
          <t>Completed</t>
        </is>
      </c>
      <c r="Y86" s="51" t="inlineStr">
        <is>
          <t>Website</t>
        </is>
      </c>
      <c r="AB86" s="57" t="n">
        <v>46126.04869944444</v>
      </c>
      <c r="AC86" s="90" t="n"/>
      <c r="AD86" s="90" t="n"/>
      <c r="AE86" s="88" t="n"/>
      <c r="AF86" s="91" t="n"/>
      <c r="AG86" s="91" t="n"/>
      <c r="AH86" s="88" t="n"/>
      <c r="AI86" s="88" t="n"/>
      <c r="AJ86" s="90" t="n"/>
      <c r="AK86" s="88" t="n"/>
      <c r="AL86" s="91" t="n"/>
      <c r="AM86" s="88" t="n"/>
      <c r="AN86" s="95" t="inlineStr">
        <is>
          <t>Send</t>
        </is>
      </c>
      <c r="AO86" s="96" t="inlineStr">
        <is>
          <t>Email Sent</t>
        </is>
      </c>
      <c r="AP86" s="96" t="n"/>
    </row>
    <row r="87" ht="14.25" customHeight="1" s="84">
      <c r="A87" s="58" t="inlineStr">
        <is>
          <t>A1087</t>
        </is>
      </c>
      <c r="B87" s="61" t="inlineStr">
        <is>
          <t>Praveen</t>
        </is>
      </c>
      <c r="C87" s="61" t="n">
        <v>8055665323</v>
      </c>
      <c r="D87" s="61" t="inlineStr">
        <is>
          <t>praveend06@gmail.com</t>
        </is>
      </c>
      <c r="E87" s="61" t="inlineStr">
        <is>
          <t>Madhav Nagar, Dhanori</t>
        </is>
      </c>
      <c r="F87" s="61" t="inlineStr">
        <is>
          <t>Pune</t>
        </is>
      </c>
      <c r="G87" s="61" t="inlineStr">
        <is>
          <t>Shanvika</t>
        </is>
      </c>
      <c r="H87" s="61" t="n">
        <v>11</v>
      </c>
      <c r="I87" s="61" t="inlineStr">
        <is>
          <t>Female</t>
        </is>
      </c>
      <c r="J87" s="61" t="inlineStr">
        <is>
          <t>Dypis</t>
        </is>
      </c>
      <c r="K87" s="61" t="n"/>
      <c r="L87" s="61" t="inlineStr">
        <is>
          <t>Basic</t>
        </is>
      </c>
      <c r="M87" s="61" t="inlineStr">
        <is>
          <t>Offline L1-B11 Apr'26</t>
        </is>
      </c>
      <c r="N87" s="61" t="inlineStr">
        <is>
          <t>Online</t>
        </is>
      </c>
      <c r="O87" s="61" t="n"/>
      <c r="P87" s="61" t="n"/>
      <c r="Q87" s="61" t="inlineStr">
        <is>
          <t>Pending Start</t>
        </is>
      </c>
      <c r="R87" s="61" t="n">
        <v>4500</v>
      </c>
      <c r="S87" s="61" t="n">
        <v>0</v>
      </c>
      <c r="T87" s="61" t="n">
        <v>0</v>
      </c>
      <c r="U87" s="61" t="n">
        <v>4500</v>
      </c>
      <c r="V87" s="61" t="n"/>
      <c r="W87" s="61" t="n">
        <v>4500</v>
      </c>
      <c r="X87" s="61" t="inlineStr">
        <is>
          <t>Not Started</t>
        </is>
      </c>
      <c r="Y87" s="61" t="inlineStr">
        <is>
          <t>Website</t>
        </is>
      </c>
      <c r="Z87" s="61" t="n"/>
      <c r="AA87" s="61" t="n"/>
      <c r="AB87" s="62" t="inlineStr">
        <is>
          <t>16/04/2026 21:23:01</t>
        </is>
      </c>
      <c r="AC87" s="97" t="n"/>
      <c r="AD87" s="97" t="inlineStr">
        <is>
          <t>Sent</t>
        </is>
      </c>
      <c r="AE87" s="88" t="n"/>
      <c r="AF87" s="98" t="n">
        <v>46136</v>
      </c>
      <c r="AG87" s="98" t="inlineStr">
        <is>
          <t>24/04/2026 10:40:48</t>
        </is>
      </c>
      <c r="AH87" s="88" t="n"/>
      <c r="AI87" s="88" t="n"/>
      <c r="AJ87" s="90" t="n"/>
      <c r="AK87" s="88" t="n"/>
      <c r="AL87" s="91" t="n"/>
      <c r="AM87" s="88" t="n"/>
      <c r="AN87" s="97" t="n"/>
      <c r="AO87" s="97" t="n"/>
      <c r="AP87" s="97" t="inlineStr">
        <is>
          <t>Sent</t>
        </is>
      </c>
    </row>
    <row r="88" ht="14.25" customHeight="1" s="84">
      <c r="A88" s="51" t="inlineStr">
        <is>
          <t>A1088</t>
        </is>
      </c>
      <c r="B88" s="47" t="inlineStr">
        <is>
          <t>Ankeeta Patel</t>
        </is>
      </c>
      <c r="C88" s="51" t="n">
        <v>9579130761</v>
      </c>
      <c r="D88" s="51" t="inlineStr">
        <is>
          <t>ankeetajaiswal90@gmail.com</t>
        </is>
      </c>
      <c r="E88" s="51" t="inlineStr">
        <is>
          <t>J-604, Palladium Grand, Dhanori</t>
        </is>
      </c>
      <c r="F88" s="51" t="inlineStr">
        <is>
          <t>Pune</t>
        </is>
      </c>
      <c r="G88" s="47" t="inlineStr">
        <is>
          <t>Vaani Patel</t>
        </is>
      </c>
      <c r="H88" s="51" t="n">
        <v>8</v>
      </c>
      <c r="I88" s="51" t="inlineStr">
        <is>
          <t>Female</t>
        </is>
      </c>
      <c r="J88" s="51" t="inlineStr">
        <is>
          <t>Neuron Labs</t>
        </is>
      </c>
      <c r="K88" s="51" t="n">
        <v>3</v>
      </c>
      <c r="L88" s="51" t="inlineStr">
        <is>
          <t>Advanced</t>
        </is>
      </c>
      <c r="M88" s="51" t="n"/>
      <c r="N88" s="51" t="inlineStr">
        <is>
          <t>Offline</t>
        </is>
      </c>
      <c r="Q88" s="51" t="inlineStr">
        <is>
          <t>Pending Start</t>
        </is>
      </c>
      <c r="R88" s="51" t="n">
        <v>6500</v>
      </c>
      <c r="S88" s="51" t="n">
        <v>0</v>
      </c>
      <c r="T88" s="51" t="n">
        <v>0</v>
      </c>
      <c r="U88" s="51" t="n">
        <v>6500</v>
      </c>
      <c r="V88" s="55" t="n"/>
      <c r="W88" s="51" t="n">
        <v>6500</v>
      </c>
      <c r="X88" s="51" t="inlineStr">
        <is>
          <t>Not Started</t>
        </is>
      </c>
      <c r="Y88" s="51" t="inlineStr">
        <is>
          <t>Friend Referral</t>
        </is>
      </c>
      <c r="AB88" s="64" t="inlineStr">
        <is>
          <t>17/04/2026 10:16:59</t>
        </is>
      </c>
      <c r="AC88" s="90" t="n"/>
      <c r="AD88" s="90" t="n"/>
      <c r="AE88" s="88" t="n"/>
      <c r="AF88" s="91" t="n"/>
      <c r="AG88" s="91" t="n"/>
      <c r="AH88" s="88" t="n"/>
      <c r="AI88" s="88" t="n"/>
      <c r="AJ88" s="90" t="n"/>
      <c r="AK88" s="88" t="n"/>
      <c r="AL88" s="91" t="n"/>
      <c r="AM88" s="88" t="n"/>
      <c r="AN88" s="95" t="n"/>
      <c r="AO88" s="90" t="n"/>
      <c r="AP88" s="96" t="inlineStr">
        <is>
          <t>Sent</t>
        </is>
      </c>
    </row>
    <row r="89" ht="14.25" customHeight="1" s="84">
      <c r="A89" s="51" t="inlineStr">
        <is>
          <t>A1089</t>
        </is>
      </c>
      <c r="B89" s="47" t="inlineStr">
        <is>
          <t>Yogesh Ramnath Shinde</t>
        </is>
      </c>
      <c r="C89" s="51" t="n">
        <v>8329586727</v>
      </c>
      <c r="D89" s="51" t="inlineStr">
        <is>
          <t>sheetalumbarkar@rediffmail.com</t>
        </is>
      </c>
      <c r="E89" s="51" t="inlineStr">
        <is>
          <t>Flat no.704 ,Shree Hari Vitthal Society,jail Road,Nasik Road</t>
        </is>
      </c>
      <c r="F89" s="51" t="inlineStr">
        <is>
          <t>Nasik</t>
        </is>
      </c>
      <c r="G89" s="47" t="inlineStr">
        <is>
          <t>Devansh Yogesh Shinde</t>
        </is>
      </c>
      <c r="H89" s="51" t="n">
        <v>7.6</v>
      </c>
      <c r="I89" s="51" t="inlineStr">
        <is>
          <t>Male</t>
        </is>
      </c>
      <c r="J89" s="51" t="inlineStr">
        <is>
          <t>St. Philomena Convent High School</t>
        </is>
      </c>
      <c r="K89" s="51" t="inlineStr">
        <is>
          <t>2nd</t>
        </is>
      </c>
      <c r="L89" s="51" t="inlineStr">
        <is>
          <t>Advanced</t>
        </is>
      </c>
      <c r="M89" s="51" t="inlineStr">
        <is>
          <t>Online L2-B8 Apr'26</t>
        </is>
      </c>
      <c r="N89" s="51" t="inlineStr">
        <is>
          <t>Online</t>
        </is>
      </c>
      <c r="Q89" s="51" t="inlineStr">
        <is>
          <t>Pending Start</t>
        </is>
      </c>
      <c r="R89" s="51" t="n">
        <v>6500</v>
      </c>
      <c r="S89" s="51" t="n">
        <v>0</v>
      </c>
      <c r="T89" s="51" t="n">
        <v>0</v>
      </c>
      <c r="U89" s="51" t="n">
        <v>6500</v>
      </c>
      <c r="V89" s="55" t="n">
        <v>6500</v>
      </c>
      <c r="W89" s="51" t="n">
        <v>0</v>
      </c>
      <c r="X89" s="51" t="inlineStr">
        <is>
          <t>Completed</t>
        </is>
      </c>
      <c r="Y89" s="51" t="inlineStr">
        <is>
          <t>Friend Referral</t>
        </is>
      </c>
      <c r="AB89" s="64" t="inlineStr">
        <is>
          <t>21/04/2026 13:11:05</t>
        </is>
      </c>
      <c r="AC89" s="90" t="n"/>
      <c r="AD89" s="90" t="n"/>
      <c r="AE89" s="88" t="n"/>
      <c r="AF89" s="91" t="n"/>
      <c r="AG89" s="91" t="n"/>
      <c r="AH89" s="88" t="n"/>
      <c r="AI89" s="88" t="n"/>
      <c r="AJ89" s="90" t="n"/>
      <c r="AK89" s="88" t="n"/>
      <c r="AL89" s="91" t="n"/>
      <c r="AM89" s="88" t="n"/>
      <c r="AN89" s="99" t="inlineStr">
        <is>
          <t>Send</t>
        </is>
      </c>
      <c r="AO89" s="96" t="inlineStr">
        <is>
          <t>Email Sent</t>
        </is>
      </c>
      <c r="AP89" s="96" t="inlineStr">
        <is>
          <t>Sent</t>
        </is>
      </c>
    </row>
    <row r="90" ht="14.25" customHeight="1" s="84">
      <c r="A90" s="51" t="inlineStr">
        <is>
          <t>A1090</t>
        </is>
      </c>
      <c r="B90" s="47" t="inlineStr">
        <is>
          <t>Pradnya Kulkarni</t>
        </is>
      </c>
      <c r="C90" s="51" t="n">
        <v>9689926978</v>
      </c>
      <c r="D90" s="51" t="inlineStr">
        <is>
          <t>pradnyakulkarni12@gmail.com</t>
        </is>
      </c>
      <c r="E90" s="51" t="inlineStr">
        <is>
          <t>A 202 Life Square, Porwal road</t>
        </is>
      </c>
      <c r="F90" s="51" t="inlineStr">
        <is>
          <t>Pune</t>
        </is>
      </c>
      <c r="G90" s="47" t="inlineStr">
        <is>
          <t>Anannya Kulkarni</t>
        </is>
      </c>
      <c r="H90" s="51" t="n">
        <v>9</v>
      </c>
      <c r="I90" s="51" t="inlineStr">
        <is>
          <t>Female</t>
        </is>
      </c>
      <c r="J90" s="51" t="inlineStr">
        <is>
          <t>Bishops co ed School, Kalyani Nagar</t>
        </is>
      </c>
      <c r="K90" s="51" t="n">
        <v>4</v>
      </c>
      <c r="L90" s="51" t="inlineStr">
        <is>
          <t>Advanced</t>
        </is>
      </c>
      <c r="N90" s="51" t="inlineStr">
        <is>
          <t>Online</t>
        </is>
      </c>
      <c r="Q90" s="51" t="inlineStr">
        <is>
          <t>Pending Start</t>
        </is>
      </c>
      <c r="R90" s="51" t="n">
        <v>6500</v>
      </c>
      <c r="S90" s="51" t="n">
        <v>0</v>
      </c>
      <c r="T90" s="51" t="n">
        <v>0</v>
      </c>
      <c r="U90" s="51" t="n">
        <v>6500</v>
      </c>
      <c r="V90" s="55" t="n"/>
      <c r="W90" s="51" t="n">
        <v>6500</v>
      </c>
      <c r="X90" s="51" t="inlineStr">
        <is>
          <t>Not Started</t>
        </is>
      </c>
      <c r="Y90" s="51" t="inlineStr">
        <is>
          <t>Friend Referral</t>
        </is>
      </c>
      <c r="AB90" s="64" t="inlineStr">
        <is>
          <t>30/04/2026 09:49:00</t>
        </is>
      </c>
      <c r="AC90" s="90" t="n"/>
      <c r="AD90" s="90" t="n"/>
      <c r="AE90" s="88" t="n"/>
      <c r="AF90" s="91" t="n"/>
      <c r="AG90" s="91" t="n"/>
      <c r="AH90" s="88" t="n"/>
      <c r="AI90" s="88" t="n"/>
      <c r="AJ90" s="90" t="n"/>
      <c r="AK90" s="88" t="n"/>
      <c r="AL90" s="91" t="n"/>
      <c r="AM90" s="88" t="n"/>
      <c r="AN90" s="95" t="n"/>
      <c r="AO90" s="90" t="n"/>
      <c r="AP90" s="96" t="inlineStr">
        <is>
          <t>Failed - Failed to send email: You do not have pe</t>
        </is>
      </c>
    </row>
    <row r="91" ht="14.25" customHeight="1" s="84">
      <c r="A91" s="51" t="inlineStr">
        <is>
          <t>A1091</t>
        </is>
      </c>
      <c r="B91" s="47" t="inlineStr">
        <is>
          <t>Santosh Parab</t>
        </is>
      </c>
      <c r="C91" s="51" t="n">
        <v>9067140931</v>
      </c>
      <c r="D91" s="51" t="inlineStr">
        <is>
          <t>Sugandha83.parab@gmail.com</t>
        </is>
      </c>
      <c r="E91" s="51" t="inlineStr">
        <is>
          <t>14/1,Dhanori, pune 411015.</t>
        </is>
      </c>
      <c r="F91" s="51" t="inlineStr">
        <is>
          <t>Pune</t>
        </is>
      </c>
      <c r="G91" s="47" t="inlineStr">
        <is>
          <t>Riaan Parab</t>
        </is>
      </c>
      <c r="H91" s="51" t="n">
        <v>7</v>
      </c>
      <c r="I91" s="51" t="inlineStr">
        <is>
          <t>Male</t>
        </is>
      </c>
      <c r="J91" s="51" t="inlineStr">
        <is>
          <t>Dr. Mar Theophilus school</t>
        </is>
      </c>
      <c r="K91" s="51" t="n">
        <v>2</v>
      </c>
      <c r="L91" s="51" t="inlineStr">
        <is>
          <t>Proficient</t>
        </is>
      </c>
      <c r="N91" s="51" t="inlineStr">
        <is>
          <t>Online</t>
        </is>
      </c>
      <c r="Q91" s="51" t="inlineStr">
        <is>
          <t>Pending Start</t>
        </is>
      </c>
      <c r="R91" s="51" t="n">
        <v>6500</v>
      </c>
      <c r="S91" s="51" t="n">
        <v>0</v>
      </c>
      <c r="T91" s="51" t="n">
        <v>0</v>
      </c>
      <c r="U91" s="51" t="n">
        <v>6500</v>
      </c>
      <c r="V91" s="55" t="n"/>
      <c r="W91" s="51" t="n">
        <v>6500</v>
      </c>
      <c r="X91" s="51" t="inlineStr">
        <is>
          <t>Not Started</t>
        </is>
      </c>
      <c r="Y91" s="51" t="inlineStr">
        <is>
          <t>Google</t>
        </is>
      </c>
      <c r="AB91" s="57" t="n">
        <v>46027.43193287037</v>
      </c>
      <c r="AC91" s="90" t="n"/>
      <c r="AD91" s="90" t="n"/>
      <c r="AE91" s="88" t="n"/>
      <c r="AF91" s="91" t="n"/>
      <c r="AG91" s="91" t="n"/>
      <c r="AH91" s="88" t="n"/>
      <c r="AI91" s="88" t="n"/>
      <c r="AJ91" s="90" t="n"/>
      <c r="AK91" s="88" t="n"/>
      <c r="AL91" s="91" t="n"/>
      <c r="AM91" s="88" t="n"/>
      <c r="AN91" s="95" t="n"/>
      <c r="AO91" s="90" t="n"/>
      <c r="AP91" s="96" t="inlineStr">
        <is>
          <t>Failed - Failed to send email: You do not have pe</t>
        </is>
      </c>
    </row>
    <row r="92" ht="14.25" customHeight="1" s="84">
      <c r="A92" s="51" t="inlineStr">
        <is>
          <t>A1092</t>
        </is>
      </c>
      <c r="B92" s="47" t="inlineStr">
        <is>
          <t>Rohit Tambe</t>
        </is>
      </c>
      <c r="C92" s="51" t="n">
        <v>8600233366</v>
      </c>
      <c r="D92" s="51" t="inlineStr">
        <is>
          <t>rohit.accord86@gmail.comR</t>
        </is>
      </c>
      <c r="E92" s="51" t="inlineStr">
        <is>
          <t>Pride world city , Long Island building  J 1104</t>
        </is>
      </c>
      <c r="F92" s="51" t="inlineStr">
        <is>
          <t>Pune</t>
        </is>
      </c>
      <c r="G92" s="47" t="inlineStr">
        <is>
          <t>Ved Tambe</t>
        </is>
      </c>
      <c r="H92" s="51" t="n">
        <v>9</v>
      </c>
      <c r="I92" s="51" t="inlineStr">
        <is>
          <t>Male</t>
        </is>
      </c>
      <c r="J92" s="51" t="inlineStr">
        <is>
          <t>GIIS international school</t>
        </is>
      </c>
      <c r="K92" s="51" t="inlineStr">
        <is>
          <t>4 grade</t>
        </is>
      </c>
      <c r="L92" s="51" t="inlineStr">
        <is>
          <t>Proficient</t>
        </is>
      </c>
      <c r="N92" s="51" t="inlineStr">
        <is>
          <t>Online</t>
        </is>
      </c>
      <c r="Q92" s="51" t="inlineStr">
        <is>
          <t>Pending Start</t>
        </is>
      </c>
      <c r="R92" s="51" t="n">
        <v>6500</v>
      </c>
      <c r="S92" s="51" t="n">
        <v>0</v>
      </c>
      <c r="T92" s="51" t="n">
        <v>0</v>
      </c>
      <c r="U92" s="51" t="n">
        <v>6500</v>
      </c>
      <c r="V92" s="55" t="n"/>
      <c r="W92" s="51" t="n">
        <v>6500</v>
      </c>
      <c r="X92" s="51" t="inlineStr">
        <is>
          <t>Not Started</t>
        </is>
      </c>
      <c r="Y92" s="51" t="inlineStr">
        <is>
          <t>Website</t>
        </is>
      </c>
      <c r="AB92" s="57" t="n">
        <v>46117.43541666667</v>
      </c>
      <c r="AC92" s="90" t="n"/>
      <c r="AD92" s="90" t="n"/>
      <c r="AE92" s="88" t="n"/>
      <c r="AF92" s="91" t="n"/>
      <c r="AG92" s="91" t="n"/>
      <c r="AH92" s="88" t="n"/>
      <c r="AI92" s="88" t="n"/>
      <c r="AJ92" s="90" t="n"/>
      <c r="AK92" s="88" t="n"/>
      <c r="AL92" s="91" t="n"/>
      <c r="AM92" s="88" t="n"/>
      <c r="AN92" s="95" t="n"/>
      <c r="AO92" s="90" t="n"/>
      <c r="AP92" s="96" t="inlineStr">
        <is>
          <t>Failed - Failed to send email: You do not have pe</t>
        </is>
      </c>
    </row>
    <row r="93" ht="14.25" customHeight="1" s="84">
      <c r="A93" s="51" t="inlineStr">
        <is>
          <t>A1093</t>
        </is>
      </c>
      <c r="B93" s="47" t="inlineStr">
        <is>
          <t>Shruti jadhav</t>
        </is>
      </c>
      <c r="C93" s="51" t="n">
        <v>7057405014</v>
      </c>
      <c r="D93" s="51" t="inlineStr">
        <is>
          <t>shrutisagar6212@gmail.com</t>
        </is>
      </c>
      <c r="E93" s="51" t="inlineStr">
        <is>
          <t>Pimple gurav</t>
        </is>
      </c>
      <c r="F93" s="51" t="inlineStr">
        <is>
          <t>Pune</t>
        </is>
      </c>
      <c r="G93" s="47" t="inlineStr">
        <is>
          <t>Veer jadhav</t>
        </is>
      </c>
      <c r="H93" s="51" t="n">
        <v>5.5</v>
      </c>
      <c r="I93" s="51" t="inlineStr">
        <is>
          <t>Male</t>
        </is>
      </c>
      <c r="J93" s="51" t="inlineStr">
        <is>
          <t>Ggis pimpri</t>
        </is>
      </c>
      <c r="K93" s="51" t="inlineStr">
        <is>
          <t>1st</t>
        </is>
      </c>
      <c r="L93" s="51" t="inlineStr">
        <is>
          <t>Advanced</t>
        </is>
      </c>
      <c r="N93" s="51" t="inlineStr">
        <is>
          <t>Online</t>
        </is>
      </c>
      <c r="Q93" s="51" t="inlineStr">
        <is>
          <t>Pending Start</t>
        </is>
      </c>
      <c r="R93" s="51" t="n">
        <v>6500</v>
      </c>
      <c r="S93" s="51" t="n">
        <v>0</v>
      </c>
      <c r="T93" s="51" t="n">
        <v>0</v>
      </c>
      <c r="U93" s="51" t="n">
        <v>6500</v>
      </c>
      <c r="V93" s="55" t="n"/>
      <c r="W93" s="51" t="n">
        <v>6500</v>
      </c>
      <c r="X93" s="51" t="inlineStr">
        <is>
          <t>Not Started</t>
        </is>
      </c>
      <c r="Y93" s="51" t="inlineStr">
        <is>
          <t>Website</t>
        </is>
      </c>
      <c r="AB93" s="57" t="n">
        <v>46117.9125</v>
      </c>
      <c r="AC93" s="90" t="n"/>
      <c r="AD93" s="90" t="n"/>
      <c r="AE93" s="88" t="n"/>
      <c r="AF93" s="91" t="n"/>
      <c r="AG93" s="91" t="n"/>
      <c r="AH93" s="88" t="n"/>
      <c r="AI93" s="88" t="n"/>
      <c r="AJ93" s="90" t="n"/>
      <c r="AK93" s="88" t="n"/>
      <c r="AL93" s="91" t="n"/>
      <c r="AM93" s="88" t="n"/>
      <c r="AN93" s="95" t="n"/>
      <c r="AO93" s="90" t="n"/>
      <c r="AP93" s="96" t="inlineStr">
        <is>
          <t>Failed - Failed to send email: You do not have pe</t>
        </is>
      </c>
    </row>
    <row r="94" ht="14.25" customHeight="1" s="84">
      <c r="A94" s="51" t="inlineStr">
        <is>
          <t>A1094</t>
        </is>
      </c>
      <c r="B94" s="47" t="inlineStr">
        <is>
          <t>Sunita babanne/Shivraj babanne</t>
        </is>
      </c>
      <c r="C94" s="51" t="n">
        <v>8600399502</v>
      </c>
      <c r="D94" s="51" t="inlineStr">
        <is>
          <t>drsunitagadekar88@gmail.com</t>
        </is>
      </c>
      <c r="E94" s="51" t="inlineStr">
        <is>
          <t>D-604 solitaire co-op society</t>
        </is>
      </c>
      <c r="F94" s="51" t="inlineStr">
        <is>
          <t>Pune</t>
        </is>
      </c>
      <c r="G94" s="47" t="inlineStr">
        <is>
          <t>Jiyansh shivraj babanne</t>
        </is>
      </c>
      <c r="H94" s="51" t="n">
        <v>5</v>
      </c>
      <c r="I94" s="51" t="inlineStr">
        <is>
          <t>Male</t>
        </is>
      </c>
      <c r="J94" s="51" t="inlineStr">
        <is>
          <t>Dr. Mar Theophilus School</t>
        </is>
      </c>
      <c r="K94" s="51" t="inlineStr">
        <is>
          <t>UKG</t>
        </is>
      </c>
      <c r="L94" s="51" t="inlineStr">
        <is>
          <t>Basic</t>
        </is>
      </c>
      <c r="N94" s="51" t="inlineStr">
        <is>
          <t>Offline</t>
        </is>
      </c>
      <c r="Q94" s="51" t="inlineStr">
        <is>
          <t>Pending Start</t>
        </is>
      </c>
      <c r="R94" s="51" t="n">
        <v>4500</v>
      </c>
      <c r="S94" s="51" t="n">
        <v>0</v>
      </c>
      <c r="T94" s="51" t="n">
        <v>0</v>
      </c>
      <c r="U94" s="51" t="n">
        <v>4500</v>
      </c>
      <c r="V94" s="55" t="n"/>
      <c r="W94" s="51" t="n">
        <v>4500</v>
      </c>
      <c r="X94" s="51" t="inlineStr">
        <is>
          <t>Not Started</t>
        </is>
      </c>
      <c r="Y94" s="51" t="inlineStr">
        <is>
          <t>Friend Referral</t>
        </is>
      </c>
      <c r="AB94" s="57" t="n">
        <v>46208.47432870371</v>
      </c>
      <c r="AC94" s="90" t="n"/>
      <c r="AD94" s="90" t="n"/>
      <c r="AE94" s="88" t="n"/>
      <c r="AF94" s="91" t="n"/>
      <c r="AG94" s="91" t="n"/>
      <c r="AH94" s="88" t="n"/>
      <c r="AI94" s="88" t="n"/>
      <c r="AJ94" s="90" t="n"/>
      <c r="AK94" s="88" t="n"/>
      <c r="AL94" s="91" t="n"/>
      <c r="AM94" s="88" t="n"/>
      <c r="AN94" s="95" t="n"/>
      <c r="AO94" s="90" t="n"/>
      <c r="AP94" s="96" t="inlineStr">
        <is>
          <t>Failed - Failed to send email: You do not have pe</t>
        </is>
      </c>
    </row>
    <row r="95" ht="14.25" customHeight="1" s="84">
      <c r="A95" s="51" t="inlineStr">
        <is>
          <t>A1095</t>
        </is>
      </c>
      <c r="B95" s="47" t="inlineStr">
        <is>
          <t>Sunita babanne/ Shivraj babanne</t>
        </is>
      </c>
      <c r="C95" s="51" t="n">
        <v>8600399502</v>
      </c>
      <c r="D95" s="51" t="inlineStr">
        <is>
          <t>drsunitagadekar88@gmail.com</t>
        </is>
      </c>
      <c r="E95" s="51" t="inlineStr">
        <is>
          <t>D -604 solitaire co op society dhanori</t>
        </is>
      </c>
      <c r="F95" s="51" t="inlineStr">
        <is>
          <t>Pune</t>
        </is>
      </c>
      <c r="G95" s="47" t="inlineStr">
        <is>
          <t>Jinisha shivraj babanne</t>
        </is>
      </c>
      <c r="H95" s="51" t="n">
        <v>5</v>
      </c>
      <c r="I95" s="51" t="inlineStr">
        <is>
          <t>Female</t>
        </is>
      </c>
      <c r="J95" s="51" t="inlineStr">
        <is>
          <t>Dr. Mar Theophilus School</t>
        </is>
      </c>
      <c r="K95" s="51" t="inlineStr">
        <is>
          <t>UkG</t>
        </is>
      </c>
      <c r="L95" s="51" t="inlineStr">
        <is>
          <t>Basic</t>
        </is>
      </c>
      <c r="N95" s="51" t="inlineStr">
        <is>
          <t>Offline</t>
        </is>
      </c>
      <c r="Q95" s="51" t="inlineStr">
        <is>
          <t>Pending Start</t>
        </is>
      </c>
      <c r="R95" s="51" t="n">
        <v>4500</v>
      </c>
      <c r="S95" s="51" t="n">
        <v>0</v>
      </c>
      <c r="T95" s="51" t="n">
        <v>0</v>
      </c>
      <c r="U95" s="51" t="n">
        <v>4500</v>
      </c>
      <c r="V95" s="55" t="n"/>
      <c r="W95" s="51" t="n">
        <v>4500</v>
      </c>
      <c r="X95" s="51" t="inlineStr">
        <is>
          <t>Not Started</t>
        </is>
      </c>
      <c r="Y95" s="51" t="inlineStr">
        <is>
          <t>Friend Referral</t>
        </is>
      </c>
      <c r="AB95" s="57" t="n">
        <v>46208.47570601852</v>
      </c>
      <c r="AC95" s="90" t="n"/>
      <c r="AD95" s="90" t="n"/>
      <c r="AE95" s="88" t="n"/>
      <c r="AF95" s="91" t="n"/>
      <c r="AG95" s="91" t="n"/>
      <c r="AH95" s="88" t="n"/>
      <c r="AI95" s="88" t="n"/>
      <c r="AJ95" s="90" t="n"/>
      <c r="AK95" s="88" t="n"/>
      <c r="AL95" s="91" t="n"/>
      <c r="AM95" s="88" t="n"/>
      <c r="AN95" s="95" t="n"/>
      <c r="AO95" s="90" t="n"/>
      <c r="AP95" s="96" t="inlineStr">
        <is>
          <t>Failed - Failed to send email: You do not have pe</t>
        </is>
      </c>
    </row>
    <row r="96" ht="14.25" customHeight="1" s="84">
      <c r="A96" s="51" t="inlineStr">
        <is>
          <t>A1096</t>
        </is>
      </c>
      <c r="B96" s="47" t="inlineStr">
        <is>
          <t>Zane Buckridge</t>
        </is>
      </c>
      <c r="C96" s="51" t="n">
        <v>7965223992</v>
      </c>
      <c r="D96" s="51" t="inlineStr">
        <is>
          <t>meghan.terry@projectmy.net</t>
        </is>
      </c>
      <c r="E96" s="51" t="inlineStr">
        <is>
          <t>6812 Fadel Divide</t>
        </is>
      </c>
      <c r="F96" s="51" t="inlineStr">
        <is>
          <t>North Kacichester</t>
        </is>
      </c>
      <c r="G96" s="47" t="inlineStr">
        <is>
          <t>Zane Buckridge</t>
        </is>
      </c>
      <c r="H96" s="51" t="n"/>
      <c r="I96" s="51" t="inlineStr">
        <is>
          <t>Female</t>
        </is>
      </c>
      <c r="J96" s="51" t="inlineStr">
        <is>
          <t>Bedfordshire</t>
        </is>
      </c>
      <c r="K96" s="51" t="inlineStr">
        <is>
          <t>applications</t>
        </is>
      </c>
      <c r="L96" s="51" t="inlineStr">
        <is>
          <t>Advanced</t>
        </is>
      </c>
      <c r="N96" s="51" t="inlineStr">
        <is>
          <t>Offline</t>
        </is>
      </c>
      <c r="Q96" s="51" t="inlineStr">
        <is>
          <t>Pending Start</t>
        </is>
      </c>
      <c r="R96" s="51" t="n">
        <v>6500</v>
      </c>
      <c r="S96" s="51" t="n">
        <v>0</v>
      </c>
      <c r="T96" s="51" t="n">
        <v>0</v>
      </c>
      <c r="U96" s="51" t="n">
        <v>6500</v>
      </c>
      <c r="V96" s="55" t="n"/>
      <c r="W96" s="51" t="n">
        <v>6500</v>
      </c>
      <c r="X96" s="51" t="inlineStr">
        <is>
          <t>Not Started</t>
        </is>
      </c>
      <c r="Y96" s="51" t="inlineStr">
        <is>
          <t>Social Media</t>
        </is>
      </c>
      <c r="AB96" s="57" t="n">
        <v>46300.86806712963</v>
      </c>
      <c r="AC96" s="90" t="n"/>
      <c r="AD96" s="90" t="n"/>
      <c r="AE96" s="88" t="n"/>
      <c r="AF96" s="91" t="n"/>
      <c r="AG96" s="91" t="n"/>
      <c r="AH96" s="88" t="n"/>
      <c r="AI96" s="88" t="n"/>
      <c r="AJ96" s="90" t="n"/>
      <c r="AK96" s="88" t="n"/>
      <c r="AL96" s="91" t="n"/>
      <c r="AM96" s="88" t="n"/>
      <c r="AN96" s="95" t="n"/>
      <c r="AO96" s="90" t="n"/>
      <c r="AP96" s="96" t="inlineStr">
        <is>
          <t>Failed - Failed to send email: You do not have pe</t>
        </is>
      </c>
    </row>
    <row r="97" ht="14.25" customHeight="1" s="84">
      <c r="A97" s="51" t="inlineStr">
        <is>
          <t>A1097</t>
        </is>
      </c>
      <c r="B97" s="47" t="inlineStr">
        <is>
          <t>Dr Bhagyashree Gaidhane</t>
        </is>
      </c>
      <c r="C97" s="51" t="n">
        <v>9975198690</v>
      </c>
      <c r="D97" s="51" t="inlineStr">
        <is>
          <t>bhagyashreephale@yhaoo.com</t>
        </is>
      </c>
      <c r="E97" s="51" t="inlineStr">
        <is>
          <t>D-103 Surbhi Mangalam Apartments Siddharth nagar Dhanori Pune 411015</t>
        </is>
      </c>
      <c r="F97" s="51" t="inlineStr">
        <is>
          <t>Pune</t>
        </is>
      </c>
      <c r="G97" s="47" t="inlineStr">
        <is>
          <t>Aarvi Jeevan Gaidhane</t>
        </is>
      </c>
      <c r="H97" s="51" t="n">
        <v>5.6</v>
      </c>
      <c r="I97" s="51" t="inlineStr">
        <is>
          <t>Female</t>
        </is>
      </c>
      <c r="J97" s="51" t="inlineStr">
        <is>
          <t>St Helena’s school</t>
        </is>
      </c>
      <c r="K97" s="51" t="inlineStr">
        <is>
          <t>UKG</t>
        </is>
      </c>
      <c r="L97" s="51" t="inlineStr">
        <is>
          <t>Basic</t>
        </is>
      </c>
      <c r="N97" s="51" t="inlineStr">
        <is>
          <t>Offline</t>
        </is>
      </c>
      <c r="Q97" s="51" t="inlineStr">
        <is>
          <t>Pending Start</t>
        </is>
      </c>
      <c r="R97" s="51" t="n">
        <v>4500</v>
      </c>
      <c r="S97" s="51" t="n">
        <v>0</v>
      </c>
      <c r="T97" s="51" t="n">
        <v>0</v>
      </c>
      <c r="U97" s="51" t="n">
        <v>4500</v>
      </c>
      <c r="V97" s="55" t="n"/>
      <c r="W97" s="51" t="n">
        <v>4500</v>
      </c>
      <c r="X97" s="51" t="inlineStr">
        <is>
          <t>Not Started</t>
        </is>
      </c>
      <c r="Y97" s="51" t="inlineStr">
        <is>
          <t>Friend Referral</t>
        </is>
      </c>
      <c r="AB97" s="57" t="n">
        <v>46331.39585648148</v>
      </c>
      <c r="AC97" s="90" t="n"/>
      <c r="AD97" s="90" t="n"/>
      <c r="AE97" s="88" t="n"/>
      <c r="AF97" s="91" t="n"/>
      <c r="AG97" s="91" t="n"/>
      <c r="AH97" s="88" t="n"/>
      <c r="AI97" s="88" t="n"/>
      <c r="AJ97" s="90" t="n"/>
      <c r="AK97" s="88" t="n"/>
      <c r="AL97" s="91" t="n"/>
      <c r="AM97" s="88" t="n"/>
      <c r="AN97" s="95" t="n"/>
      <c r="AO97" s="90" t="n"/>
      <c r="AP97" s="96" t="inlineStr">
        <is>
          <t>Failed - Failed to send email: You do not have pe</t>
        </is>
      </c>
    </row>
    <row r="98" ht="14.25" customHeight="1" s="84">
      <c r="A98" s="51" t="inlineStr">
        <is>
          <t>A1098</t>
        </is>
      </c>
      <c r="B98" s="47" t="inlineStr">
        <is>
          <t>Ketan Pimple</t>
        </is>
      </c>
      <c r="C98" s="51" t="n">
        <v>9579159496</v>
      </c>
      <c r="D98" s="51" t="inlineStr">
        <is>
          <t>ketan.pimple@gmail.com</t>
        </is>
      </c>
      <c r="E98" s="51" t="inlineStr">
        <is>
          <t>Pathare Vasti Gharkul Society Lohegaon Pune</t>
        </is>
      </c>
      <c r="F98" s="51" t="inlineStr">
        <is>
          <t>Pune</t>
        </is>
      </c>
      <c r="G98" s="47" t="inlineStr">
        <is>
          <t>Kriyansh Pimple</t>
        </is>
      </c>
      <c r="H98" s="51" t="n">
        <v>4.5</v>
      </c>
      <c r="I98" s="51" t="inlineStr">
        <is>
          <t>Male</t>
        </is>
      </c>
      <c r="J98" s="51" t="inlineStr">
        <is>
          <t>Lexicon Kids Viman Nagar</t>
        </is>
      </c>
      <c r="K98" s="51" t="inlineStr">
        <is>
          <t>LKG</t>
        </is>
      </c>
      <c r="L98" s="51" t="inlineStr">
        <is>
          <t>Basic</t>
        </is>
      </c>
      <c r="N98" s="51" t="inlineStr">
        <is>
          <t>Offline</t>
        </is>
      </c>
      <c r="Q98" s="51" t="inlineStr">
        <is>
          <t>Pending Start</t>
        </is>
      </c>
      <c r="R98" s="51" t="n">
        <v>4500</v>
      </c>
      <c r="S98" s="51" t="n">
        <v>0</v>
      </c>
      <c r="T98" s="51" t="n">
        <v>0</v>
      </c>
      <c r="U98" s="51" t="n">
        <v>4500</v>
      </c>
      <c r="V98" s="55" t="n"/>
      <c r="W98" s="51" t="n">
        <v>4500</v>
      </c>
      <c r="X98" s="51" t="inlineStr">
        <is>
          <t>Not Started</t>
        </is>
      </c>
      <c r="Y98" s="51" t="inlineStr">
        <is>
          <t>Google</t>
        </is>
      </c>
      <c r="AB98" s="57" t="n">
        <v>46331.82571759259</v>
      </c>
      <c r="AC98" s="90" t="n"/>
      <c r="AD98" s="90" t="n"/>
      <c r="AE98" s="88" t="n"/>
      <c r="AF98" s="91" t="n"/>
      <c r="AG98" s="91" t="n"/>
      <c r="AH98" s="88" t="n"/>
      <c r="AI98" s="88" t="n"/>
      <c r="AJ98" s="90" t="n"/>
      <c r="AK98" s="88" t="n"/>
      <c r="AL98" s="91" t="n"/>
      <c r="AM98" s="88" t="n"/>
      <c r="AN98" s="95" t="n"/>
      <c r="AO98" s="90" t="n"/>
      <c r="AP98" s="96" t="inlineStr">
        <is>
          <t>Failed - Failed to send email: You do not have pe</t>
        </is>
      </c>
    </row>
    <row r="99" ht="14.25" customHeight="1" s="84">
      <c r="A99" s="51" t="inlineStr">
        <is>
          <t>A1099</t>
        </is>
      </c>
      <c r="B99" s="47" t="inlineStr">
        <is>
          <t>Nilesh Baburao Shirke</t>
        </is>
      </c>
      <c r="C99" s="51" t="n">
        <v>9730443644</v>
      </c>
      <c r="D99" s="51" t="inlineStr">
        <is>
          <t>nileshshirke47222@gmail.com</t>
        </is>
      </c>
      <c r="E99" s="51" t="inlineStr">
        <is>
          <t>Sno 283/2 athvan near shinde tower opposite dominos porwal road lohgaon Pune</t>
        </is>
      </c>
      <c r="F99" s="51" t="inlineStr">
        <is>
          <t>Pune</t>
        </is>
      </c>
      <c r="G99" s="47" t="inlineStr">
        <is>
          <t>Sanskar Nilesh Shirke</t>
        </is>
      </c>
      <c r="H99" s="51" t="n">
        <v>6</v>
      </c>
      <c r="I99" s="51" t="inlineStr">
        <is>
          <t>Male</t>
        </is>
      </c>
      <c r="J99" s="51" t="inlineStr">
        <is>
          <t>Bridge blooming school</t>
        </is>
      </c>
      <c r="K99" s="51" t="inlineStr">
        <is>
          <t>A</t>
        </is>
      </c>
      <c r="L99" s="51" t="inlineStr">
        <is>
          <t>Basic</t>
        </is>
      </c>
      <c r="N99" s="51" t="inlineStr">
        <is>
          <t>Offline</t>
        </is>
      </c>
      <c r="Q99" s="51" t="inlineStr">
        <is>
          <t>Pending Start</t>
        </is>
      </c>
      <c r="R99" s="51" t="n">
        <v>4500</v>
      </c>
      <c r="S99" s="51" t="n">
        <v>0</v>
      </c>
      <c r="T99" s="51" t="n">
        <v>0</v>
      </c>
      <c r="U99" s="51" t="n">
        <v>4500</v>
      </c>
      <c r="V99" s="55" t="n"/>
      <c r="W99" s="51" t="n">
        <v>4500</v>
      </c>
      <c r="X99" s="51" t="inlineStr">
        <is>
          <t>Not Started</t>
        </is>
      </c>
      <c r="Y99" s="51" t="inlineStr">
        <is>
          <t>Friend Referral</t>
        </is>
      </c>
      <c r="AB99" s="64" t="inlineStr">
        <is>
          <t>21/05/2026 12:52:59</t>
        </is>
      </c>
      <c r="AC99" s="90" t="n"/>
      <c r="AD99" s="90" t="n"/>
      <c r="AE99" s="88" t="n"/>
      <c r="AF99" s="91" t="n"/>
      <c r="AG99" s="91" t="n"/>
      <c r="AH99" s="88" t="n"/>
      <c r="AI99" s="88" t="n"/>
      <c r="AJ99" s="90" t="n"/>
      <c r="AK99" s="88" t="n"/>
      <c r="AL99" s="91" t="n"/>
      <c r="AM99" s="88" t="n"/>
      <c r="AN99" s="95" t="n"/>
      <c r="AO99" s="90" t="n"/>
      <c r="AP99" s="96" t="inlineStr">
        <is>
          <t>Failed - Failed to send email: You do not have pe</t>
        </is>
      </c>
    </row>
    <row r="100" ht="14.25" customHeight="1" s="84">
      <c r="A100" s="51" t="inlineStr">
        <is>
          <t>A1100</t>
        </is>
      </c>
      <c r="B100" s="47" t="inlineStr">
        <is>
          <t>Sweta Trivedy</t>
        </is>
      </c>
      <c r="C100" s="51" t="n">
        <v>7387414337</v>
      </c>
      <c r="D100" s="51" t="inlineStr">
        <is>
          <t>sweta275856@gmail.com</t>
        </is>
      </c>
      <c r="E100" s="51" t="inlineStr">
        <is>
          <t>Atlantis city, Porwal Road pune</t>
        </is>
      </c>
      <c r="F100" s="51" t="inlineStr">
        <is>
          <t>Pune</t>
        </is>
      </c>
      <c r="G100" s="47" t="inlineStr">
        <is>
          <t>Eekja R Trivedy</t>
        </is>
      </c>
      <c r="H100" s="51" t="n">
        <v>4</v>
      </c>
      <c r="I100" s="51" t="inlineStr">
        <is>
          <t>Female</t>
        </is>
      </c>
      <c r="J100" s="51" t="inlineStr">
        <is>
          <t>Symbiosis</t>
        </is>
      </c>
      <c r="K100" s="51" t="inlineStr">
        <is>
          <t>Junior KG</t>
        </is>
      </c>
      <c r="L100" s="51" t="inlineStr">
        <is>
          <t>Basic</t>
        </is>
      </c>
      <c r="N100" s="51" t="inlineStr">
        <is>
          <t>Offline</t>
        </is>
      </c>
      <c r="Q100" s="51" t="inlineStr">
        <is>
          <t>Pending Start</t>
        </is>
      </c>
      <c r="R100" s="51" t="n">
        <v>4500</v>
      </c>
      <c r="S100" s="51" t="n">
        <v>0</v>
      </c>
      <c r="T100" s="51" t="n">
        <v>0</v>
      </c>
      <c r="U100" s="51" t="n">
        <v>4500</v>
      </c>
      <c r="V100" s="55" t="n"/>
      <c r="W100" s="51" t="n">
        <v>4500</v>
      </c>
      <c r="X100" s="51" t="inlineStr">
        <is>
          <t>Not Started</t>
        </is>
      </c>
      <c r="Y100" s="51" t="inlineStr">
        <is>
          <t>Website</t>
        </is>
      </c>
      <c r="AB100" s="64" t="inlineStr">
        <is>
          <t>21/05/2026 16:55:00</t>
        </is>
      </c>
      <c r="AC100" s="90" t="n"/>
      <c r="AD100" s="90" t="n"/>
      <c r="AE100" s="88" t="n"/>
      <c r="AF100" s="91" t="n"/>
      <c r="AG100" s="91" t="n"/>
      <c r="AH100" s="88" t="n"/>
      <c r="AI100" s="88" t="n"/>
      <c r="AJ100" s="90" t="n"/>
      <c r="AK100" s="88" t="n"/>
      <c r="AL100" s="91" t="n"/>
      <c r="AM100" s="88" t="n"/>
      <c r="AN100" s="95" t="n"/>
      <c r="AO100" s="90" t="n"/>
      <c r="AP100" s="96" t="inlineStr">
        <is>
          <t>Failed - Failed to send email: You do not have pe</t>
        </is>
      </c>
    </row>
    <row r="101" ht="14.25" customHeight="1" s="84">
      <c r="A101" s="51" t="inlineStr">
        <is>
          <t>A1101</t>
        </is>
      </c>
      <c r="B101" s="47" t="inlineStr">
        <is>
          <t>Rahul sakarey</t>
        </is>
      </c>
      <c r="C101" s="51" t="n">
        <v>7582999853</v>
      </c>
      <c r="D101" s="51" t="inlineStr">
        <is>
          <t>nainagupta1808@gmail.com</t>
        </is>
      </c>
      <c r="E101" s="51" t="inlineStr">
        <is>
          <t>Alshurooq Saudi Arabia</t>
        </is>
      </c>
      <c r="F101" s="51" t="inlineStr">
        <is>
          <t>Jeddah</t>
        </is>
      </c>
      <c r="G101" s="47" t="inlineStr">
        <is>
          <t>Meesha sakarey</t>
        </is>
      </c>
      <c r="H101" s="51" t="n">
        <v>4</v>
      </c>
      <c r="I101" s="51" t="inlineStr">
        <is>
          <t>Female</t>
        </is>
      </c>
      <c r="J101" s="51" t="inlineStr">
        <is>
          <t>World acedemy</t>
        </is>
      </c>
      <c r="K101" s="51" t="inlineStr">
        <is>
          <t>Nursery</t>
        </is>
      </c>
      <c r="L101" s="51" t="inlineStr">
        <is>
          <t>Basic</t>
        </is>
      </c>
      <c r="N101" s="51" t="inlineStr">
        <is>
          <t>Online</t>
        </is>
      </c>
      <c r="Q101" s="51" t="inlineStr">
        <is>
          <t>Pending Start</t>
        </is>
      </c>
      <c r="R101" s="51" t="n">
        <v>4500</v>
      </c>
      <c r="S101" s="51" t="n">
        <v>0</v>
      </c>
      <c r="T101" s="51" t="n">
        <v>0</v>
      </c>
      <c r="U101" s="51" t="n">
        <v>4500</v>
      </c>
      <c r="V101" s="55" t="n"/>
      <c r="W101" s="51" t="n">
        <v>4500</v>
      </c>
      <c r="X101" s="51" t="inlineStr">
        <is>
          <t>Not Started</t>
        </is>
      </c>
      <c r="Y101" s="51" t="inlineStr">
        <is>
          <t>Friend Referral</t>
        </is>
      </c>
      <c r="AB101" s="64" t="inlineStr">
        <is>
          <t>22/05/2026 15:51:02</t>
        </is>
      </c>
      <c r="AC101" s="90" t="n"/>
      <c r="AD101" s="90" t="n"/>
      <c r="AE101" s="88" t="n"/>
      <c r="AF101" s="91" t="n"/>
      <c r="AG101" s="91" t="n"/>
      <c r="AH101" s="88" t="n"/>
      <c r="AI101" s="88" t="n"/>
      <c r="AJ101" s="90" t="n"/>
      <c r="AK101" s="88" t="n"/>
      <c r="AL101" s="91" t="n"/>
      <c r="AM101" s="88" t="n"/>
      <c r="AN101" s="95" t="n"/>
      <c r="AO101" s="90" t="n"/>
      <c r="AP101" s="96" t="inlineStr">
        <is>
          <t>Failed - Failed to send email: You do not have pe</t>
        </is>
      </c>
    </row>
    <row r="102" ht="14.25" customHeight="1" s="84">
      <c r="A102" s="51" t="inlineStr">
        <is>
          <t>A1102</t>
        </is>
      </c>
      <c r="B102" s="47" t="inlineStr">
        <is>
          <t>Anjali Dhumal</t>
        </is>
      </c>
      <c r="C102" s="51" t="n">
        <v>9725004611</v>
      </c>
      <c r="D102" s="51" t="inlineStr">
        <is>
          <t>anjalidhumal465@gmail.com</t>
        </is>
      </c>
      <c r="E102" s="51" t="n"/>
      <c r="F102" s="51" t="inlineStr">
        <is>
          <t>Pune</t>
        </is>
      </c>
      <c r="G102" s="47" t="inlineStr">
        <is>
          <t>Sharvil Dhumal</t>
        </is>
      </c>
      <c r="H102" s="51" t="n">
        <v>5.9</v>
      </c>
      <c r="I102" s="51" t="inlineStr">
        <is>
          <t>Male</t>
        </is>
      </c>
      <c r="J102" s="51" t="inlineStr">
        <is>
          <t>Germany</t>
        </is>
      </c>
      <c r="K102" s="51" t="inlineStr">
        <is>
          <t>1gtade</t>
        </is>
      </c>
      <c r="L102" s="51" t="inlineStr">
        <is>
          <t>Advanced</t>
        </is>
      </c>
      <c r="N102" s="51" t="inlineStr">
        <is>
          <t>Online</t>
        </is>
      </c>
      <c r="Q102" s="51" t="inlineStr">
        <is>
          <t>Pending Start</t>
        </is>
      </c>
      <c r="R102" s="51" t="n">
        <v>6500</v>
      </c>
      <c r="S102" s="51" t="n">
        <v>0</v>
      </c>
      <c r="T102" s="51" t="n">
        <v>0</v>
      </c>
      <c r="U102" s="51" t="n">
        <v>6500</v>
      </c>
      <c r="V102" s="55" t="n"/>
      <c r="W102" s="51" t="n">
        <v>6500</v>
      </c>
      <c r="X102" s="51" t="inlineStr">
        <is>
          <t>Not Started</t>
        </is>
      </c>
      <c r="Y102" s="51" t="inlineStr">
        <is>
          <t>Google</t>
        </is>
      </c>
      <c r="AB102" s="64" t="inlineStr">
        <is>
          <t>22/05/2026 19:11:00</t>
        </is>
      </c>
      <c r="AC102" s="90" t="n"/>
      <c r="AD102" s="90" t="n"/>
      <c r="AE102" s="88" t="n"/>
      <c r="AF102" s="91" t="n"/>
      <c r="AG102" s="91" t="n"/>
      <c r="AH102" s="88" t="n"/>
      <c r="AI102" s="88" t="n"/>
      <c r="AJ102" s="90" t="n"/>
      <c r="AK102" s="88" t="n"/>
      <c r="AL102" s="91" t="n"/>
      <c r="AM102" s="88" t="n"/>
      <c r="AN102" s="95" t="n"/>
      <c r="AO102" s="90" t="n"/>
      <c r="AP102" s="96" t="inlineStr">
        <is>
          <t>Failed - Failed to send email: You do not have pe</t>
        </is>
      </c>
    </row>
    <row r="103" ht="14.25" customHeight="1" s="84">
      <c r="A103" s="51" t="n"/>
      <c r="B103" s="47" t="n"/>
      <c r="C103" s="51" t="n"/>
      <c r="D103" s="51" t="n"/>
      <c r="E103" s="51" t="n"/>
      <c r="F103" s="51" t="n"/>
      <c r="G103" s="47" t="n"/>
      <c r="H103" s="51" t="n"/>
      <c r="I103" s="51" t="n"/>
      <c r="J103" s="51" t="n"/>
      <c r="K103" s="51" t="n"/>
      <c r="L103" s="51" t="n"/>
      <c r="N103" s="51" t="n"/>
      <c r="Q103" s="51" t="n"/>
      <c r="S103" s="51" t="n"/>
      <c r="T103" s="51" t="n"/>
      <c r="U103" s="51" t="inlineStr"/>
      <c r="V103" s="55" t="n"/>
      <c r="W103" s="51" t="inlineStr"/>
      <c r="X103" s="51" t="inlineStr"/>
      <c r="Y103" s="51" t="n"/>
      <c r="AB103" s="57" t="n"/>
      <c r="AC103" s="90" t="n"/>
      <c r="AD103" s="90" t="n"/>
      <c r="AE103" s="88" t="n"/>
      <c r="AF103" s="91" t="n"/>
      <c r="AG103" s="91" t="n"/>
      <c r="AH103" s="88" t="n"/>
      <c r="AI103" s="88" t="n"/>
      <c r="AJ103" s="90" t="n"/>
      <c r="AK103" s="88" t="n"/>
      <c r="AL103" s="91" t="n"/>
      <c r="AM103" s="88" t="n"/>
      <c r="AN103" s="95" t="n"/>
      <c r="AO103" s="90" t="n"/>
      <c r="AP103" s="90" t="n"/>
    </row>
    <row r="104" ht="14.25" customHeight="1" s="84">
      <c r="A104" s="51" t="n"/>
      <c r="B104" s="47" t="n"/>
      <c r="C104" s="51" t="n"/>
      <c r="D104" s="51" t="n"/>
      <c r="E104" s="51" t="n"/>
      <c r="F104" s="51" t="n"/>
      <c r="G104" s="47" t="n"/>
      <c r="H104" s="51" t="n"/>
      <c r="I104" s="51" t="n"/>
      <c r="J104" s="51" t="n"/>
      <c r="K104" s="51" t="n"/>
      <c r="L104" s="51" t="n"/>
      <c r="N104" s="51" t="n"/>
      <c r="Q104" s="51" t="n"/>
      <c r="S104" s="51" t="n"/>
      <c r="T104" s="51" t="n"/>
      <c r="U104" s="51" t="inlineStr"/>
      <c r="V104" s="55" t="n"/>
      <c r="W104" s="51" t="inlineStr"/>
      <c r="X104" s="51" t="inlineStr"/>
      <c r="Y104" s="51" t="n"/>
      <c r="AB104" s="57" t="n"/>
      <c r="AC104" s="90" t="n"/>
      <c r="AD104" s="90" t="n"/>
      <c r="AE104" s="88" t="n"/>
      <c r="AF104" s="91" t="n"/>
      <c r="AG104" s="91" t="n"/>
      <c r="AH104" s="88" t="n"/>
      <c r="AI104" s="88" t="n"/>
      <c r="AJ104" s="90" t="n"/>
      <c r="AK104" s="88" t="n"/>
      <c r="AL104" s="91" t="n"/>
      <c r="AM104" s="88" t="n"/>
      <c r="AN104" s="95" t="n"/>
      <c r="AO104" s="90" t="n"/>
      <c r="AP104" s="90" t="n"/>
    </row>
    <row r="105" ht="14.25" customHeight="1" s="84">
      <c r="A105" s="51" t="n"/>
      <c r="B105" s="47" t="n"/>
      <c r="C105" s="51" t="n"/>
      <c r="D105" s="51" t="n"/>
      <c r="E105" s="51" t="n"/>
      <c r="F105" s="51" t="n"/>
      <c r="G105" s="47" t="n"/>
      <c r="H105" s="51" t="n"/>
      <c r="I105" s="51" t="n"/>
      <c r="J105" s="51" t="n"/>
      <c r="K105" s="51" t="n"/>
      <c r="L105" s="51" t="n"/>
      <c r="N105" s="51" t="n"/>
      <c r="Q105" s="51" t="n"/>
      <c r="S105" s="51" t="n"/>
      <c r="T105" s="51" t="n"/>
      <c r="U105" s="51" t="inlineStr"/>
      <c r="V105" s="55" t="n"/>
      <c r="W105" s="51" t="inlineStr"/>
      <c r="X105" s="51" t="inlineStr"/>
      <c r="Y105" s="51" t="n"/>
      <c r="AB105" s="57" t="n"/>
      <c r="AC105" s="90" t="n"/>
      <c r="AD105" s="90" t="n"/>
      <c r="AE105" s="88" t="n"/>
      <c r="AF105" s="91" t="n"/>
      <c r="AG105" s="91" t="n"/>
      <c r="AH105" s="88" t="n"/>
      <c r="AI105" s="88" t="n"/>
      <c r="AJ105" s="90" t="n"/>
      <c r="AK105" s="88" t="n"/>
      <c r="AL105" s="91" t="n"/>
      <c r="AM105" s="88" t="n"/>
      <c r="AN105" s="95" t="n"/>
      <c r="AO105" s="90" t="n"/>
      <c r="AP105" s="90" t="n"/>
    </row>
    <row r="106" ht="14.25" customHeight="1" s="84">
      <c r="A106" s="51" t="n"/>
      <c r="B106" s="47" t="n"/>
      <c r="C106" s="51" t="n"/>
      <c r="D106" s="51" t="n"/>
      <c r="E106" s="51" t="n"/>
      <c r="F106" s="51" t="n"/>
      <c r="G106" s="47" t="n"/>
      <c r="H106" s="51" t="n"/>
      <c r="I106" s="51" t="n"/>
      <c r="J106" s="51" t="n"/>
      <c r="K106" s="51" t="n"/>
      <c r="L106" s="51" t="n"/>
      <c r="N106" s="51" t="n"/>
      <c r="Q106" s="51" t="n"/>
      <c r="S106" s="51" t="n"/>
      <c r="T106" s="51" t="n"/>
      <c r="U106" s="51" t="inlineStr"/>
      <c r="V106" s="55" t="n"/>
      <c r="W106" s="51" t="inlineStr"/>
      <c r="X106" s="51" t="inlineStr"/>
      <c r="Y106" s="51" t="n"/>
      <c r="AB106" s="57" t="n"/>
      <c r="AC106" s="90" t="n"/>
      <c r="AD106" s="90" t="n"/>
      <c r="AE106" s="88" t="n"/>
      <c r="AF106" s="91" t="n"/>
      <c r="AG106" s="91" t="n"/>
      <c r="AH106" s="88" t="n"/>
      <c r="AI106" s="88" t="n"/>
      <c r="AJ106" s="90" t="n"/>
      <c r="AK106" s="88" t="n"/>
      <c r="AL106" s="91" t="n"/>
      <c r="AM106" s="88" t="n"/>
      <c r="AN106" s="95" t="n"/>
      <c r="AO106" s="90" t="n"/>
      <c r="AP106" s="90" t="n"/>
    </row>
    <row r="107" ht="14.25" customHeight="1" s="84">
      <c r="A107" s="51" t="n"/>
      <c r="B107" s="47" t="n"/>
      <c r="C107" s="51" t="n"/>
      <c r="D107" s="51" t="n"/>
      <c r="E107" s="51" t="n"/>
      <c r="F107" s="51" t="n"/>
      <c r="G107" s="47" t="n"/>
      <c r="H107" s="51" t="n"/>
      <c r="I107" s="51" t="n"/>
      <c r="J107" s="51" t="n"/>
      <c r="K107" s="51" t="n"/>
      <c r="L107" s="51" t="n"/>
      <c r="N107" s="51" t="n"/>
      <c r="Q107" s="51" t="n"/>
      <c r="S107" s="51" t="n"/>
      <c r="T107" s="51" t="n"/>
      <c r="U107" s="51" t="inlineStr"/>
      <c r="V107" s="55" t="n"/>
      <c r="W107" s="51" t="inlineStr"/>
      <c r="X107" s="51" t="inlineStr"/>
      <c r="Y107" s="51" t="n"/>
      <c r="AB107" s="57" t="n"/>
      <c r="AC107" s="90" t="n"/>
      <c r="AD107" s="90" t="n"/>
      <c r="AE107" s="88" t="n"/>
      <c r="AF107" s="91" t="n"/>
      <c r="AG107" s="91" t="n"/>
      <c r="AH107" s="88" t="n"/>
      <c r="AI107" s="88" t="n"/>
      <c r="AJ107" s="90" t="n"/>
      <c r="AK107" s="88" t="n"/>
      <c r="AL107" s="91" t="n"/>
      <c r="AM107" s="88" t="n"/>
      <c r="AN107" s="95" t="n"/>
      <c r="AO107" s="90" t="n"/>
      <c r="AP107" s="90" t="n"/>
    </row>
    <row r="108" ht="14.25" customHeight="1" s="84">
      <c r="A108" s="51" t="n"/>
      <c r="B108" s="47" t="n"/>
      <c r="C108" s="51" t="n"/>
      <c r="D108" s="51" t="n"/>
      <c r="E108" s="51" t="n"/>
      <c r="F108" s="51" t="n"/>
      <c r="G108" s="47" t="n"/>
      <c r="H108" s="51" t="n"/>
      <c r="I108" s="51" t="n"/>
      <c r="J108" s="51" t="n"/>
      <c r="K108" s="51" t="n"/>
      <c r="L108" s="51" t="n"/>
      <c r="N108" s="51" t="n"/>
      <c r="Q108" s="51" t="n"/>
      <c r="S108" s="51" t="n"/>
      <c r="T108" s="51" t="n"/>
      <c r="U108" s="51" t="inlineStr"/>
      <c r="V108" s="55" t="n"/>
      <c r="W108" s="51" t="inlineStr"/>
      <c r="X108" s="51" t="inlineStr"/>
      <c r="Y108" s="51" t="n"/>
      <c r="AB108" s="57" t="n"/>
      <c r="AC108" s="90" t="n"/>
      <c r="AD108" s="90" t="n"/>
      <c r="AE108" s="88" t="n"/>
      <c r="AF108" s="91" t="n"/>
      <c r="AG108" s="91" t="n"/>
      <c r="AH108" s="88" t="n"/>
      <c r="AI108" s="88" t="n"/>
      <c r="AJ108" s="90" t="n"/>
      <c r="AK108" s="88" t="n"/>
      <c r="AL108" s="91" t="n"/>
      <c r="AM108" s="88" t="n"/>
      <c r="AN108" s="95" t="n"/>
      <c r="AO108" s="90" t="n"/>
      <c r="AP108" s="90" t="n"/>
    </row>
    <row r="109" ht="14.25" customHeight="1" s="84">
      <c r="A109" s="51" t="n"/>
      <c r="B109" s="47" t="n"/>
      <c r="C109" s="51" t="n"/>
      <c r="D109" s="51" t="n"/>
      <c r="E109" s="51" t="n"/>
      <c r="F109" s="51" t="n"/>
      <c r="G109" s="47" t="n"/>
      <c r="H109" s="51" t="n"/>
      <c r="I109" s="51" t="n"/>
      <c r="J109" s="51" t="n"/>
      <c r="K109" s="51" t="n"/>
      <c r="L109" s="51" t="n"/>
      <c r="N109" s="51" t="n"/>
      <c r="Q109" s="51" t="n"/>
      <c r="S109" s="51" t="n"/>
      <c r="T109" s="51" t="n"/>
      <c r="U109" s="51" t="inlineStr"/>
      <c r="V109" s="55" t="n"/>
      <c r="W109" s="51" t="inlineStr"/>
      <c r="X109" s="51" t="inlineStr"/>
      <c r="Y109" s="51" t="n"/>
      <c r="AB109" s="57" t="n"/>
      <c r="AC109" s="90" t="n"/>
      <c r="AD109" s="90" t="n"/>
      <c r="AE109" s="88" t="n"/>
      <c r="AF109" s="91" t="n"/>
      <c r="AG109" s="91" t="n"/>
      <c r="AH109" s="88" t="n"/>
      <c r="AI109" s="88" t="n"/>
      <c r="AJ109" s="90" t="n"/>
      <c r="AK109" s="88" t="n"/>
      <c r="AL109" s="91" t="n"/>
      <c r="AM109" s="88" t="n"/>
      <c r="AN109" s="95" t="n"/>
      <c r="AO109" s="90" t="n"/>
      <c r="AP109" s="90" t="n"/>
    </row>
    <row r="110" ht="14.25" customHeight="1" s="84">
      <c r="A110" s="51" t="n"/>
      <c r="B110" s="47" t="n"/>
      <c r="C110" s="51" t="n"/>
      <c r="D110" s="51" t="n"/>
      <c r="E110" s="51" t="n"/>
      <c r="F110" s="51" t="n"/>
      <c r="G110" s="47" t="n"/>
      <c r="H110" s="51" t="n"/>
      <c r="I110" s="51" t="n"/>
      <c r="J110" s="51" t="n"/>
      <c r="K110" s="51" t="n"/>
      <c r="L110" s="51" t="n"/>
      <c r="N110" s="51" t="n"/>
      <c r="Q110" s="51" t="n"/>
      <c r="S110" s="51" t="n"/>
      <c r="T110" s="51" t="n"/>
      <c r="U110" s="51" t="inlineStr"/>
      <c r="V110" s="55" t="n"/>
      <c r="W110" s="51" t="inlineStr"/>
      <c r="X110" s="51" t="inlineStr"/>
      <c r="Y110" s="51" t="n"/>
      <c r="AB110" s="57" t="n"/>
      <c r="AC110" s="90" t="n"/>
      <c r="AD110" s="90" t="n"/>
      <c r="AE110" s="88" t="n"/>
      <c r="AF110" s="91" t="n"/>
      <c r="AG110" s="91" t="n"/>
      <c r="AH110" s="88" t="n"/>
      <c r="AI110" s="88" t="n"/>
      <c r="AJ110" s="90" t="n"/>
      <c r="AK110" s="88" t="n"/>
      <c r="AL110" s="91" t="n"/>
      <c r="AM110" s="88" t="n"/>
      <c r="AN110" s="95" t="n"/>
      <c r="AO110" s="90" t="n"/>
      <c r="AP110" s="90" t="n"/>
    </row>
    <row r="111" ht="14.25" customHeight="1" s="84">
      <c r="A111" s="51" t="n"/>
      <c r="B111" s="47" t="n"/>
      <c r="C111" s="51" t="n"/>
      <c r="D111" s="51" t="n"/>
      <c r="E111" s="51" t="n"/>
      <c r="F111" s="51" t="n"/>
      <c r="G111" s="47" t="n"/>
      <c r="H111" s="51" t="n"/>
      <c r="I111" s="51" t="n"/>
      <c r="J111" s="51" t="n"/>
      <c r="K111" s="51" t="n"/>
      <c r="L111" s="51" t="n"/>
      <c r="N111" s="51" t="n"/>
      <c r="Q111" s="51" t="n"/>
      <c r="S111" s="51" t="n"/>
      <c r="T111" s="51" t="n"/>
      <c r="U111" s="51" t="inlineStr"/>
      <c r="V111" s="55" t="n"/>
      <c r="W111" s="51" t="inlineStr"/>
      <c r="X111" s="51" t="inlineStr"/>
      <c r="Y111" s="51" t="n"/>
      <c r="AB111" s="57" t="n"/>
      <c r="AC111" s="90" t="n"/>
      <c r="AD111" s="90" t="n"/>
      <c r="AE111" s="88" t="n"/>
      <c r="AF111" s="91" t="n"/>
      <c r="AG111" s="91" t="n"/>
      <c r="AH111" s="88" t="n"/>
      <c r="AI111" s="88" t="n"/>
      <c r="AJ111" s="90" t="n"/>
      <c r="AK111" s="88" t="n"/>
      <c r="AL111" s="91" t="n"/>
      <c r="AM111" s="88" t="n"/>
      <c r="AN111" s="95" t="n"/>
      <c r="AO111" s="90" t="n"/>
      <c r="AP111" s="90" t="n"/>
    </row>
    <row r="112" ht="14.25" customHeight="1" s="84">
      <c r="A112" s="51" t="n"/>
      <c r="B112" s="47" t="n"/>
      <c r="C112" s="51" t="n"/>
      <c r="D112" s="51" t="n"/>
      <c r="E112" s="51" t="n"/>
      <c r="F112" s="51" t="n"/>
      <c r="G112" s="47" t="n"/>
      <c r="H112" s="51" t="n"/>
      <c r="I112" s="51" t="n"/>
      <c r="J112" s="51" t="n"/>
      <c r="K112" s="51" t="n"/>
      <c r="L112" s="51" t="n"/>
      <c r="N112" s="51" t="n"/>
      <c r="Q112" s="51" t="n"/>
      <c r="S112" s="51" t="n"/>
      <c r="T112" s="51" t="n"/>
      <c r="U112" s="51" t="inlineStr"/>
      <c r="V112" s="55" t="n"/>
      <c r="W112" s="51" t="inlineStr"/>
      <c r="X112" s="51" t="inlineStr"/>
      <c r="Y112" s="51" t="n"/>
      <c r="AB112" s="57" t="n"/>
      <c r="AC112" s="90" t="n"/>
      <c r="AD112" s="90" t="n"/>
      <c r="AE112" s="88" t="n"/>
      <c r="AF112" s="91" t="n"/>
      <c r="AG112" s="91" t="n"/>
      <c r="AH112" s="88" t="n"/>
      <c r="AI112" s="88" t="n"/>
      <c r="AJ112" s="90" t="n"/>
      <c r="AK112" s="88" t="n"/>
      <c r="AL112" s="91" t="n"/>
      <c r="AM112" s="88" t="n"/>
      <c r="AN112" s="95" t="n"/>
      <c r="AO112" s="90" t="n"/>
      <c r="AP112" s="90" t="n"/>
    </row>
    <row r="113" ht="14.25" customHeight="1" s="84">
      <c r="A113" s="51" t="n"/>
      <c r="B113" s="47" t="n"/>
      <c r="C113" s="51" t="n"/>
      <c r="D113" s="51" t="n"/>
      <c r="E113" s="51" t="n"/>
      <c r="F113" s="51" t="n"/>
      <c r="G113" s="47" t="n"/>
      <c r="H113" s="51" t="n"/>
      <c r="I113" s="51" t="n"/>
      <c r="J113" s="51" t="n"/>
      <c r="K113" s="51" t="n"/>
      <c r="L113" s="51" t="n"/>
      <c r="N113" s="51" t="n"/>
      <c r="Q113" s="51" t="n"/>
      <c r="S113" s="51" t="n"/>
      <c r="T113" s="51" t="n"/>
      <c r="U113" s="51" t="inlineStr"/>
      <c r="V113" s="55" t="n"/>
      <c r="W113" s="51" t="inlineStr"/>
      <c r="X113" s="51" t="inlineStr"/>
      <c r="Y113" s="51" t="n"/>
      <c r="AB113" s="57" t="n"/>
      <c r="AC113" s="90" t="n"/>
      <c r="AD113" s="90" t="n"/>
      <c r="AE113" s="88" t="n"/>
      <c r="AF113" s="91" t="n"/>
      <c r="AG113" s="91" t="n"/>
      <c r="AH113" s="88" t="n"/>
      <c r="AI113" s="88" t="n"/>
      <c r="AJ113" s="90" t="n"/>
      <c r="AK113" s="88" t="n"/>
      <c r="AL113" s="91" t="n"/>
      <c r="AM113" s="88" t="n"/>
      <c r="AN113" s="95" t="n"/>
      <c r="AO113" s="90" t="n"/>
      <c r="AP113" s="90" t="n"/>
    </row>
    <row r="114" ht="14.25" customHeight="1" s="84">
      <c r="A114" s="51" t="n"/>
      <c r="B114" s="47" t="n"/>
      <c r="C114" s="51" t="n"/>
      <c r="D114" s="51" t="n"/>
      <c r="E114" s="51" t="n"/>
      <c r="F114" s="51" t="n"/>
      <c r="G114" s="47" t="n"/>
      <c r="H114" s="51" t="n"/>
      <c r="I114" s="51" t="n"/>
      <c r="J114" s="51" t="n"/>
      <c r="K114" s="51" t="n"/>
      <c r="L114" s="51" t="n"/>
      <c r="N114" s="51" t="n"/>
      <c r="Q114" s="51" t="n"/>
      <c r="S114" s="51" t="n"/>
      <c r="T114" s="51" t="n"/>
      <c r="U114" s="51" t="inlineStr"/>
      <c r="V114" s="55" t="n"/>
      <c r="W114" s="51" t="inlineStr"/>
      <c r="X114" s="51" t="inlineStr"/>
      <c r="Y114" s="51" t="n"/>
      <c r="AB114" s="57" t="n"/>
      <c r="AC114" s="90" t="n"/>
      <c r="AD114" s="90" t="n"/>
      <c r="AE114" s="88" t="n"/>
      <c r="AF114" s="91" t="n"/>
      <c r="AG114" s="91" t="n"/>
      <c r="AH114" s="88" t="n"/>
      <c r="AI114" s="88" t="n"/>
      <c r="AJ114" s="90" t="n"/>
      <c r="AK114" s="88" t="n"/>
      <c r="AL114" s="91" t="n"/>
      <c r="AM114" s="88" t="n"/>
      <c r="AN114" s="95" t="n"/>
      <c r="AO114" s="90" t="n"/>
      <c r="AP114" s="90" t="n"/>
    </row>
    <row r="115" ht="14.25" customHeight="1" s="84">
      <c r="A115" s="51" t="n"/>
      <c r="B115" s="47" t="n"/>
      <c r="C115" s="51" t="n"/>
      <c r="D115" s="51" t="n"/>
      <c r="E115" s="51" t="n"/>
      <c r="F115" s="51" t="n"/>
      <c r="G115" s="47" t="n"/>
      <c r="H115" s="51" t="n"/>
      <c r="I115" s="51" t="n"/>
      <c r="J115" s="51" t="n"/>
      <c r="K115" s="51" t="n"/>
      <c r="L115" s="51" t="n"/>
      <c r="N115" s="51" t="n"/>
      <c r="Q115" s="51" t="n"/>
      <c r="S115" s="51" t="n"/>
      <c r="T115" s="51" t="n"/>
      <c r="U115" s="51" t="inlineStr"/>
      <c r="V115" s="55" t="n"/>
      <c r="W115" s="51" t="inlineStr"/>
      <c r="X115" s="51" t="inlineStr"/>
      <c r="Y115" s="51" t="n"/>
      <c r="AB115" s="57" t="n"/>
      <c r="AC115" s="90" t="n"/>
      <c r="AD115" s="90" t="n"/>
      <c r="AE115" s="88" t="n"/>
      <c r="AF115" s="91" t="n"/>
      <c r="AG115" s="91" t="n"/>
      <c r="AH115" s="88" t="n"/>
      <c r="AI115" s="88" t="n"/>
      <c r="AJ115" s="90" t="n"/>
      <c r="AK115" s="88" t="n"/>
      <c r="AL115" s="91" t="n"/>
      <c r="AM115" s="88" t="n"/>
      <c r="AN115" s="95" t="n"/>
      <c r="AO115" s="90" t="n"/>
      <c r="AP115" s="90" t="n"/>
    </row>
    <row r="116" ht="14.25" customHeight="1" s="84">
      <c r="A116" s="51" t="n"/>
      <c r="B116" s="47" t="n"/>
      <c r="C116" s="51" t="n"/>
      <c r="D116" s="51" t="n"/>
      <c r="E116" s="51" t="n"/>
      <c r="F116" s="51" t="n"/>
      <c r="G116" s="47" t="n"/>
      <c r="H116" s="51" t="n"/>
      <c r="I116" s="51" t="n"/>
      <c r="J116" s="51" t="n"/>
      <c r="K116" s="51" t="n"/>
      <c r="L116" s="51" t="n"/>
      <c r="N116" s="51" t="n"/>
      <c r="Q116" s="51" t="n"/>
      <c r="S116" s="51" t="n"/>
      <c r="T116" s="51" t="n"/>
      <c r="U116" s="51" t="inlineStr"/>
      <c r="V116" s="55" t="n"/>
      <c r="W116" s="51" t="inlineStr"/>
      <c r="X116" s="51" t="inlineStr"/>
      <c r="Y116" s="51" t="n"/>
      <c r="AB116" s="57" t="n"/>
      <c r="AC116" s="90" t="n"/>
      <c r="AD116" s="90" t="n"/>
      <c r="AE116" s="88" t="n"/>
      <c r="AF116" s="91" t="n"/>
      <c r="AG116" s="91" t="n"/>
      <c r="AH116" s="88" t="n"/>
      <c r="AI116" s="88" t="n"/>
      <c r="AJ116" s="90" t="n"/>
      <c r="AK116" s="88" t="n"/>
      <c r="AL116" s="91" t="n"/>
      <c r="AM116" s="88" t="n"/>
      <c r="AN116" s="95" t="n"/>
      <c r="AO116" s="90" t="n"/>
      <c r="AP116" s="90" t="n"/>
    </row>
    <row r="117" ht="14.25" customHeight="1" s="84">
      <c r="A117" s="51" t="n"/>
      <c r="B117" s="47" t="n"/>
      <c r="C117" s="51" t="n"/>
      <c r="D117" s="51" t="n"/>
      <c r="E117" s="51" t="n"/>
      <c r="F117" s="51" t="n"/>
      <c r="G117" s="47" t="n"/>
      <c r="H117" s="51" t="n"/>
      <c r="I117" s="51" t="n"/>
      <c r="J117" s="51" t="n"/>
      <c r="K117" s="51" t="n"/>
      <c r="L117" s="51" t="n"/>
      <c r="N117" s="51" t="n"/>
      <c r="Q117" s="51" t="n"/>
      <c r="S117" s="51" t="n"/>
      <c r="T117" s="51" t="n"/>
      <c r="U117" s="51" t="inlineStr"/>
      <c r="V117" s="55" t="n"/>
      <c r="W117" s="51" t="inlineStr"/>
      <c r="X117" s="51" t="inlineStr"/>
      <c r="Y117" s="51" t="n"/>
      <c r="AB117" s="57" t="n"/>
      <c r="AC117" s="90" t="n"/>
      <c r="AD117" s="90" t="n"/>
      <c r="AE117" s="88" t="n"/>
      <c r="AF117" s="91" t="n"/>
      <c r="AG117" s="91" t="n"/>
      <c r="AH117" s="88" t="n"/>
      <c r="AI117" s="88" t="n"/>
      <c r="AJ117" s="90" t="n"/>
      <c r="AK117" s="88" t="n"/>
      <c r="AL117" s="91" t="n"/>
      <c r="AM117" s="88" t="n"/>
      <c r="AN117" s="95" t="n"/>
      <c r="AO117" s="90" t="n"/>
      <c r="AP117" s="90" t="n"/>
    </row>
    <row r="118" ht="14.25" customHeight="1" s="84">
      <c r="A118" s="51" t="n"/>
      <c r="B118" s="47" t="n"/>
      <c r="C118" s="51" t="n"/>
      <c r="D118" s="51" t="n"/>
      <c r="E118" s="51" t="n"/>
      <c r="F118" s="51" t="n"/>
      <c r="G118" s="47" t="n"/>
      <c r="H118" s="51" t="n"/>
      <c r="I118" s="51" t="n"/>
      <c r="J118" s="51" t="n"/>
      <c r="K118" s="51" t="n"/>
      <c r="L118" s="51" t="n"/>
      <c r="N118" s="51" t="n"/>
      <c r="Q118" s="51" t="n"/>
      <c r="S118" s="51" t="n"/>
      <c r="T118" s="51" t="n"/>
      <c r="U118" s="51" t="inlineStr"/>
      <c r="V118" s="55" t="n"/>
      <c r="W118" s="51" t="inlineStr"/>
      <c r="X118" s="51" t="inlineStr"/>
      <c r="Y118" s="51" t="n"/>
      <c r="AB118" s="57" t="n"/>
      <c r="AC118" s="90" t="n"/>
      <c r="AD118" s="90" t="n"/>
      <c r="AE118" s="88" t="n"/>
      <c r="AF118" s="91" t="n"/>
      <c r="AG118" s="91" t="n"/>
      <c r="AH118" s="88" t="n"/>
      <c r="AI118" s="88" t="n"/>
      <c r="AJ118" s="90" t="n"/>
      <c r="AK118" s="88" t="n"/>
      <c r="AL118" s="91" t="n"/>
      <c r="AM118" s="88" t="n"/>
      <c r="AN118" s="95" t="n"/>
      <c r="AO118" s="90" t="n"/>
      <c r="AP118" s="90" t="n"/>
    </row>
    <row r="119" ht="14.25" customHeight="1" s="84">
      <c r="A119" s="51" t="n"/>
      <c r="B119" s="47" t="n"/>
      <c r="C119" s="51" t="n"/>
      <c r="D119" s="51" t="n"/>
      <c r="E119" s="51" t="n"/>
      <c r="F119" s="51" t="n"/>
      <c r="G119" s="47" t="n"/>
      <c r="H119" s="51" t="n"/>
      <c r="I119" s="51" t="n"/>
      <c r="J119" s="51" t="n"/>
      <c r="K119" s="51" t="n"/>
      <c r="L119" s="51" t="n"/>
      <c r="N119" s="51" t="n"/>
      <c r="Q119" s="51" t="n"/>
      <c r="S119" s="51" t="n"/>
      <c r="T119" s="51" t="n"/>
      <c r="U119" s="51" t="inlineStr"/>
      <c r="V119" s="55" t="n"/>
      <c r="W119" s="51" t="inlineStr"/>
      <c r="X119" s="51" t="inlineStr"/>
      <c r="Y119" s="51" t="n"/>
      <c r="AB119" s="57" t="n"/>
      <c r="AC119" s="90" t="n"/>
      <c r="AD119" s="90" t="n"/>
      <c r="AE119" s="88" t="n"/>
      <c r="AF119" s="91" t="n"/>
      <c r="AG119" s="91" t="n"/>
      <c r="AH119" s="88" t="n"/>
      <c r="AI119" s="88" t="n"/>
      <c r="AJ119" s="90" t="n"/>
      <c r="AK119" s="88" t="n"/>
      <c r="AL119" s="91" t="n"/>
      <c r="AM119" s="88" t="n"/>
      <c r="AN119" s="95" t="n"/>
      <c r="AO119" s="90" t="n"/>
      <c r="AP119" s="90" t="n"/>
    </row>
    <row r="120" ht="14.25" customHeight="1" s="84">
      <c r="A120" s="51" t="n"/>
      <c r="B120" s="47" t="n"/>
      <c r="C120" s="51" t="n"/>
      <c r="D120" s="51" t="n"/>
      <c r="E120" s="51" t="n"/>
      <c r="F120" s="51" t="n"/>
      <c r="G120" s="47" t="n"/>
      <c r="H120" s="51" t="n"/>
      <c r="I120" s="51" t="n"/>
      <c r="J120" s="51" t="n"/>
      <c r="K120" s="51" t="n"/>
      <c r="L120" s="51" t="n"/>
      <c r="N120" s="51" t="n"/>
      <c r="Q120" s="51" t="n"/>
      <c r="S120" s="51" t="n"/>
      <c r="T120" s="51" t="n"/>
      <c r="U120" s="51" t="inlineStr"/>
      <c r="V120" s="55" t="n"/>
      <c r="W120" s="51" t="inlineStr"/>
      <c r="X120" s="51" t="inlineStr"/>
      <c r="Y120" s="51" t="n"/>
      <c r="AB120" s="57" t="n"/>
      <c r="AC120" s="90" t="n"/>
      <c r="AD120" s="90" t="n"/>
      <c r="AE120" s="88" t="n"/>
      <c r="AF120" s="91" t="n"/>
      <c r="AG120" s="91" t="n"/>
      <c r="AH120" s="88" t="n"/>
      <c r="AI120" s="88" t="n"/>
      <c r="AJ120" s="90" t="n"/>
      <c r="AK120" s="88" t="n"/>
      <c r="AL120" s="91" t="n"/>
      <c r="AM120" s="88" t="n"/>
      <c r="AN120" s="95" t="n"/>
      <c r="AO120" s="90" t="n"/>
      <c r="AP120" s="90" t="n"/>
    </row>
    <row r="121" ht="14.25" customHeight="1" s="84">
      <c r="A121" s="51" t="n"/>
      <c r="B121" s="47" t="n"/>
      <c r="C121" s="51" t="n"/>
      <c r="D121" s="51" t="n"/>
      <c r="E121" s="51" t="n"/>
      <c r="F121" s="51" t="n"/>
      <c r="G121" s="47" t="n"/>
      <c r="H121" s="51" t="n"/>
      <c r="I121" s="51" t="n"/>
      <c r="J121" s="51" t="n"/>
      <c r="K121" s="51" t="n"/>
      <c r="L121" s="51" t="n"/>
      <c r="N121" s="51" t="n"/>
      <c r="Q121" s="51" t="n"/>
      <c r="S121" s="51" t="n"/>
      <c r="T121" s="51" t="n"/>
      <c r="U121" s="51" t="inlineStr"/>
      <c r="V121" s="55" t="n"/>
      <c r="W121" s="51" t="inlineStr"/>
      <c r="X121" s="51" t="inlineStr"/>
      <c r="Y121" s="51" t="n"/>
      <c r="AB121" s="57" t="n"/>
      <c r="AC121" s="90" t="n"/>
      <c r="AD121" s="90" t="n"/>
      <c r="AE121" s="88" t="n"/>
      <c r="AF121" s="91" t="n"/>
      <c r="AG121" s="91" t="n"/>
      <c r="AH121" s="88" t="n"/>
      <c r="AI121" s="88" t="n"/>
      <c r="AJ121" s="90" t="n"/>
      <c r="AK121" s="88" t="n"/>
      <c r="AL121" s="91" t="n"/>
      <c r="AM121" s="88" t="n"/>
      <c r="AN121" s="95" t="n"/>
      <c r="AO121" s="90" t="n"/>
      <c r="AP121" s="90" t="n"/>
    </row>
    <row r="122" ht="14.25" customHeight="1" s="84">
      <c r="A122" s="51" t="n"/>
      <c r="B122" s="47" t="n"/>
      <c r="C122" s="51" t="n"/>
      <c r="D122" s="51" t="n"/>
      <c r="E122" s="51" t="n"/>
      <c r="F122" s="51" t="n"/>
      <c r="G122" s="47" t="n"/>
      <c r="H122" s="51" t="n"/>
      <c r="I122" s="51" t="n"/>
      <c r="J122" s="51" t="n"/>
      <c r="K122" s="51" t="n"/>
      <c r="L122" s="51" t="n"/>
      <c r="N122" s="51" t="n"/>
      <c r="Q122" s="51" t="n"/>
      <c r="S122" s="51" t="n"/>
      <c r="T122" s="51" t="n"/>
      <c r="U122" s="51" t="inlineStr"/>
      <c r="V122" s="55" t="n"/>
      <c r="W122" s="51" t="inlineStr"/>
      <c r="X122" s="51" t="inlineStr"/>
      <c r="Y122" s="51" t="n"/>
      <c r="AB122" s="57" t="n"/>
      <c r="AC122" s="90" t="n"/>
      <c r="AD122" s="90" t="n"/>
      <c r="AE122" s="88" t="n"/>
      <c r="AF122" s="91" t="n"/>
      <c r="AG122" s="91" t="n"/>
      <c r="AH122" s="88" t="n"/>
      <c r="AI122" s="88" t="n"/>
      <c r="AJ122" s="90" t="n"/>
      <c r="AK122" s="88" t="n"/>
      <c r="AL122" s="91" t="n"/>
      <c r="AM122" s="88" t="n"/>
      <c r="AN122" s="95" t="n"/>
      <c r="AO122" s="90" t="n"/>
      <c r="AP122" s="90" t="n"/>
    </row>
    <row r="123" ht="14.25" customHeight="1" s="84">
      <c r="A123" s="51" t="n"/>
      <c r="B123" s="47" t="n"/>
      <c r="C123" s="51" t="n"/>
      <c r="D123" s="51" t="n"/>
      <c r="E123" s="51" t="n"/>
      <c r="F123" s="51" t="n"/>
      <c r="G123" s="47" t="n"/>
      <c r="H123" s="51" t="n"/>
      <c r="I123" s="51" t="n"/>
      <c r="J123" s="51" t="n"/>
      <c r="K123" s="51" t="n"/>
      <c r="L123" s="51" t="n"/>
      <c r="N123" s="51" t="n"/>
      <c r="Q123" s="51" t="n"/>
      <c r="S123" s="51" t="n"/>
      <c r="T123" s="51" t="n"/>
      <c r="U123" s="51" t="inlineStr"/>
      <c r="V123" s="55" t="n"/>
      <c r="W123" s="51" t="inlineStr"/>
      <c r="X123" s="51" t="inlineStr"/>
      <c r="Y123" s="51" t="n"/>
      <c r="AB123" s="57" t="n"/>
      <c r="AC123" s="90" t="n"/>
      <c r="AD123" s="90" t="n"/>
      <c r="AE123" s="88" t="n"/>
      <c r="AF123" s="91" t="n"/>
      <c r="AG123" s="91" t="n"/>
      <c r="AH123" s="88" t="n"/>
      <c r="AI123" s="88" t="n"/>
      <c r="AJ123" s="90" t="n"/>
      <c r="AK123" s="88" t="n"/>
      <c r="AL123" s="91" t="n"/>
      <c r="AM123" s="88" t="n"/>
      <c r="AN123" s="95" t="n"/>
      <c r="AO123" s="90" t="n"/>
      <c r="AP123" s="90" t="n"/>
    </row>
    <row r="124" ht="14.25" customHeight="1" s="84">
      <c r="A124" s="51" t="n"/>
      <c r="B124" s="47" t="n"/>
      <c r="C124" s="51" t="n"/>
      <c r="D124" s="51" t="n"/>
      <c r="E124" s="51" t="n"/>
      <c r="F124" s="51" t="n"/>
      <c r="G124" s="47" t="n"/>
      <c r="H124" s="51" t="n"/>
      <c r="I124" s="51" t="n"/>
      <c r="J124" s="51" t="n"/>
      <c r="K124" s="51" t="n"/>
      <c r="L124" s="51" t="n"/>
      <c r="N124" s="51" t="n"/>
      <c r="Q124" s="51" t="n"/>
      <c r="S124" s="51" t="n"/>
      <c r="T124" s="51" t="n"/>
      <c r="U124" s="51" t="inlineStr"/>
      <c r="V124" s="55" t="n"/>
      <c r="W124" s="51" t="inlineStr"/>
      <c r="X124" s="51" t="inlineStr"/>
      <c r="Y124" s="51" t="n"/>
      <c r="AB124" s="57" t="n"/>
      <c r="AC124" s="90" t="n"/>
      <c r="AD124" s="90" t="n"/>
      <c r="AE124" s="88" t="n"/>
      <c r="AF124" s="91" t="n"/>
      <c r="AG124" s="91" t="n"/>
      <c r="AH124" s="88" t="n"/>
      <c r="AI124" s="88" t="n"/>
      <c r="AJ124" s="90" t="n"/>
      <c r="AK124" s="88" t="n"/>
      <c r="AL124" s="91" t="n"/>
      <c r="AM124" s="88" t="n"/>
      <c r="AN124" s="95" t="n"/>
      <c r="AO124" s="90" t="n"/>
      <c r="AP124" s="90" t="n"/>
    </row>
    <row r="125" ht="14.25" customHeight="1" s="84">
      <c r="A125" s="51" t="n"/>
      <c r="B125" s="47" t="n"/>
      <c r="C125" s="51" t="n"/>
      <c r="D125" s="51" t="n"/>
      <c r="E125" s="51" t="n"/>
      <c r="F125" s="51" t="n"/>
      <c r="G125" s="47" t="n"/>
      <c r="H125" s="51" t="n"/>
      <c r="I125" s="51" t="n"/>
      <c r="J125" s="51" t="n"/>
      <c r="K125" s="51" t="n"/>
      <c r="L125" s="51" t="n"/>
      <c r="N125" s="51" t="n"/>
      <c r="Q125" s="51" t="n"/>
      <c r="S125" s="51" t="n"/>
      <c r="T125" s="51" t="n"/>
      <c r="U125" s="51" t="inlineStr"/>
      <c r="V125" s="55" t="n"/>
      <c r="W125" s="51" t="inlineStr"/>
      <c r="X125" s="51" t="inlineStr"/>
      <c r="Y125" s="51" t="n"/>
      <c r="AB125" s="57" t="n"/>
      <c r="AC125" s="90" t="n"/>
      <c r="AD125" s="90" t="n"/>
      <c r="AE125" s="88" t="n"/>
      <c r="AF125" s="91" t="n"/>
      <c r="AG125" s="91" t="n"/>
      <c r="AH125" s="88" t="n"/>
      <c r="AI125" s="88" t="n"/>
      <c r="AJ125" s="90" t="n"/>
      <c r="AK125" s="88" t="n"/>
      <c r="AL125" s="91" t="n"/>
      <c r="AM125" s="88" t="n"/>
      <c r="AN125" s="95" t="n"/>
      <c r="AO125" s="90" t="n"/>
      <c r="AP125" s="90" t="n"/>
    </row>
    <row r="126" ht="14.25" customHeight="1" s="84">
      <c r="A126" s="51" t="n"/>
      <c r="B126" s="47" t="n"/>
      <c r="C126" s="51" t="n"/>
      <c r="D126" s="51" t="n"/>
      <c r="E126" s="51" t="n"/>
      <c r="F126" s="51" t="n"/>
      <c r="G126" s="47" t="n"/>
      <c r="H126" s="51" t="n"/>
      <c r="I126" s="51" t="n"/>
      <c r="J126" s="51" t="n"/>
      <c r="K126" s="51" t="n"/>
      <c r="L126" s="51" t="n"/>
      <c r="N126" s="51" t="n"/>
      <c r="Q126" s="51" t="n"/>
      <c r="S126" s="51" t="n"/>
      <c r="T126" s="51" t="n"/>
      <c r="U126" s="51" t="inlineStr"/>
      <c r="V126" s="55" t="n"/>
      <c r="W126" s="51" t="inlineStr"/>
      <c r="X126" s="51" t="inlineStr"/>
      <c r="Y126" s="51" t="n"/>
      <c r="AB126" s="57" t="n"/>
      <c r="AC126" s="90" t="n"/>
      <c r="AD126" s="90" t="n"/>
      <c r="AE126" s="88" t="n"/>
      <c r="AF126" s="91" t="n"/>
      <c r="AG126" s="91" t="n"/>
      <c r="AH126" s="88" t="n"/>
      <c r="AI126" s="88" t="n"/>
      <c r="AJ126" s="90" t="n"/>
      <c r="AK126" s="88" t="n"/>
      <c r="AL126" s="91" t="n"/>
      <c r="AM126" s="88" t="n"/>
      <c r="AN126" s="95" t="n"/>
      <c r="AO126" s="90" t="n"/>
      <c r="AP126" s="90" t="n"/>
    </row>
    <row r="127" ht="14.25" customHeight="1" s="84">
      <c r="A127" s="51" t="n"/>
      <c r="B127" s="47" t="n"/>
      <c r="C127" s="51" t="n"/>
      <c r="D127" s="51" t="n"/>
      <c r="E127" s="51" t="n"/>
      <c r="F127" s="51" t="n"/>
      <c r="G127" s="47" t="n"/>
      <c r="H127" s="51" t="n"/>
      <c r="I127" s="51" t="n"/>
      <c r="J127" s="51" t="n"/>
      <c r="K127" s="51" t="n"/>
      <c r="L127" s="51" t="n"/>
      <c r="N127" s="51" t="n"/>
      <c r="Q127" s="51" t="n"/>
      <c r="S127" s="51" t="n"/>
      <c r="T127" s="51" t="n"/>
      <c r="U127" s="51" t="inlineStr"/>
      <c r="V127" s="55" t="n"/>
      <c r="W127" s="51" t="inlineStr"/>
      <c r="X127" s="51" t="inlineStr"/>
      <c r="Y127" s="51" t="n"/>
      <c r="AB127" s="57" t="n"/>
      <c r="AC127" s="90" t="n"/>
      <c r="AD127" s="90" t="n"/>
      <c r="AE127" s="88" t="n"/>
      <c r="AF127" s="91" t="n"/>
      <c r="AG127" s="91" t="n"/>
      <c r="AH127" s="88" t="n"/>
      <c r="AI127" s="88" t="n"/>
      <c r="AJ127" s="90" t="n"/>
      <c r="AK127" s="88" t="n"/>
      <c r="AL127" s="91" t="n"/>
      <c r="AM127" s="88" t="n"/>
      <c r="AN127" s="95" t="n"/>
      <c r="AO127" s="90" t="n"/>
      <c r="AP127" s="90" t="n"/>
    </row>
    <row r="128" ht="14.25" customHeight="1" s="84">
      <c r="A128" s="51" t="n"/>
      <c r="B128" s="47" t="n"/>
      <c r="C128" s="51" t="n"/>
      <c r="D128" s="51" t="n"/>
      <c r="E128" s="51" t="n"/>
      <c r="F128" s="51" t="n"/>
      <c r="G128" s="47" t="n"/>
      <c r="H128" s="51" t="n"/>
      <c r="I128" s="51" t="n"/>
      <c r="J128" s="51" t="n"/>
      <c r="K128" s="51" t="n"/>
      <c r="L128" s="51" t="n"/>
      <c r="N128" s="51" t="n"/>
      <c r="Q128" s="51" t="n"/>
      <c r="S128" s="51" t="n"/>
      <c r="T128" s="51" t="n"/>
      <c r="U128" s="51" t="inlineStr"/>
      <c r="V128" s="55" t="n"/>
      <c r="W128" s="51" t="inlineStr"/>
      <c r="X128" s="51" t="inlineStr"/>
      <c r="Y128" s="51" t="n"/>
      <c r="AB128" s="57" t="n"/>
      <c r="AC128" s="90" t="n"/>
      <c r="AD128" s="90" t="n"/>
      <c r="AE128" s="88" t="n"/>
      <c r="AF128" s="91" t="n"/>
      <c r="AG128" s="91" t="n"/>
      <c r="AH128" s="88" t="n"/>
      <c r="AI128" s="88" t="n"/>
      <c r="AJ128" s="90" t="n"/>
      <c r="AK128" s="88" t="n"/>
      <c r="AL128" s="91" t="n"/>
      <c r="AM128" s="88" t="n"/>
      <c r="AN128" s="95" t="n"/>
      <c r="AO128" s="90" t="n"/>
      <c r="AP128" s="90" t="n"/>
    </row>
    <row r="129" ht="14.25" customHeight="1" s="84">
      <c r="A129" s="51" t="n"/>
      <c r="B129" s="47" t="n"/>
      <c r="C129" s="51" t="n"/>
      <c r="D129" s="51" t="n"/>
      <c r="E129" s="51" t="n"/>
      <c r="F129" s="51" t="n"/>
      <c r="G129" s="47" t="n"/>
      <c r="H129" s="51" t="n"/>
      <c r="I129" s="51" t="n"/>
      <c r="J129" s="51" t="n"/>
      <c r="K129" s="51" t="n"/>
      <c r="L129" s="51" t="n"/>
      <c r="N129" s="51" t="n"/>
      <c r="Q129" s="51" t="n"/>
      <c r="S129" s="51" t="n"/>
      <c r="T129" s="51" t="n"/>
      <c r="U129" s="51" t="inlineStr"/>
      <c r="V129" s="55" t="n"/>
      <c r="W129" s="51" t="inlineStr"/>
      <c r="X129" s="51" t="inlineStr"/>
      <c r="Y129" s="51" t="n"/>
      <c r="AB129" s="57" t="n"/>
      <c r="AC129" s="90" t="n"/>
      <c r="AD129" s="90" t="n"/>
      <c r="AE129" s="88" t="n"/>
      <c r="AF129" s="91" t="n"/>
      <c r="AG129" s="91" t="n"/>
      <c r="AH129" s="88" t="n"/>
      <c r="AI129" s="88" t="n"/>
      <c r="AJ129" s="90" t="n"/>
      <c r="AK129" s="88" t="n"/>
      <c r="AL129" s="91" t="n"/>
      <c r="AM129" s="88" t="n"/>
      <c r="AN129" s="95" t="n"/>
      <c r="AO129" s="90" t="n"/>
      <c r="AP129" s="90" t="n"/>
    </row>
    <row r="130" ht="14.25" customHeight="1" s="84">
      <c r="A130" s="51" t="n"/>
      <c r="B130" s="47" t="n"/>
      <c r="C130" s="51" t="n"/>
      <c r="D130" s="51" t="n"/>
      <c r="E130" s="51" t="n"/>
      <c r="F130" s="51" t="n"/>
      <c r="G130" s="47" t="n"/>
      <c r="H130" s="51" t="n"/>
      <c r="I130" s="51" t="n"/>
      <c r="J130" s="51" t="n"/>
      <c r="K130" s="51" t="n"/>
      <c r="L130" s="51" t="n"/>
      <c r="N130" s="51" t="n"/>
      <c r="Q130" s="51" t="n"/>
      <c r="S130" s="51" t="n"/>
      <c r="T130" s="51" t="n"/>
      <c r="U130" s="51" t="inlineStr"/>
      <c r="V130" s="55" t="n"/>
      <c r="W130" s="51" t="inlineStr"/>
      <c r="X130" s="51" t="inlineStr"/>
      <c r="Y130" s="51" t="n"/>
      <c r="AB130" s="57" t="n"/>
      <c r="AC130" s="90" t="n"/>
      <c r="AD130" s="90" t="n"/>
      <c r="AE130" s="88" t="n"/>
      <c r="AF130" s="91" t="n"/>
      <c r="AG130" s="91" t="n"/>
      <c r="AH130" s="88" t="n"/>
      <c r="AI130" s="88" t="n"/>
      <c r="AJ130" s="90" t="n"/>
      <c r="AK130" s="88" t="n"/>
      <c r="AL130" s="91" t="n"/>
      <c r="AM130" s="88" t="n"/>
      <c r="AN130" s="95" t="n"/>
      <c r="AO130" s="90" t="n"/>
      <c r="AP130" s="90" t="n"/>
    </row>
    <row r="131" ht="14.25" customHeight="1" s="84">
      <c r="A131" s="51" t="n"/>
      <c r="B131" s="47" t="n"/>
      <c r="C131" s="51" t="n"/>
      <c r="D131" s="51" t="n"/>
      <c r="E131" s="51" t="n"/>
      <c r="F131" s="51" t="n"/>
      <c r="G131" s="47" t="n"/>
      <c r="H131" s="51" t="n"/>
      <c r="I131" s="51" t="n"/>
      <c r="J131" s="51" t="n"/>
      <c r="K131" s="51" t="n"/>
      <c r="L131" s="51" t="n"/>
      <c r="N131" s="51" t="n"/>
      <c r="Q131" s="51" t="n"/>
      <c r="S131" s="51" t="n"/>
      <c r="T131" s="51" t="n"/>
      <c r="U131" s="51" t="inlineStr"/>
      <c r="V131" s="55" t="n"/>
      <c r="W131" s="51" t="inlineStr"/>
      <c r="X131" s="51" t="inlineStr"/>
      <c r="Y131" s="51" t="n"/>
      <c r="AB131" s="57" t="n"/>
      <c r="AC131" s="90" t="n"/>
      <c r="AD131" s="90" t="n"/>
      <c r="AE131" s="88" t="n"/>
      <c r="AF131" s="91" t="n"/>
      <c r="AG131" s="91" t="n"/>
      <c r="AH131" s="88" t="n"/>
      <c r="AI131" s="88" t="n"/>
      <c r="AJ131" s="90" t="n"/>
      <c r="AK131" s="88" t="n"/>
      <c r="AL131" s="91" t="n"/>
      <c r="AM131" s="88" t="n"/>
      <c r="AN131" s="95" t="n"/>
      <c r="AO131" s="90" t="n"/>
      <c r="AP131" s="90" t="n"/>
    </row>
    <row r="132" ht="14.25" customHeight="1" s="84">
      <c r="A132" s="51" t="n"/>
      <c r="B132" s="47" t="n"/>
      <c r="C132" s="51" t="n"/>
      <c r="D132" s="51" t="n"/>
      <c r="E132" s="51" t="n"/>
      <c r="F132" s="51" t="n"/>
      <c r="G132" s="47" t="n"/>
      <c r="H132" s="51" t="n"/>
      <c r="I132" s="51" t="n"/>
      <c r="J132" s="51" t="n"/>
      <c r="K132" s="51" t="n"/>
      <c r="L132" s="51" t="n"/>
      <c r="N132" s="51" t="n"/>
      <c r="Q132" s="51" t="n"/>
      <c r="S132" s="51" t="n"/>
      <c r="T132" s="51" t="n"/>
      <c r="U132" s="51" t="inlineStr"/>
      <c r="V132" s="55" t="n"/>
      <c r="W132" s="51" t="inlineStr"/>
      <c r="X132" s="51" t="inlineStr"/>
      <c r="Y132" s="51" t="n"/>
      <c r="AB132" s="57" t="n"/>
      <c r="AC132" s="90" t="n"/>
      <c r="AD132" s="90" t="n"/>
      <c r="AE132" s="88" t="n"/>
      <c r="AF132" s="91" t="n"/>
      <c r="AG132" s="91" t="n"/>
      <c r="AH132" s="88" t="n"/>
      <c r="AI132" s="88" t="n"/>
      <c r="AJ132" s="90" t="n"/>
      <c r="AK132" s="88" t="n"/>
      <c r="AL132" s="91" t="n"/>
      <c r="AM132" s="88" t="n"/>
      <c r="AN132" s="95" t="n"/>
      <c r="AO132" s="90" t="n"/>
      <c r="AP132" s="90" t="n"/>
    </row>
    <row r="133" ht="14.25" customHeight="1" s="84">
      <c r="A133" s="51" t="n"/>
      <c r="B133" s="47" t="n"/>
      <c r="C133" s="51" t="n"/>
      <c r="D133" s="51" t="n"/>
      <c r="E133" s="51" t="n"/>
      <c r="F133" s="51" t="n"/>
      <c r="G133" s="47" t="n"/>
      <c r="H133" s="51" t="n"/>
      <c r="I133" s="51" t="n"/>
      <c r="J133" s="51" t="n"/>
      <c r="K133" s="51" t="n"/>
      <c r="L133" s="51" t="n"/>
      <c r="N133" s="51" t="n"/>
      <c r="Q133" s="51" t="n"/>
      <c r="S133" s="51" t="n"/>
      <c r="T133" s="51" t="n"/>
      <c r="U133" s="51" t="inlineStr"/>
      <c r="V133" s="55" t="n"/>
      <c r="W133" s="51" t="inlineStr"/>
      <c r="X133" s="51" t="inlineStr"/>
      <c r="Y133" s="51" t="n"/>
      <c r="AB133" s="57" t="n"/>
      <c r="AC133" s="90" t="n"/>
      <c r="AD133" s="90" t="n"/>
      <c r="AE133" s="88" t="n"/>
      <c r="AF133" s="91" t="n"/>
      <c r="AG133" s="91" t="n"/>
      <c r="AH133" s="88" t="n"/>
      <c r="AI133" s="88" t="n"/>
      <c r="AJ133" s="90" t="n"/>
      <c r="AK133" s="88" t="n"/>
      <c r="AL133" s="91" t="n"/>
      <c r="AM133" s="88" t="n"/>
      <c r="AN133" s="95" t="n"/>
      <c r="AO133" s="90" t="n"/>
      <c r="AP133" s="90" t="n"/>
    </row>
    <row r="134" ht="14.25" customHeight="1" s="84">
      <c r="A134" s="51" t="n"/>
      <c r="B134" s="47" t="n"/>
      <c r="C134" s="51" t="n"/>
      <c r="D134" s="51" t="n"/>
      <c r="E134" s="51" t="n"/>
      <c r="F134" s="51" t="n"/>
      <c r="G134" s="47" t="n"/>
      <c r="H134" s="51" t="n"/>
      <c r="I134" s="51" t="n"/>
      <c r="J134" s="51" t="n"/>
      <c r="K134" s="51" t="n"/>
      <c r="L134" s="51" t="n"/>
      <c r="N134" s="51" t="n"/>
      <c r="Q134" s="51" t="n"/>
      <c r="S134" s="51" t="n"/>
      <c r="T134" s="51" t="n"/>
      <c r="U134" s="51" t="inlineStr"/>
      <c r="V134" s="55" t="n"/>
      <c r="W134" s="51" t="inlineStr"/>
      <c r="X134" s="51" t="inlineStr"/>
      <c r="Y134" s="51" t="n"/>
      <c r="AB134" s="57" t="n"/>
      <c r="AC134" s="90" t="n"/>
      <c r="AD134" s="90" t="n"/>
      <c r="AE134" s="88" t="n"/>
      <c r="AF134" s="91" t="n"/>
      <c r="AG134" s="91" t="n"/>
      <c r="AH134" s="88" t="n"/>
      <c r="AI134" s="88" t="n"/>
      <c r="AJ134" s="90" t="n"/>
      <c r="AK134" s="88" t="n"/>
      <c r="AL134" s="91" t="n"/>
      <c r="AM134" s="88" t="n"/>
      <c r="AN134" s="95" t="n"/>
      <c r="AO134" s="90" t="n"/>
      <c r="AP134" s="90" t="n"/>
    </row>
    <row r="135" ht="14.25" customHeight="1" s="84">
      <c r="A135" s="51" t="n"/>
      <c r="B135" s="47" t="n"/>
      <c r="C135" s="51" t="n"/>
      <c r="D135" s="51" t="n"/>
      <c r="E135" s="51" t="n"/>
      <c r="F135" s="51" t="n"/>
      <c r="G135" s="47" t="n"/>
      <c r="H135" s="51" t="n"/>
      <c r="I135" s="51" t="n"/>
      <c r="J135" s="51" t="n"/>
      <c r="K135" s="51" t="n"/>
      <c r="L135" s="51" t="n"/>
      <c r="N135" s="51" t="n"/>
      <c r="Q135" s="51" t="n"/>
      <c r="S135" s="51" t="n"/>
      <c r="T135" s="51" t="n"/>
      <c r="U135" s="51" t="inlineStr"/>
      <c r="V135" s="55" t="n"/>
      <c r="W135" s="51" t="inlineStr"/>
      <c r="X135" s="51" t="inlineStr"/>
      <c r="Y135" s="51" t="n"/>
      <c r="AB135" s="57" t="n"/>
      <c r="AC135" s="90" t="n"/>
      <c r="AD135" s="90" t="n"/>
      <c r="AE135" s="88" t="n"/>
      <c r="AF135" s="91" t="n"/>
      <c r="AG135" s="91" t="n"/>
      <c r="AH135" s="88" t="n"/>
      <c r="AI135" s="88" t="n"/>
      <c r="AJ135" s="90" t="n"/>
      <c r="AK135" s="88" t="n"/>
      <c r="AL135" s="91" t="n"/>
      <c r="AM135" s="88" t="n"/>
      <c r="AN135" s="95" t="n"/>
      <c r="AO135" s="90" t="n"/>
      <c r="AP135" s="90" t="n"/>
    </row>
    <row r="136" ht="14.25" customHeight="1" s="84">
      <c r="A136" s="51" t="n"/>
      <c r="B136" s="47" t="n"/>
      <c r="C136" s="51" t="n"/>
      <c r="D136" s="51" t="n"/>
      <c r="E136" s="51" t="n"/>
      <c r="F136" s="51" t="n"/>
      <c r="G136" s="47" t="n"/>
      <c r="H136" s="51" t="n"/>
      <c r="I136" s="51" t="n"/>
      <c r="J136" s="51" t="n"/>
      <c r="K136" s="51" t="n"/>
      <c r="L136" s="51" t="n"/>
      <c r="N136" s="51" t="n"/>
      <c r="Q136" s="51" t="n"/>
      <c r="S136" s="51" t="n"/>
      <c r="T136" s="51" t="n"/>
      <c r="U136" s="51" t="inlineStr"/>
      <c r="V136" s="55" t="n"/>
      <c r="W136" s="51" t="inlineStr"/>
      <c r="X136" s="51" t="inlineStr"/>
      <c r="Y136" s="51" t="n"/>
      <c r="AB136" s="57" t="n"/>
      <c r="AC136" s="90" t="n"/>
      <c r="AD136" s="90" t="n"/>
      <c r="AE136" s="88" t="n"/>
      <c r="AF136" s="91" t="n"/>
      <c r="AG136" s="91" t="n"/>
      <c r="AH136" s="88" t="n"/>
      <c r="AI136" s="88" t="n"/>
      <c r="AJ136" s="90" t="n"/>
      <c r="AK136" s="88" t="n"/>
      <c r="AL136" s="91" t="n"/>
      <c r="AM136" s="88" t="n"/>
      <c r="AN136" s="95" t="n"/>
      <c r="AO136" s="90" t="n"/>
      <c r="AP136" s="90" t="n"/>
    </row>
    <row r="137" ht="14.25" customHeight="1" s="84">
      <c r="A137" s="51" t="n"/>
      <c r="B137" s="47" t="n"/>
      <c r="C137" s="51" t="n"/>
      <c r="D137" s="51" t="n"/>
      <c r="E137" s="51" t="n"/>
      <c r="F137" s="51" t="n"/>
      <c r="G137" s="47" t="n"/>
      <c r="H137" s="51" t="n"/>
      <c r="I137" s="51" t="n"/>
      <c r="J137" s="51" t="n"/>
      <c r="K137" s="51" t="n"/>
      <c r="L137" s="51" t="n"/>
      <c r="N137" s="51" t="n"/>
      <c r="Q137" s="51" t="n"/>
      <c r="S137" s="51" t="n"/>
      <c r="T137" s="51" t="n"/>
      <c r="U137" s="51" t="inlineStr"/>
      <c r="V137" s="55" t="n"/>
      <c r="W137" s="51" t="inlineStr"/>
      <c r="X137" s="51" t="inlineStr"/>
      <c r="Y137" s="51" t="n"/>
      <c r="AB137" s="57" t="n"/>
      <c r="AC137" s="90" t="n"/>
      <c r="AD137" s="90" t="n"/>
      <c r="AE137" s="88" t="n"/>
      <c r="AF137" s="91" t="n"/>
      <c r="AG137" s="91" t="n"/>
      <c r="AH137" s="88" t="n"/>
      <c r="AI137" s="88" t="n"/>
      <c r="AJ137" s="90" t="n"/>
      <c r="AK137" s="88" t="n"/>
      <c r="AL137" s="91" t="n"/>
      <c r="AM137" s="88" t="n"/>
      <c r="AN137" s="95" t="n"/>
      <c r="AO137" s="90" t="n"/>
      <c r="AP137" s="90" t="n"/>
    </row>
    <row r="138" ht="14.25" customHeight="1" s="84">
      <c r="A138" s="51" t="n"/>
      <c r="B138" s="47" t="n"/>
      <c r="C138" s="51" t="n"/>
      <c r="D138" s="51" t="n"/>
      <c r="E138" s="51" t="n"/>
      <c r="F138" s="51" t="n"/>
      <c r="G138" s="47" t="n"/>
      <c r="H138" s="51" t="n"/>
      <c r="I138" s="51" t="n"/>
      <c r="J138" s="51" t="n"/>
      <c r="K138" s="51" t="n"/>
      <c r="L138" s="51" t="n"/>
      <c r="N138" s="51" t="n"/>
      <c r="Q138" s="51" t="n"/>
      <c r="S138" s="51" t="n"/>
      <c r="T138" s="51" t="n"/>
      <c r="U138" s="51" t="inlineStr"/>
      <c r="V138" s="55" t="n"/>
      <c r="W138" s="51" t="inlineStr"/>
      <c r="X138" s="51" t="inlineStr"/>
      <c r="Y138" s="51" t="n"/>
      <c r="AB138" s="57" t="n"/>
      <c r="AC138" s="90" t="n"/>
      <c r="AD138" s="90" t="n"/>
      <c r="AE138" s="88" t="n"/>
      <c r="AF138" s="91" t="n"/>
      <c r="AG138" s="91" t="n"/>
      <c r="AH138" s="88" t="n"/>
      <c r="AI138" s="88" t="n"/>
      <c r="AJ138" s="90" t="n"/>
      <c r="AK138" s="88" t="n"/>
      <c r="AL138" s="91" t="n"/>
      <c r="AM138" s="88" t="n"/>
      <c r="AN138" s="95" t="n"/>
      <c r="AO138" s="90" t="n"/>
      <c r="AP138" s="90" t="n"/>
    </row>
    <row r="139" ht="14.25" customHeight="1" s="84">
      <c r="A139" s="51" t="n"/>
      <c r="B139" s="47" t="n"/>
      <c r="C139" s="51" t="n"/>
      <c r="D139" s="51" t="n"/>
      <c r="E139" s="51" t="n"/>
      <c r="F139" s="51" t="n"/>
      <c r="G139" s="47" t="n"/>
      <c r="H139" s="51" t="n"/>
      <c r="I139" s="51" t="n"/>
      <c r="J139" s="51" t="n"/>
      <c r="K139" s="51" t="n"/>
      <c r="L139" s="51" t="n"/>
      <c r="N139" s="51" t="n"/>
      <c r="Q139" s="51" t="n"/>
      <c r="S139" s="51" t="n"/>
      <c r="T139" s="51" t="n"/>
      <c r="U139" s="51" t="inlineStr"/>
      <c r="V139" s="55" t="n"/>
      <c r="W139" s="51" t="inlineStr"/>
      <c r="X139" s="51" t="inlineStr"/>
      <c r="Y139" s="51" t="n"/>
      <c r="AB139" s="57" t="n"/>
      <c r="AC139" s="90" t="n"/>
      <c r="AD139" s="90" t="n"/>
      <c r="AE139" s="88" t="n"/>
      <c r="AF139" s="91" t="n"/>
      <c r="AG139" s="91" t="n"/>
      <c r="AH139" s="88" t="n"/>
      <c r="AI139" s="88" t="n"/>
      <c r="AJ139" s="90" t="n"/>
      <c r="AK139" s="88" t="n"/>
      <c r="AL139" s="91" t="n"/>
      <c r="AM139" s="88" t="n"/>
      <c r="AN139" s="95" t="n"/>
      <c r="AO139" s="90" t="n"/>
      <c r="AP139" s="90" t="n"/>
    </row>
    <row r="140" ht="14.25" customHeight="1" s="84">
      <c r="A140" s="51" t="n"/>
      <c r="B140" s="47" t="n"/>
      <c r="C140" s="51" t="n"/>
      <c r="D140" s="51" t="n"/>
      <c r="E140" s="51" t="n"/>
      <c r="F140" s="51" t="n"/>
      <c r="G140" s="47" t="n"/>
      <c r="H140" s="51" t="n"/>
      <c r="I140" s="51" t="n"/>
      <c r="J140" s="51" t="n"/>
      <c r="K140" s="51" t="n"/>
      <c r="L140" s="51" t="n"/>
      <c r="N140" s="51" t="n"/>
      <c r="Q140" s="51" t="n"/>
      <c r="S140" s="51" t="n"/>
      <c r="T140" s="51" t="n"/>
      <c r="U140" s="51" t="inlineStr"/>
      <c r="V140" s="55" t="n"/>
      <c r="W140" s="51" t="inlineStr"/>
      <c r="X140" s="51" t="inlineStr"/>
      <c r="Y140" s="51" t="n"/>
      <c r="AB140" s="57" t="n"/>
      <c r="AC140" s="90" t="n"/>
      <c r="AD140" s="90" t="n"/>
      <c r="AE140" s="88" t="n"/>
      <c r="AF140" s="91" t="n"/>
      <c r="AG140" s="91" t="n"/>
      <c r="AH140" s="88" t="n"/>
      <c r="AI140" s="88" t="n"/>
      <c r="AJ140" s="90" t="n"/>
      <c r="AK140" s="88" t="n"/>
      <c r="AL140" s="91" t="n"/>
      <c r="AM140" s="88" t="n"/>
      <c r="AN140" s="95" t="n"/>
      <c r="AO140" s="90" t="n"/>
      <c r="AP140" s="90" t="n"/>
    </row>
    <row r="141" ht="14.25" customHeight="1" s="84">
      <c r="A141" s="51" t="n"/>
      <c r="B141" s="47" t="n"/>
      <c r="C141" s="51" t="n"/>
      <c r="D141" s="51" t="n"/>
      <c r="E141" s="51" t="n"/>
      <c r="F141" s="51" t="n"/>
      <c r="G141" s="47" t="n"/>
      <c r="H141" s="51" t="n"/>
      <c r="I141" s="51" t="n"/>
      <c r="J141" s="51" t="n"/>
      <c r="K141" s="51" t="n"/>
      <c r="L141" s="51" t="n"/>
      <c r="N141" s="51" t="n"/>
      <c r="Q141" s="51" t="n"/>
      <c r="S141" s="51" t="n"/>
      <c r="T141" s="51" t="n"/>
      <c r="U141" s="51" t="inlineStr"/>
      <c r="V141" s="55" t="n"/>
      <c r="W141" s="51" t="inlineStr"/>
      <c r="X141" s="51" t="inlineStr"/>
      <c r="Y141" s="51" t="n"/>
      <c r="AB141" s="57" t="n"/>
      <c r="AC141" s="90" t="n"/>
      <c r="AD141" s="90" t="n"/>
      <c r="AE141" s="88" t="n"/>
      <c r="AF141" s="91" t="n"/>
      <c r="AG141" s="91" t="n"/>
      <c r="AH141" s="88" t="n"/>
      <c r="AI141" s="88" t="n"/>
      <c r="AJ141" s="90" t="n"/>
      <c r="AK141" s="88" t="n"/>
      <c r="AL141" s="91" t="n"/>
      <c r="AM141" s="88" t="n"/>
      <c r="AN141" s="95" t="n"/>
      <c r="AO141" s="90" t="n"/>
      <c r="AP141" s="90" t="n"/>
    </row>
    <row r="142" ht="14.25" customHeight="1" s="84">
      <c r="A142" s="51" t="n"/>
      <c r="B142" s="47" t="n"/>
      <c r="C142" s="51" t="n"/>
      <c r="D142" s="51" t="n"/>
      <c r="E142" s="51" t="n"/>
      <c r="F142" s="51" t="n"/>
      <c r="G142" s="47" t="n"/>
      <c r="H142" s="51" t="n"/>
      <c r="I142" s="51" t="n"/>
      <c r="J142" s="51" t="n"/>
      <c r="K142" s="51" t="n"/>
      <c r="L142" s="51" t="n"/>
      <c r="N142" s="51" t="n"/>
      <c r="Q142" s="51" t="n"/>
      <c r="S142" s="51" t="n"/>
      <c r="T142" s="51" t="n"/>
      <c r="U142" s="51" t="inlineStr"/>
      <c r="V142" s="55" t="n"/>
      <c r="W142" s="51" t="inlineStr"/>
      <c r="X142" s="51" t="inlineStr"/>
      <c r="Y142" s="51" t="n"/>
      <c r="AB142" s="57" t="n"/>
      <c r="AC142" s="90" t="n"/>
      <c r="AD142" s="90" t="n"/>
      <c r="AE142" s="88" t="n"/>
      <c r="AF142" s="91" t="n"/>
      <c r="AG142" s="91" t="n"/>
      <c r="AH142" s="88" t="n"/>
      <c r="AI142" s="88" t="n"/>
      <c r="AJ142" s="90" t="n"/>
      <c r="AK142" s="88" t="n"/>
      <c r="AL142" s="91" t="n"/>
      <c r="AM142" s="88" t="n"/>
      <c r="AN142" s="95" t="n"/>
      <c r="AO142" s="90" t="n"/>
      <c r="AP142" s="90" t="n"/>
    </row>
    <row r="143" ht="14.25" customHeight="1" s="84">
      <c r="A143" s="51" t="n"/>
      <c r="B143" s="47" t="n"/>
      <c r="C143" s="51" t="n"/>
      <c r="D143" s="51" t="n"/>
      <c r="E143" s="51" t="n"/>
      <c r="F143" s="51" t="n"/>
      <c r="G143" s="47" t="n"/>
      <c r="H143" s="51" t="n"/>
      <c r="I143" s="51" t="n"/>
      <c r="J143" s="51" t="n"/>
      <c r="K143" s="51" t="n"/>
      <c r="L143" s="51" t="n"/>
      <c r="N143" s="51" t="n"/>
      <c r="Q143" s="51" t="n"/>
      <c r="S143" s="51" t="n"/>
      <c r="T143" s="51" t="n"/>
      <c r="U143" s="51" t="inlineStr"/>
      <c r="V143" s="55" t="n"/>
      <c r="W143" s="51" t="inlineStr"/>
      <c r="X143" s="51" t="inlineStr"/>
      <c r="Y143" s="51" t="n"/>
      <c r="AB143" s="57" t="n"/>
      <c r="AC143" s="90" t="n"/>
      <c r="AD143" s="90" t="n"/>
      <c r="AE143" s="88" t="n"/>
      <c r="AF143" s="91" t="n"/>
      <c r="AG143" s="91" t="n"/>
      <c r="AH143" s="88" t="n"/>
      <c r="AI143" s="88" t="n"/>
      <c r="AJ143" s="90" t="n"/>
      <c r="AK143" s="88" t="n"/>
      <c r="AL143" s="91" t="n"/>
      <c r="AM143" s="88" t="n"/>
      <c r="AN143" s="95" t="n"/>
      <c r="AO143" s="90" t="n"/>
      <c r="AP143" s="90" t="n"/>
    </row>
    <row r="144" ht="14.25" customHeight="1" s="84">
      <c r="A144" s="51" t="n"/>
      <c r="B144" s="47" t="n"/>
      <c r="C144" s="51" t="n"/>
      <c r="D144" s="51" t="n"/>
      <c r="E144" s="51" t="n"/>
      <c r="F144" s="51" t="n"/>
      <c r="G144" s="47" t="n"/>
      <c r="H144" s="51" t="n"/>
      <c r="I144" s="51" t="n"/>
      <c r="J144" s="51" t="n"/>
      <c r="K144" s="51" t="n"/>
      <c r="L144" s="51" t="n"/>
      <c r="N144" s="51" t="n"/>
      <c r="Q144" s="51" t="n"/>
      <c r="S144" s="51" t="n"/>
      <c r="T144" s="51" t="n"/>
      <c r="U144" s="51" t="inlineStr"/>
      <c r="V144" s="55" t="n"/>
      <c r="W144" s="51" t="inlineStr"/>
      <c r="X144" s="51" t="inlineStr"/>
      <c r="Y144" s="51" t="n"/>
      <c r="AB144" s="57" t="n"/>
      <c r="AC144" s="90" t="n"/>
      <c r="AD144" s="90" t="n"/>
      <c r="AE144" s="88" t="n"/>
      <c r="AF144" s="91" t="n"/>
      <c r="AG144" s="91" t="n"/>
      <c r="AH144" s="88" t="n"/>
      <c r="AI144" s="88" t="n"/>
      <c r="AJ144" s="90" t="n"/>
      <c r="AK144" s="88" t="n"/>
      <c r="AL144" s="91" t="n"/>
      <c r="AM144" s="88" t="n"/>
      <c r="AN144" s="95" t="n"/>
      <c r="AO144" s="90" t="n"/>
      <c r="AP144" s="90" t="n"/>
    </row>
    <row r="145" ht="14.25" customHeight="1" s="84">
      <c r="A145" s="51" t="n"/>
      <c r="B145" s="47" t="n"/>
      <c r="C145" s="51" t="n"/>
      <c r="D145" s="51" t="n"/>
      <c r="E145" s="51" t="n"/>
      <c r="F145" s="51" t="n"/>
      <c r="G145" s="47" t="n"/>
      <c r="H145" s="51" t="n"/>
      <c r="I145" s="51" t="n"/>
      <c r="J145" s="51" t="n"/>
      <c r="K145" s="51" t="n"/>
      <c r="L145" s="51" t="n"/>
      <c r="N145" s="51" t="n"/>
      <c r="Q145" s="51" t="n"/>
      <c r="S145" s="51" t="n"/>
      <c r="T145" s="51" t="n"/>
      <c r="U145" s="51" t="inlineStr"/>
      <c r="V145" s="55" t="n"/>
      <c r="W145" s="51" t="inlineStr"/>
      <c r="X145" s="51" t="inlineStr"/>
      <c r="Y145" s="51" t="n"/>
      <c r="AB145" s="57" t="n"/>
      <c r="AC145" s="90" t="n"/>
      <c r="AD145" s="90" t="n"/>
      <c r="AE145" s="88" t="n"/>
      <c r="AF145" s="91" t="n"/>
      <c r="AG145" s="91" t="n"/>
      <c r="AH145" s="88" t="n"/>
      <c r="AI145" s="88" t="n"/>
      <c r="AJ145" s="90" t="n"/>
      <c r="AK145" s="88" t="n"/>
      <c r="AL145" s="91" t="n"/>
      <c r="AM145" s="88" t="n"/>
      <c r="AN145" s="95" t="n"/>
      <c r="AO145" s="90" t="n"/>
      <c r="AP145" s="90" t="n"/>
    </row>
    <row r="146" ht="14.25" customHeight="1" s="84">
      <c r="A146" s="51" t="n"/>
      <c r="B146" s="47" t="n"/>
      <c r="C146" s="51" t="n"/>
      <c r="D146" s="51" t="n"/>
      <c r="E146" s="51" t="n"/>
      <c r="F146" s="51" t="n"/>
      <c r="G146" s="47" t="n"/>
      <c r="H146" s="51" t="n"/>
      <c r="I146" s="51" t="n"/>
      <c r="J146" s="51" t="n"/>
      <c r="K146" s="51" t="n"/>
      <c r="L146" s="51" t="n"/>
      <c r="N146" s="51" t="n"/>
      <c r="Q146" s="51" t="n"/>
      <c r="S146" s="51" t="n"/>
      <c r="T146" s="51" t="n"/>
      <c r="U146" s="51" t="inlineStr"/>
      <c r="V146" s="55" t="n"/>
      <c r="W146" s="51" t="inlineStr"/>
      <c r="X146" s="51" t="inlineStr"/>
      <c r="Y146" s="51" t="n"/>
      <c r="AB146" s="57" t="n"/>
      <c r="AC146" s="90" t="n"/>
      <c r="AD146" s="90" t="n"/>
      <c r="AE146" s="88" t="n"/>
      <c r="AF146" s="91" t="n"/>
      <c r="AG146" s="91" t="n"/>
      <c r="AH146" s="88" t="n"/>
      <c r="AI146" s="88" t="n"/>
      <c r="AJ146" s="90" t="n"/>
      <c r="AK146" s="88" t="n"/>
      <c r="AL146" s="91" t="n"/>
      <c r="AM146" s="88" t="n"/>
      <c r="AN146" s="95" t="n"/>
      <c r="AO146" s="90" t="n"/>
      <c r="AP146" s="90" t="n"/>
    </row>
    <row r="147" ht="14.25" customHeight="1" s="84">
      <c r="A147" s="51" t="n"/>
      <c r="B147" s="47" t="n"/>
      <c r="C147" s="51" t="n"/>
      <c r="D147" s="51" t="n"/>
      <c r="E147" s="51" t="n"/>
      <c r="F147" s="51" t="n"/>
      <c r="G147" s="47" t="n"/>
      <c r="H147" s="51" t="n"/>
      <c r="I147" s="51" t="n"/>
      <c r="J147" s="51" t="n"/>
      <c r="K147" s="51" t="n"/>
      <c r="L147" s="51" t="n"/>
      <c r="N147" s="51" t="n"/>
      <c r="Q147" s="51" t="n"/>
      <c r="S147" s="51" t="n"/>
      <c r="T147" s="51" t="n"/>
      <c r="U147" s="51" t="inlineStr"/>
      <c r="V147" s="55" t="n"/>
      <c r="W147" s="51" t="inlineStr"/>
      <c r="X147" s="51" t="inlineStr"/>
      <c r="Y147" s="51" t="n"/>
      <c r="AB147" s="57" t="n"/>
      <c r="AC147" s="90" t="n"/>
      <c r="AD147" s="90" t="n"/>
      <c r="AE147" s="88" t="n"/>
      <c r="AF147" s="91" t="n"/>
      <c r="AG147" s="91" t="n"/>
      <c r="AH147" s="88" t="n"/>
      <c r="AI147" s="88" t="n"/>
      <c r="AJ147" s="90" t="n"/>
      <c r="AK147" s="88" t="n"/>
      <c r="AL147" s="91" t="n"/>
      <c r="AM147" s="88" t="n"/>
      <c r="AN147" s="95" t="n"/>
      <c r="AO147" s="90" t="n"/>
      <c r="AP147" s="90" t="n"/>
    </row>
    <row r="148" ht="14.25" customHeight="1" s="84">
      <c r="A148" s="51" t="n"/>
      <c r="B148" s="47" t="n"/>
      <c r="C148" s="51" t="n"/>
      <c r="D148" s="51" t="n"/>
      <c r="E148" s="51" t="n"/>
      <c r="F148" s="51" t="n"/>
      <c r="G148" s="47" t="n"/>
      <c r="H148" s="51" t="n"/>
      <c r="I148" s="51" t="n"/>
      <c r="J148" s="51" t="n"/>
      <c r="K148" s="51" t="n"/>
      <c r="L148" s="51" t="n"/>
      <c r="N148" s="51" t="n"/>
      <c r="Q148" s="51" t="n"/>
      <c r="S148" s="51" t="n"/>
      <c r="T148" s="51" t="n"/>
      <c r="U148" s="51" t="inlineStr"/>
      <c r="V148" s="55" t="n"/>
      <c r="W148" s="51" t="inlineStr"/>
      <c r="X148" s="51" t="inlineStr"/>
      <c r="Y148" s="51" t="n"/>
      <c r="AB148" s="57" t="n"/>
      <c r="AC148" s="90" t="n"/>
      <c r="AD148" s="90" t="n"/>
      <c r="AE148" s="88" t="n"/>
      <c r="AF148" s="91" t="n"/>
      <c r="AG148" s="91" t="n"/>
      <c r="AH148" s="88" t="n"/>
      <c r="AI148" s="88" t="n"/>
      <c r="AJ148" s="90" t="n"/>
      <c r="AK148" s="88" t="n"/>
      <c r="AL148" s="91" t="n"/>
      <c r="AM148" s="88" t="n"/>
      <c r="AN148" s="95" t="n"/>
      <c r="AO148" s="90" t="n"/>
      <c r="AP148" s="90" t="n"/>
    </row>
    <row r="149" ht="14.25" customHeight="1" s="84">
      <c r="A149" s="51" t="n"/>
      <c r="B149" s="47" t="n"/>
      <c r="C149" s="51" t="n"/>
      <c r="D149" s="51" t="n"/>
      <c r="E149" s="51" t="n"/>
      <c r="F149" s="51" t="n"/>
      <c r="G149" s="47" t="n"/>
      <c r="H149" s="51" t="n"/>
      <c r="I149" s="51" t="n"/>
      <c r="J149" s="51" t="n"/>
      <c r="K149" s="51" t="n"/>
      <c r="L149" s="51" t="n"/>
      <c r="N149" s="51" t="n"/>
      <c r="Q149" s="51" t="n"/>
      <c r="S149" s="51" t="n"/>
      <c r="T149" s="51" t="n"/>
      <c r="U149" s="51" t="inlineStr"/>
      <c r="V149" s="55" t="n"/>
      <c r="W149" s="51" t="inlineStr"/>
      <c r="X149" s="51" t="inlineStr"/>
      <c r="Y149" s="51" t="n"/>
      <c r="AB149" s="57" t="n"/>
      <c r="AC149" s="90" t="n"/>
      <c r="AD149" s="90" t="n"/>
      <c r="AE149" s="88" t="n"/>
      <c r="AF149" s="91" t="n"/>
      <c r="AG149" s="91" t="n"/>
      <c r="AH149" s="88" t="n"/>
      <c r="AI149" s="88" t="n"/>
      <c r="AJ149" s="90" t="n"/>
      <c r="AK149" s="88" t="n"/>
      <c r="AL149" s="91" t="n"/>
      <c r="AM149" s="88" t="n"/>
      <c r="AN149" s="95" t="n"/>
      <c r="AO149" s="90" t="n"/>
      <c r="AP149" s="90" t="n"/>
    </row>
    <row r="150" ht="14.25" customHeight="1" s="84">
      <c r="A150" s="51" t="n"/>
      <c r="B150" s="47" t="n"/>
      <c r="C150" s="51" t="n"/>
      <c r="D150" s="51" t="n"/>
      <c r="E150" s="51" t="n"/>
      <c r="F150" s="51" t="n"/>
      <c r="G150" s="47" t="n"/>
      <c r="H150" s="51" t="n"/>
      <c r="I150" s="51" t="n"/>
      <c r="J150" s="51" t="n"/>
      <c r="K150" s="51" t="n"/>
      <c r="L150" s="51" t="n"/>
      <c r="N150" s="51" t="n"/>
      <c r="Q150" s="51" t="n"/>
      <c r="S150" s="51" t="n"/>
      <c r="T150" s="51" t="n"/>
      <c r="U150" s="51" t="inlineStr"/>
      <c r="V150" s="55" t="n"/>
      <c r="W150" s="51" t="inlineStr"/>
      <c r="X150" s="51" t="inlineStr"/>
      <c r="Y150" s="51" t="n"/>
      <c r="AB150" s="57" t="n"/>
      <c r="AC150" s="90" t="n"/>
      <c r="AD150" s="90" t="n"/>
      <c r="AE150" s="88" t="n"/>
      <c r="AF150" s="91" t="n"/>
      <c r="AG150" s="91" t="n"/>
      <c r="AH150" s="88" t="n"/>
      <c r="AI150" s="88" t="n"/>
      <c r="AJ150" s="90" t="n"/>
      <c r="AK150" s="88" t="n"/>
      <c r="AL150" s="91" t="n"/>
      <c r="AM150" s="88" t="n"/>
      <c r="AN150" s="95" t="n"/>
      <c r="AO150" s="90" t="n"/>
      <c r="AP150" s="90" t="n"/>
    </row>
    <row r="151" ht="14.25" customHeight="1" s="84">
      <c r="A151" s="51" t="n"/>
      <c r="B151" s="47" t="n"/>
      <c r="C151" s="51" t="n"/>
      <c r="D151" s="51" t="n"/>
      <c r="E151" s="51" t="n"/>
      <c r="F151" s="51" t="n"/>
      <c r="G151" s="47" t="n"/>
      <c r="H151" s="51" t="n"/>
      <c r="I151" s="51" t="n"/>
      <c r="J151" s="51" t="n"/>
      <c r="K151" s="51" t="n"/>
      <c r="L151" s="51" t="n"/>
      <c r="N151" s="51" t="n"/>
      <c r="Q151" s="51" t="n"/>
      <c r="S151" s="51" t="n"/>
      <c r="T151" s="51" t="n"/>
      <c r="U151" s="51" t="inlineStr"/>
      <c r="V151" s="55" t="n"/>
      <c r="W151" s="51" t="inlineStr"/>
      <c r="X151" s="51" t="inlineStr"/>
      <c r="Y151" s="51" t="n"/>
      <c r="AB151" s="57" t="n"/>
      <c r="AC151" s="90" t="n"/>
      <c r="AD151" s="90" t="n"/>
      <c r="AE151" s="88" t="n"/>
      <c r="AF151" s="91" t="n"/>
      <c r="AG151" s="91" t="n"/>
      <c r="AH151" s="88" t="n"/>
      <c r="AI151" s="88" t="n"/>
      <c r="AJ151" s="90" t="n"/>
      <c r="AK151" s="88" t="n"/>
      <c r="AL151" s="91" t="n"/>
      <c r="AM151" s="88" t="n"/>
      <c r="AN151" s="95" t="n"/>
      <c r="AO151" s="90" t="n"/>
      <c r="AP151" s="90" t="n"/>
    </row>
    <row r="152" ht="14.25" customHeight="1" s="84">
      <c r="A152" s="51" t="n"/>
      <c r="B152" s="47" t="n"/>
      <c r="C152" s="51" t="n"/>
      <c r="D152" s="51" t="n"/>
      <c r="E152" s="51" t="n"/>
      <c r="F152" s="51" t="n"/>
      <c r="G152" s="47" t="n"/>
      <c r="H152" s="51" t="n"/>
      <c r="I152" s="51" t="n"/>
      <c r="J152" s="51" t="n"/>
      <c r="K152" s="51" t="n"/>
      <c r="L152" s="51" t="n"/>
      <c r="N152" s="51" t="n"/>
      <c r="Q152" s="51" t="n"/>
      <c r="S152" s="51" t="n"/>
      <c r="T152" s="51" t="n"/>
      <c r="U152" s="51" t="inlineStr"/>
      <c r="V152" s="55" t="n"/>
      <c r="W152" s="51" t="inlineStr"/>
      <c r="X152" s="51" t="inlineStr"/>
      <c r="Y152" s="51" t="n"/>
      <c r="AB152" s="57" t="n"/>
      <c r="AC152" s="90" t="n"/>
      <c r="AD152" s="90" t="n"/>
      <c r="AE152" s="88" t="n"/>
      <c r="AF152" s="91" t="n"/>
      <c r="AG152" s="91" t="n"/>
      <c r="AH152" s="88" t="n"/>
      <c r="AI152" s="88" t="n"/>
      <c r="AJ152" s="90" t="n"/>
      <c r="AK152" s="88" t="n"/>
      <c r="AL152" s="91" t="n"/>
      <c r="AM152" s="88" t="n"/>
      <c r="AN152" s="95" t="n"/>
      <c r="AO152" s="90" t="n"/>
      <c r="AP152" s="90" t="n"/>
    </row>
    <row r="153" ht="14.25" customHeight="1" s="84">
      <c r="A153" s="51" t="n"/>
      <c r="B153" s="47" t="n"/>
      <c r="C153" s="51" t="n"/>
      <c r="D153" s="51" t="n"/>
      <c r="E153" s="51" t="n"/>
      <c r="F153" s="51" t="n"/>
      <c r="G153" s="47" t="n"/>
      <c r="H153" s="51" t="n"/>
      <c r="I153" s="51" t="n"/>
      <c r="J153" s="51" t="n"/>
      <c r="K153" s="51" t="n"/>
      <c r="L153" s="51" t="n"/>
      <c r="N153" s="51" t="n"/>
      <c r="Q153" s="51" t="n"/>
      <c r="S153" s="51" t="n"/>
      <c r="T153" s="51" t="n"/>
      <c r="U153" s="51" t="inlineStr"/>
      <c r="V153" s="55" t="n"/>
      <c r="W153" s="51" t="inlineStr"/>
      <c r="X153" s="51" t="inlineStr"/>
      <c r="Y153" s="51" t="n"/>
      <c r="AB153" s="57" t="n"/>
      <c r="AC153" s="90" t="n"/>
      <c r="AD153" s="90" t="n"/>
      <c r="AE153" s="88" t="n"/>
      <c r="AF153" s="91" t="n"/>
      <c r="AG153" s="91" t="n"/>
      <c r="AH153" s="88" t="n"/>
      <c r="AI153" s="88" t="n"/>
      <c r="AJ153" s="90" t="n"/>
      <c r="AK153" s="88" t="n"/>
      <c r="AL153" s="91" t="n"/>
      <c r="AM153" s="88" t="n"/>
      <c r="AN153" s="95" t="n"/>
      <c r="AO153" s="90" t="n"/>
      <c r="AP153" s="90" t="n"/>
    </row>
    <row r="154" ht="14.25" customHeight="1" s="84">
      <c r="A154" s="51" t="n"/>
      <c r="B154" s="47" t="n"/>
      <c r="C154" s="51" t="n"/>
      <c r="D154" s="51" t="n"/>
      <c r="E154" s="51" t="n"/>
      <c r="F154" s="51" t="n"/>
      <c r="G154" s="47" t="n"/>
      <c r="H154" s="51" t="n"/>
      <c r="I154" s="51" t="n"/>
      <c r="J154" s="51" t="n"/>
      <c r="K154" s="51" t="n"/>
      <c r="L154" s="51" t="n"/>
      <c r="N154" s="51" t="n"/>
      <c r="Q154" s="51" t="n"/>
      <c r="S154" s="51" t="n"/>
      <c r="T154" s="51" t="n"/>
      <c r="U154" s="51" t="inlineStr"/>
      <c r="V154" s="55" t="n"/>
      <c r="W154" s="51" t="inlineStr"/>
      <c r="X154" s="51" t="inlineStr"/>
      <c r="Y154" s="51" t="n"/>
      <c r="AB154" s="57" t="n"/>
      <c r="AC154" s="90" t="n"/>
      <c r="AD154" s="90" t="n"/>
      <c r="AE154" s="88" t="n"/>
      <c r="AF154" s="91" t="n"/>
      <c r="AG154" s="91" t="n"/>
      <c r="AH154" s="88" t="n"/>
      <c r="AI154" s="88" t="n"/>
      <c r="AJ154" s="90" t="n"/>
      <c r="AK154" s="88" t="n"/>
      <c r="AL154" s="91" t="n"/>
      <c r="AM154" s="88" t="n"/>
      <c r="AN154" s="95" t="n"/>
      <c r="AO154" s="90" t="n"/>
      <c r="AP154" s="90" t="n"/>
    </row>
    <row r="155" ht="14.25" customHeight="1" s="84">
      <c r="A155" s="51" t="n"/>
      <c r="B155" s="47" t="n"/>
      <c r="C155" s="51" t="n"/>
      <c r="D155" s="51" t="n"/>
      <c r="E155" s="51" t="n"/>
      <c r="F155" s="51" t="n"/>
      <c r="G155" s="47" t="n"/>
      <c r="H155" s="51" t="n"/>
      <c r="I155" s="51" t="n"/>
      <c r="J155" s="51" t="n"/>
      <c r="K155" s="51" t="n"/>
      <c r="L155" s="51" t="n"/>
      <c r="N155" s="51" t="n"/>
      <c r="Q155" s="51" t="n"/>
      <c r="S155" s="51" t="n"/>
      <c r="T155" s="51" t="n"/>
      <c r="U155" s="51" t="inlineStr"/>
      <c r="V155" s="55" t="n"/>
      <c r="W155" s="51" t="inlineStr"/>
      <c r="X155" s="51" t="inlineStr"/>
      <c r="Y155" s="51" t="n"/>
      <c r="AB155" s="57" t="n"/>
      <c r="AC155" s="90" t="n"/>
      <c r="AD155" s="90" t="n"/>
      <c r="AE155" s="88" t="n"/>
      <c r="AF155" s="91" t="n"/>
      <c r="AG155" s="91" t="n"/>
      <c r="AH155" s="88" t="n"/>
      <c r="AI155" s="88" t="n"/>
      <c r="AJ155" s="90" t="n"/>
      <c r="AK155" s="88" t="n"/>
      <c r="AL155" s="91" t="n"/>
      <c r="AM155" s="88" t="n"/>
      <c r="AN155" s="95" t="n"/>
      <c r="AO155" s="90" t="n"/>
      <c r="AP155" s="90" t="n"/>
    </row>
    <row r="156" ht="14.25" customHeight="1" s="84">
      <c r="A156" s="51" t="n"/>
      <c r="B156" s="47" t="n"/>
      <c r="C156" s="51" t="n"/>
      <c r="D156" s="51" t="n"/>
      <c r="E156" s="51" t="n"/>
      <c r="F156" s="51" t="n"/>
      <c r="G156" s="47" t="n"/>
      <c r="H156" s="51" t="n"/>
      <c r="I156" s="51" t="n"/>
      <c r="J156" s="51" t="n"/>
      <c r="K156" s="51" t="n"/>
      <c r="L156" s="51" t="n"/>
      <c r="N156" s="51" t="n"/>
      <c r="Q156" s="51" t="n"/>
      <c r="S156" s="51" t="n"/>
      <c r="T156" s="51" t="n"/>
      <c r="U156" s="51" t="inlineStr"/>
      <c r="V156" s="55" t="n"/>
      <c r="W156" s="51" t="inlineStr"/>
      <c r="X156" s="51" t="inlineStr"/>
      <c r="Y156" s="51" t="n"/>
      <c r="AB156" s="57" t="n"/>
      <c r="AC156" s="90" t="n"/>
      <c r="AD156" s="90" t="n"/>
      <c r="AE156" s="88" t="n"/>
      <c r="AF156" s="91" t="n"/>
      <c r="AG156" s="91" t="n"/>
      <c r="AH156" s="88" t="n"/>
      <c r="AI156" s="88" t="n"/>
      <c r="AJ156" s="90" t="n"/>
      <c r="AK156" s="88" t="n"/>
      <c r="AL156" s="91" t="n"/>
      <c r="AM156" s="88" t="n"/>
      <c r="AN156" s="95" t="n"/>
      <c r="AO156" s="90" t="n"/>
      <c r="AP156" s="90" t="n"/>
    </row>
    <row r="157" ht="14.25" customHeight="1" s="84">
      <c r="A157" s="51" t="n"/>
      <c r="B157" s="47" t="n"/>
      <c r="C157" s="51" t="n"/>
      <c r="D157" s="51" t="n"/>
      <c r="E157" s="51" t="n"/>
      <c r="F157" s="51" t="n"/>
      <c r="G157" s="47" t="n"/>
      <c r="H157" s="51" t="n"/>
      <c r="I157" s="51" t="n"/>
      <c r="J157" s="51" t="n"/>
      <c r="K157" s="51" t="n"/>
      <c r="L157" s="51" t="n"/>
      <c r="N157" s="51" t="n"/>
      <c r="Q157" s="51" t="n"/>
      <c r="S157" s="51" t="n"/>
      <c r="T157" s="51" t="n"/>
      <c r="U157" s="51" t="inlineStr"/>
      <c r="V157" s="55" t="n"/>
      <c r="W157" s="51" t="inlineStr"/>
      <c r="X157" s="51" t="inlineStr"/>
      <c r="Y157" s="51" t="n"/>
      <c r="AB157" s="57" t="n"/>
      <c r="AC157" s="90" t="n"/>
      <c r="AD157" s="90" t="n"/>
      <c r="AE157" s="88" t="n"/>
      <c r="AF157" s="91" t="n"/>
      <c r="AG157" s="91" t="n"/>
      <c r="AH157" s="88" t="n"/>
      <c r="AI157" s="88" t="n"/>
      <c r="AJ157" s="90" t="n"/>
      <c r="AK157" s="88" t="n"/>
      <c r="AL157" s="91" t="n"/>
      <c r="AM157" s="88" t="n"/>
      <c r="AN157" s="95" t="n"/>
      <c r="AO157" s="90" t="n"/>
      <c r="AP157" s="90" t="n"/>
    </row>
    <row r="158" ht="14.25" customHeight="1" s="84">
      <c r="A158" s="51" t="n"/>
      <c r="B158" s="47" t="n"/>
      <c r="C158" s="51" t="n"/>
      <c r="D158" s="51" t="n"/>
      <c r="E158" s="51" t="n"/>
      <c r="F158" s="51" t="n"/>
      <c r="G158" s="47" t="n"/>
      <c r="H158" s="51" t="n"/>
      <c r="I158" s="51" t="n"/>
      <c r="J158" s="51" t="n"/>
      <c r="K158" s="51" t="n"/>
      <c r="L158" s="51" t="n"/>
      <c r="N158" s="51" t="n"/>
      <c r="Q158" s="51" t="n"/>
      <c r="S158" s="51" t="n"/>
      <c r="T158" s="51" t="n"/>
      <c r="U158" s="51" t="inlineStr"/>
      <c r="V158" s="55" t="n"/>
      <c r="W158" s="51" t="inlineStr"/>
      <c r="X158" s="51" t="inlineStr"/>
      <c r="Y158" s="51" t="n"/>
      <c r="AB158" s="57" t="n"/>
      <c r="AC158" s="90" t="n"/>
      <c r="AD158" s="90" t="n"/>
      <c r="AE158" s="88" t="n"/>
      <c r="AF158" s="91" t="n"/>
      <c r="AG158" s="91" t="n"/>
      <c r="AH158" s="88" t="n"/>
      <c r="AI158" s="88" t="n"/>
      <c r="AJ158" s="90" t="n"/>
      <c r="AK158" s="88" t="n"/>
      <c r="AL158" s="91" t="n"/>
      <c r="AM158" s="88" t="n"/>
      <c r="AN158" s="95" t="n"/>
      <c r="AO158" s="90" t="n"/>
      <c r="AP158" s="90" t="n"/>
    </row>
    <row r="159" ht="14.25" customHeight="1" s="84">
      <c r="A159" s="51" t="n"/>
      <c r="B159" s="47" t="n"/>
      <c r="C159" s="51" t="n"/>
      <c r="D159" s="51" t="n"/>
      <c r="E159" s="51" t="n"/>
      <c r="F159" s="51" t="n"/>
      <c r="G159" s="47" t="n"/>
      <c r="H159" s="51" t="n"/>
      <c r="I159" s="51" t="n"/>
      <c r="J159" s="51" t="n"/>
      <c r="K159" s="51" t="n"/>
      <c r="L159" s="51" t="n"/>
      <c r="N159" s="51" t="n"/>
      <c r="Q159" s="51" t="n"/>
      <c r="S159" s="51" t="n"/>
      <c r="T159" s="51" t="n"/>
      <c r="U159" s="51" t="inlineStr"/>
      <c r="V159" s="55" t="n"/>
      <c r="W159" s="51" t="inlineStr"/>
      <c r="X159" s="51" t="inlineStr"/>
      <c r="Y159" s="51" t="n"/>
      <c r="AB159" s="57" t="n"/>
      <c r="AC159" s="90" t="n"/>
      <c r="AD159" s="90" t="n"/>
      <c r="AE159" s="88" t="n"/>
      <c r="AF159" s="91" t="n"/>
      <c r="AG159" s="91" t="n"/>
      <c r="AH159" s="88" t="n"/>
      <c r="AI159" s="88" t="n"/>
      <c r="AJ159" s="90" t="n"/>
      <c r="AK159" s="88" t="n"/>
      <c r="AL159" s="91" t="n"/>
      <c r="AM159" s="88" t="n"/>
      <c r="AN159" s="95" t="n"/>
      <c r="AO159" s="90" t="n"/>
      <c r="AP159" s="90" t="n"/>
    </row>
    <row r="160" ht="14.25" customHeight="1" s="84">
      <c r="A160" s="51" t="n"/>
      <c r="B160" s="47" t="n"/>
      <c r="C160" s="51" t="n"/>
      <c r="D160" s="51" t="n"/>
      <c r="E160" s="51" t="n"/>
      <c r="F160" s="51" t="n"/>
      <c r="G160" s="47" t="n"/>
      <c r="H160" s="51" t="n"/>
      <c r="I160" s="51" t="n"/>
      <c r="J160" s="51" t="n"/>
      <c r="K160" s="51" t="n"/>
      <c r="L160" s="51" t="n"/>
      <c r="N160" s="51" t="n"/>
      <c r="Q160" s="51" t="n"/>
      <c r="S160" s="51" t="n"/>
      <c r="T160" s="51" t="n"/>
      <c r="U160" s="51" t="inlineStr"/>
      <c r="V160" s="55" t="n"/>
      <c r="W160" s="51" t="inlineStr"/>
      <c r="X160" s="51" t="inlineStr"/>
      <c r="Y160" s="51" t="n"/>
      <c r="AB160" s="57" t="n"/>
      <c r="AC160" s="90" t="n"/>
      <c r="AD160" s="90" t="n"/>
      <c r="AE160" s="88" t="n"/>
      <c r="AF160" s="91" t="n"/>
      <c r="AG160" s="91" t="n"/>
      <c r="AH160" s="88" t="n"/>
      <c r="AI160" s="88" t="n"/>
      <c r="AJ160" s="90" t="n"/>
      <c r="AK160" s="88" t="n"/>
      <c r="AL160" s="91" t="n"/>
      <c r="AM160" s="88" t="n"/>
      <c r="AN160" s="95" t="n"/>
      <c r="AO160" s="90" t="n"/>
      <c r="AP160" s="90" t="n"/>
    </row>
    <row r="161" ht="14.25" customHeight="1" s="84">
      <c r="A161" s="51" t="n"/>
      <c r="B161" s="47" t="n"/>
      <c r="C161" s="51" t="n"/>
      <c r="D161" s="51" t="n"/>
      <c r="E161" s="51" t="n"/>
      <c r="F161" s="51" t="n"/>
      <c r="G161" s="47" t="n"/>
      <c r="H161" s="51" t="n"/>
      <c r="I161" s="51" t="n"/>
      <c r="J161" s="51" t="n"/>
      <c r="K161" s="51" t="n"/>
      <c r="L161" s="51" t="n"/>
      <c r="N161" s="51" t="n"/>
      <c r="Q161" s="51" t="n"/>
      <c r="S161" s="51" t="n"/>
      <c r="T161" s="51" t="n"/>
      <c r="U161" s="51" t="inlineStr"/>
      <c r="V161" s="55" t="n"/>
      <c r="W161" s="51" t="inlineStr"/>
      <c r="X161" s="51" t="inlineStr"/>
      <c r="Y161" s="51" t="n"/>
      <c r="AB161" s="57" t="n"/>
      <c r="AC161" s="90" t="n"/>
      <c r="AD161" s="90" t="n"/>
      <c r="AE161" s="88" t="n"/>
      <c r="AF161" s="91" t="n"/>
      <c r="AG161" s="91" t="n"/>
      <c r="AH161" s="88" t="n"/>
      <c r="AI161" s="88" t="n"/>
      <c r="AJ161" s="90" t="n"/>
      <c r="AK161" s="88" t="n"/>
      <c r="AL161" s="91" t="n"/>
      <c r="AM161" s="88" t="n"/>
      <c r="AN161" s="95" t="n"/>
      <c r="AO161" s="90" t="n"/>
      <c r="AP161" s="90" t="n"/>
    </row>
    <row r="162" ht="14.25" customHeight="1" s="84">
      <c r="A162" s="51" t="n"/>
      <c r="B162" s="47" t="n"/>
      <c r="C162" s="51" t="n"/>
      <c r="D162" s="51" t="n"/>
      <c r="E162" s="51" t="n"/>
      <c r="F162" s="51" t="n"/>
      <c r="G162" s="47" t="n"/>
      <c r="H162" s="51" t="n"/>
      <c r="I162" s="51" t="n"/>
      <c r="J162" s="51" t="n"/>
      <c r="K162" s="51" t="n"/>
      <c r="L162" s="51" t="n"/>
      <c r="N162" s="51" t="n"/>
      <c r="Q162" s="51" t="n"/>
      <c r="S162" s="51" t="n"/>
      <c r="T162" s="51" t="n"/>
      <c r="U162" s="51" t="inlineStr"/>
      <c r="V162" s="55" t="n"/>
      <c r="W162" s="51" t="inlineStr"/>
      <c r="X162" s="51" t="inlineStr"/>
      <c r="Y162" s="51" t="n"/>
      <c r="AB162" s="57" t="n"/>
      <c r="AC162" s="90" t="n"/>
      <c r="AD162" s="90" t="n"/>
      <c r="AE162" s="88" t="n"/>
      <c r="AF162" s="91" t="n"/>
      <c r="AG162" s="91" t="n"/>
      <c r="AH162" s="88" t="n"/>
      <c r="AI162" s="88" t="n"/>
      <c r="AJ162" s="90" t="n"/>
      <c r="AK162" s="88" t="n"/>
      <c r="AL162" s="91" t="n"/>
      <c r="AM162" s="88" t="n"/>
      <c r="AN162" s="95" t="n"/>
      <c r="AO162" s="90" t="n"/>
      <c r="AP162" s="90" t="n"/>
    </row>
    <row r="163" ht="14.25" customHeight="1" s="84">
      <c r="A163" s="51" t="n"/>
      <c r="B163" s="47" t="n"/>
      <c r="C163" s="51" t="n"/>
      <c r="D163" s="51" t="n"/>
      <c r="E163" s="51" t="n"/>
      <c r="F163" s="51" t="n"/>
      <c r="G163" s="47" t="n"/>
      <c r="H163" s="51" t="n"/>
      <c r="I163" s="51" t="n"/>
      <c r="J163" s="51" t="n"/>
      <c r="K163" s="51" t="n"/>
      <c r="L163" s="51" t="n"/>
      <c r="N163" s="51" t="n"/>
      <c r="Q163" s="51" t="n"/>
      <c r="S163" s="51" t="n"/>
      <c r="T163" s="51" t="n"/>
      <c r="U163" s="51" t="inlineStr"/>
      <c r="V163" s="55" t="n"/>
      <c r="W163" s="51" t="inlineStr"/>
      <c r="X163" s="51" t="inlineStr"/>
      <c r="Y163" s="51" t="n"/>
      <c r="AB163" s="57" t="n"/>
      <c r="AC163" s="90" t="n"/>
      <c r="AD163" s="90" t="n"/>
      <c r="AE163" s="88" t="n"/>
      <c r="AF163" s="91" t="n"/>
      <c r="AG163" s="91" t="n"/>
      <c r="AH163" s="88" t="n"/>
      <c r="AI163" s="88" t="n"/>
      <c r="AJ163" s="90" t="n"/>
      <c r="AK163" s="88" t="n"/>
      <c r="AL163" s="91" t="n"/>
      <c r="AM163" s="88" t="n"/>
      <c r="AN163" s="95" t="n"/>
      <c r="AO163" s="90" t="n"/>
      <c r="AP163" s="90" t="n"/>
    </row>
    <row r="164" ht="14.25" customHeight="1" s="84">
      <c r="A164" s="51" t="n"/>
      <c r="B164" s="47" t="n"/>
      <c r="C164" s="51" t="n"/>
      <c r="D164" s="51" t="n"/>
      <c r="E164" s="51" t="n"/>
      <c r="F164" s="51" t="n"/>
      <c r="G164" s="47" t="n"/>
      <c r="H164" s="51" t="n"/>
      <c r="I164" s="51" t="n"/>
      <c r="J164" s="51" t="n"/>
      <c r="K164" s="51" t="n"/>
      <c r="L164" s="51" t="n"/>
      <c r="N164" s="51" t="n"/>
      <c r="Q164" s="51" t="n"/>
      <c r="S164" s="51" t="n"/>
      <c r="T164" s="51" t="n"/>
      <c r="U164" s="51" t="inlineStr"/>
      <c r="V164" s="55" t="n"/>
      <c r="W164" s="51" t="inlineStr"/>
      <c r="X164" s="51" t="inlineStr"/>
      <c r="Y164" s="51" t="n"/>
      <c r="AB164" s="57" t="n"/>
      <c r="AC164" s="90" t="n"/>
      <c r="AD164" s="90" t="n"/>
      <c r="AE164" s="88" t="n"/>
      <c r="AF164" s="91" t="n"/>
      <c r="AG164" s="91" t="n"/>
      <c r="AH164" s="88" t="n"/>
      <c r="AI164" s="88" t="n"/>
      <c r="AJ164" s="90" t="n"/>
      <c r="AK164" s="88" t="n"/>
      <c r="AL164" s="91" t="n"/>
      <c r="AM164" s="88" t="n"/>
      <c r="AN164" s="95" t="n"/>
      <c r="AO164" s="90" t="n"/>
      <c r="AP164" s="90" t="n"/>
    </row>
    <row r="165" ht="14.25" customHeight="1" s="84">
      <c r="A165" s="51" t="n"/>
      <c r="B165" s="47" t="n"/>
      <c r="C165" s="51" t="n"/>
      <c r="D165" s="51" t="n"/>
      <c r="E165" s="51" t="n"/>
      <c r="F165" s="51" t="n"/>
      <c r="G165" s="47" t="n"/>
      <c r="H165" s="51" t="n"/>
      <c r="I165" s="51" t="n"/>
      <c r="J165" s="51" t="n"/>
      <c r="K165" s="51" t="n"/>
      <c r="L165" s="51" t="n"/>
      <c r="N165" s="51" t="n"/>
      <c r="Q165" s="51" t="n"/>
      <c r="S165" s="51" t="n"/>
      <c r="T165" s="51" t="n"/>
      <c r="U165" s="51" t="inlineStr"/>
      <c r="V165" s="55" t="n"/>
      <c r="W165" s="51" t="inlineStr"/>
      <c r="X165" s="51" t="inlineStr"/>
      <c r="Y165" s="51" t="n"/>
      <c r="AB165" s="57" t="n"/>
      <c r="AC165" s="90" t="n"/>
      <c r="AD165" s="90" t="n"/>
      <c r="AE165" s="88" t="n"/>
      <c r="AF165" s="91" t="n"/>
      <c r="AG165" s="91" t="n"/>
      <c r="AH165" s="88" t="n"/>
      <c r="AI165" s="88" t="n"/>
      <c r="AJ165" s="90" t="n"/>
      <c r="AK165" s="88" t="n"/>
      <c r="AL165" s="91" t="n"/>
      <c r="AM165" s="88" t="n"/>
      <c r="AN165" s="95" t="n"/>
      <c r="AO165" s="90" t="n"/>
      <c r="AP165" s="90" t="n"/>
    </row>
    <row r="166" ht="14.25" customHeight="1" s="84">
      <c r="A166" s="51" t="n"/>
      <c r="B166" s="47" t="n"/>
      <c r="C166" s="51" t="n"/>
      <c r="D166" s="51" t="n"/>
      <c r="E166" s="51" t="n"/>
      <c r="F166" s="51" t="n"/>
      <c r="G166" s="47" t="n"/>
      <c r="H166" s="51" t="n"/>
      <c r="I166" s="51" t="n"/>
      <c r="J166" s="51" t="n"/>
      <c r="K166" s="51" t="n"/>
      <c r="L166" s="51" t="n"/>
      <c r="N166" s="51" t="n"/>
      <c r="Q166" s="51" t="n"/>
      <c r="S166" s="51" t="n"/>
      <c r="T166" s="51" t="n"/>
      <c r="U166" s="51" t="inlineStr"/>
      <c r="V166" s="55" t="n"/>
      <c r="W166" s="51" t="inlineStr"/>
      <c r="X166" s="51" t="inlineStr"/>
      <c r="Y166" s="51" t="n"/>
      <c r="AB166" s="57" t="n"/>
      <c r="AC166" s="90" t="n"/>
      <c r="AD166" s="90" t="n"/>
      <c r="AE166" s="88" t="n"/>
      <c r="AF166" s="91" t="n"/>
      <c r="AG166" s="91" t="n"/>
      <c r="AH166" s="88" t="n"/>
      <c r="AI166" s="88" t="n"/>
      <c r="AJ166" s="90" t="n"/>
      <c r="AK166" s="88" t="n"/>
      <c r="AL166" s="91" t="n"/>
      <c r="AM166" s="88" t="n"/>
      <c r="AN166" s="95" t="n"/>
      <c r="AO166" s="90" t="n"/>
      <c r="AP166" s="90" t="n"/>
    </row>
    <row r="167" ht="14.25" customHeight="1" s="84">
      <c r="A167" s="51" t="n"/>
      <c r="B167" s="47" t="n"/>
      <c r="C167" s="51" t="n"/>
      <c r="D167" s="51" t="n"/>
      <c r="E167" s="51" t="n"/>
      <c r="F167" s="51" t="n"/>
      <c r="G167" s="47" t="n"/>
      <c r="H167" s="51" t="n"/>
      <c r="I167" s="51" t="n"/>
      <c r="J167" s="51" t="n"/>
      <c r="K167" s="51" t="n"/>
      <c r="L167" s="51" t="n"/>
      <c r="N167" s="51" t="n"/>
      <c r="Q167" s="51" t="n"/>
      <c r="S167" s="51" t="n"/>
      <c r="T167" s="51" t="n"/>
      <c r="U167" s="51" t="inlineStr"/>
      <c r="V167" s="55" t="n"/>
      <c r="W167" s="51" t="inlineStr"/>
      <c r="X167" s="51" t="inlineStr"/>
      <c r="Y167" s="51" t="n"/>
      <c r="AB167" s="57" t="n"/>
      <c r="AC167" s="90" t="n"/>
      <c r="AD167" s="90" t="n"/>
      <c r="AE167" s="88" t="n"/>
      <c r="AF167" s="91" t="n"/>
      <c r="AG167" s="91" t="n"/>
      <c r="AH167" s="88" t="n"/>
      <c r="AI167" s="88" t="n"/>
      <c r="AJ167" s="90" t="n"/>
      <c r="AK167" s="88" t="n"/>
      <c r="AL167" s="91" t="n"/>
      <c r="AM167" s="88" t="n"/>
      <c r="AN167" s="95" t="n"/>
      <c r="AO167" s="90" t="n"/>
      <c r="AP167" s="90" t="n"/>
    </row>
    <row r="168" ht="14.25" customHeight="1" s="84">
      <c r="A168" s="51" t="n"/>
      <c r="B168" s="47" t="n"/>
      <c r="C168" s="51" t="n"/>
      <c r="D168" s="51" t="n"/>
      <c r="E168" s="51" t="n"/>
      <c r="F168" s="51" t="n"/>
      <c r="G168" s="47" t="n"/>
      <c r="H168" s="51" t="n"/>
      <c r="I168" s="51" t="n"/>
      <c r="J168" s="51" t="n"/>
      <c r="K168" s="51" t="n"/>
      <c r="L168" s="51" t="n"/>
      <c r="N168" s="51" t="n"/>
      <c r="Q168" s="51" t="n"/>
      <c r="S168" s="51" t="n"/>
      <c r="T168" s="51" t="n"/>
      <c r="U168" s="51" t="inlineStr"/>
      <c r="V168" s="55" t="n"/>
      <c r="W168" s="51" t="inlineStr"/>
      <c r="X168" s="51" t="inlineStr"/>
      <c r="Y168" s="51" t="n"/>
      <c r="AB168" s="57" t="n"/>
      <c r="AC168" s="90" t="n"/>
      <c r="AD168" s="90" t="n"/>
      <c r="AE168" s="88" t="n"/>
      <c r="AF168" s="91" t="n"/>
      <c r="AG168" s="91" t="n"/>
      <c r="AH168" s="88" t="n"/>
      <c r="AI168" s="88" t="n"/>
      <c r="AJ168" s="90" t="n"/>
      <c r="AK168" s="88" t="n"/>
      <c r="AL168" s="91" t="n"/>
      <c r="AM168" s="88" t="n"/>
      <c r="AN168" s="95" t="n"/>
      <c r="AO168" s="90" t="n"/>
      <c r="AP168" s="90" t="n"/>
    </row>
    <row r="169" ht="14.25" customHeight="1" s="84">
      <c r="A169" s="51" t="n"/>
      <c r="B169" s="47" t="n"/>
      <c r="C169" s="51" t="n"/>
      <c r="D169" s="51" t="n"/>
      <c r="E169" s="51" t="n"/>
      <c r="F169" s="51" t="n"/>
      <c r="G169" s="47" t="n"/>
      <c r="H169" s="51" t="n"/>
      <c r="I169" s="51" t="n"/>
      <c r="J169" s="51" t="n"/>
      <c r="K169" s="51" t="n"/>
      <c r="L169" s="51" t="n"/>
      <c r="N169" s="51" t="n"/>
      <c r="Q169" s="51" t="n"/>
      <c r="S169" s="51" t="n"/>
      <c r="T169" s="51" t="n"/>
      <c r="U169" s="51" t="inlineStr"/>
      <c r="V169" s="55" t="n"/>
      <c r="W169" s="51" t="inlineStr"/>
      <c r="X169" s="51" t="inlineStr"/>
      <c r="Y169" s="51" t="n"/>
      <c r="AB169" s="57" t="n"/>
      <c r="AC169" s="90" t="n"/>
      <c r="AD169" s="90" t="n"/>
      <c r="AE169" s="88" t="n"/>
      <c r="AF169" s="91" t="n"/>
      <c r="AG169" s="91" t="n"/>
      <c r="AH169" s="88" t="n"/>
      <c r="AI169" s="88" t="n"/>
      <c r="AJ169" s="90" t="n"/>
      <c r="AK169" s="88" t="n"/>
      <c r="AL169" s="91" t="n"/>
      <c r="AM169" s="88" t="n"/>
      <c r="AN169" s="95" t="n"/>
      <c r="AO169" s="90" t="n"/>
      <c r="AP169" s="90" t="n"/>
    </row>
    <row r="170" ht="14.25" customHeight="1" s="84">
      <c r="A170" s="51" t="n"/>
      <c r="B170" s="47" t="n"/>
      <c r="C170" s="51" t="n"/>
      <c r="D170" s="51" t="n"/>
      <c r="E170" s="51" t="n"/>
      <c r="F170" s="51" t="n"/>
      <c r="G170" s="47" t="n"/>
      <c r="H170" s="51" t="n"/>
      <c r="I170" s="51" t="n"/>
      <c r="J170" s="51" t="n"/>
      <c r="K170" s="51" t="n"/>
      <c r="L170" s="51" t="n"/>
      <c r="N170" s="51" t="n"/>
      <c r="Q170" s="51" t="n"/>
      <c r="S170" s="51" t="n"/>
      <c r="T170" s="51" t="n"/>
      <c r="U170" s="51" t="inlineStr"/>
      <c r="V170" s="55" t="n"/>
      <c r="W170" s="51" t="inlineStr"/>
      <c r="X170" s="51" t="inlineStr"/>
      <c r="Y170" s="51" t="n"/>
      <c r="AB170" s="57" t="n"/>
      <c r="AC170" s="90" t="n"/>
      <c r="AD170" s="90" t="n"/>
      <c r="AE170" s="88" t="n"/>
      <c r="AF170" s="91" t="n"/>
      <c r="AG170" s="91" t="n"/>
      <c r="AH170" s="88" t="n"/>
      <c r="AI170" s="88" t="n"/>
      <c r="AJ170" s="90" t="n"/>
      <c r="AK170" s="88" t="n"/>
      <c r="AL170" s="91" t="n"/>
      <c r="AM170" s="88" t="n"/>
      <c r="AN170" s="95" t="n"/>
      <c r="AO170" s="90" t="n"/>
      <c r="AP170" s="90" t="n"/>
    </row>
    <row r="171" ht="14.25" customHeight="1" s="84">
      <c r="A171" s="51" t="n"/>
      <c r="B171" s="47" t="n"/>
      <c r="C171" s="51" t="n"/>
      <c r="D171" s="51" t="n"/>
      <c r="E171" s="51" t="n"/>
      <c r="F171" s="51" t="n"/>
      <c r="G171" s="47" t="n"/>
      <c r="H171" s="51" t="n"/>
      <c r="I171" s="51" t="n"/>
      <c r="J171" s="51" t="n"/>
      <c r="K171" s="51" t="n"/>
      <c r="L171" s="51" t="n"/>
      <c r="N171" s="51" t="n"/>
      <c r="Q171" s="51" t="n"/>
      <c r="S171" s="51" t="n"/>
      <c r="T171" s="51" t="n"/>
      <c r="U171" s="51" t="inlineStr"/>
      <c r="V171" s="55" t="n"/>
      <c r="W171" s="51" t="inlineStr"/>
      <c r="X171" s="51" t="inlineStr"/>
      <c r="Y171" s="51" t="n"/>
      <c r="AB171" s="57" t="n"/>
      <c r="AC171" s="90" t="n"/>
      <c r="AD171" s="90" t="n"/>
      <c r="AE171" s="88" t="n"/>
      <c r="AF171" s="91" t="n"/>
      <c r="AG171" s="91" t="n"/>
      <c r="AH171" s="88" t="n"/>
      <c r="AI171" s="88" t="n"/>
      <c r="AJ171" s="90" t="n"/>
      <c r="AK171" s="88" t="n"/>
      <c r="AL171" s="91" t="n"/>
      <c r="AM171" s="88" t="n"/>
      <c r="AN171" s="95" t="n"/>
      <c r="AO171" s="90" t="n"/>
      <c r="AP171" s="90" t="n"/>
    </row>
    <row r="172" ht="14.25" customHeight="1" s="84">
      <c r="A172" s="51" t="n"/>
      <c r="B172" s="47" t="n"/>
      <c r="C172" s="51" t="n"/>
      <c r="D172" s="51" t="n"/>
      <c r="E172" s="51" t="n"/>
      <c r="F172" s="51" t="n"/>
      <c r="G172" s="47" t="n"/>
      <c r="H172" s="51" t="n"/>
      <c r="I172" s="51" t="n"/>
      <c r="J172" s="51" t="n"/>
      <c r="K172" s="51" t="n"/>
      <c r="L172" s="51" t="n"/>
      <c r="N172" s="51" t="n"/>
      <c r="Q172" s="51" t="n"/>
      <c r="S172" s="51" t="n"/>
      <c r="T172" s="51" t="n"/>
      <c r="U172" s="51" t="inlineStr"/>
      <c r="V172" s="55" t="n"/>
      <c r="W172" s="51" t="inlineStr"/>
      <c r="X172" s="51" t="inlineStr"/>
      <c r="Y172" s="51" t="n"/>
      <c r="AB172" s="57" t="n"/>
      <c r="AC172" s="90" t="n"/>
      <c r="AD172" s="90" t="n"/>
      <c r="AE172" s="88" t="n"/>
      <c r="AF172" s="91" t="n"/>
      <c r="AG172" s="91" t="n"/>
      <c r="AH172" s="88" t="n"/>
      <c r="AI172" s="88" t="n"/>
      <c r="AJ172" s="90" t="n"/>
      <c r="AK172" s="88" t="n"/>
      <c r="AL172" s="91" t="n"/>
      <c r="AM172" s="88" t="n"/>
      <c r="AN172" s="95" t="n"/>
      <c r="AO172" s="90" t="n"/>
      <c r="AP172" s="90" t="n"/>
    </row>
    <row r="173" ht="14.25" customHeight="1" s="84">
      <c r="A173" s="51" t="n"/>
      <c r="B173" s="47" t="n"/>
      <c r="C173" s="51" t="n"/>
      <c r="D173" s="51" t="n"/>
      <c r="E173" s="51" t="n"/>
      <c r="F173" s="51" t="n"/>
      <c r="G173" s="47" t="n"/>
      <c r="H173" s="51" t="n"/>
      <c r="I173" s="51" t="n"/>
      <c r="J173" s="51" t="n"/>
      <c r="K173" s="51" t="n"/>
      <c r="L173" s="51" t="n"/>
      <c r="N173" s="51" t="n"/>
      <c r="Q173" s="51" t="n"/>
      <c r="S173" s="51" t="n"/>
      <c r="T173" s="51" t="n"/>
      <c r="U173" s="51" t="inlineStr"/>
      <c r="V173" s="55" t="n"/>
      <c r="W173" s="51" t="inlineStr"/>
      <c r="X173" s="51" t="inlineStr"/>
      <c r="Y173" s="51" t="n"/>
      <c r="AB173" s="57" t="n"/>
      <c r="AC173" s="90" t="n"/>
      <c r="AD173" s="90" t="n"/>
      <c r="AE173" s="88" t="n"/>
      <c r="AF173" s="91" t="n"/>
      <c r="AG173" s="91" t="n"/>
      <c r="AH173" s="88" t="n"/>
      <c r="AI173" s="88" t="n"/>
      <c r="AJ173" s="90" t="n"/>
      <c r="AK173" s="88" t="n"/>
      <c r="AL173" s="91" t="n"/>
      <c r="AM173" s="88" t="n"/>
      <c r="AN173" s="95" t="n"/>
      <c r="AO173" s="90" t="n"/>
      <c r="AP173" s="90" t="n"/>
    </row>
    <row r="174" ht="14.25" customHeight="1" s="84">
      <c r="A174" s="51" t="n"/>
      <c r="B174" s="47" t="n"/>
      <c r="C174" s="51" t="n"/>
      <c r="D174" s="51" t="n"/>
      <c r="E174" s="51" t="n"/>
      <c r="F174" s="51" t="n"/>
      <c r="G174" s="47" t="n"/>
      <c r="H174" s="51" t="n"/>
      <c r="I174" s="51" t="n"/>
      <c r="J174" s="51" t="n"/>
      <c r="K174" s="51" t="n"/>
      <c r="L174" s="51" t="n"/>
      <c r="N174" s="51" t="n"/>
      <c r="Q174" s="51" t="n"/>
      <c r="S174" s="51" t="n"/>
      <c r="T174" s="51" t="n"/>
      <c r="U174" s="51" t="inlineStr"/>
      <c r="V174" s="55" t="n"/>
      <c r="W174" s="51" t="inlineStr"/>
      <c r="X174" s="51" t="inlineStr"/>
      <c r="Y174" s="51" t="n"/>
      <c r="AB174" s="57" t="n"/>
      <c r="AC174" s="90" t="n"/>
      <c r="AD174" s="90" t="n"/>
      <c r="AE174" s="88" t="n"/>
      <c r="AF174" s="91" t="n"/>
      <c r="AG174" s="91" t="n"/>
      <c r="AH174" s="88" t="n"/>
      <c r="AI174" s="88" t="n"/>
      <c r="AJ174" s="90" t="n"/>
      <c r="AK174" s="88" t="n"/>
      <c r="AL174" s="91" t="n"/>
      <c r="AM174" s="88" t="n"/>
      <c r="AN174" s="95" t="n"/>
      <c r="AO174" s="90" t="n"/>
      <c r="AP174" s="90" t="n"/>
    </row>
    <row r="175" ht="14.25" customHeight="1" s="84">
      <c r="A175" s="51" t="n"/>
      <c r="B175" s="47" t="n"/>
      <c r="C175" s="51" t="n"/>
      <c r="D175" s="51" t="n"/>
      <c r="E175" s="51" t="n"/>
      <c r="F175" s="51" t="n"/>
      <c r="G175" s="47" t="n"/>
      <c r="H175" s="51" t="n"/>
      <c r="I175" s="51" t="n"/>
      <c r="J175" s="51" t="n"/>
      <c r="K175" s="51" t="n"/>
      <c r="L175" s="51" t="n"/>
      <c r="N175" s="51" t="n"/>
      <c r="Q175" s="51" t="n"/>
      <c r="S175" s="51" t="n"/>
      <c r="T175" s="51" t="n"/>
      <c r="U175" s="51" t="inlineStr"/>
      <c r="V175" s="55" t="n"/>
      <c r="W175" s="51" t="inlineStr"/>
      <c r="X175" s="51" t="inlineStr"/>
      <c r="Y175" s="51" t="n"/>
      <c r="AB175" s="57" t="n"/>
      <c r="AC175" s="90" t="n"/>
      <c r="AD175" s="90" t="n"/>
      <c r="AE175" s="88" t="n"/>
      <c r="AF175" s="91" t="n"/>
      <c r="AG175" s="91" t="n"/>
      <c r="AH175" s="88" t="n"/>
      <c r="AI175" s="88" t="n"/>
      <c r="AJ175" s="90" t="n"/>
      <c r="AK175" s="88" t="n"/>
      <c r="AL175" s="91" t="n"/>
      <c r="AM175" s="88" t="n"/>
      <c r="AN175" s="95" t="n"/>
      <c r="AO175" s="90" t="n"/>
      <c r="AP175" s="90" t="n"/>
    </row>
    <row r="176" ht="14.25" customHeight="1" s="84">
      <c r="A176" s="51" t="n"/>
      <c r="B176" s="47" t="n"/>
      <c r="C176" s="51" t="n"/>
      <c r="D176" s="51" t="n"/>
      <c r="E176" s="51" t="n"/>
      <c r="F176" s="51" t="n"/>
      <c r="G176" s="47" t="n"/>
      <c r="H176" s="51" t="n"/>
      <c r="I176" s="51" t="n"/>
      <c r="J176" s="51" t="n"/>
      <c r="K176" s="51" t="n"/>
      <c r="L176" s="51" t="n"/>
      <c r="N176" s="51" t="n"/>
      <c r="Q176" s="51" t="n"/>
      <c r="S176" s="51" t="n"/>
      <c r="T176" s="51" t="n"/>
      <c r="U176" s="51" t="inlineStr"/>
      <c r="V176" s="55" t="n"/>
      <c r="W176" s="51" t="inlineStr"/>
      <c r="X176" s="51" t="inlineStr"/>
      <c r="Y176" s="51" t="n"/>
      <c r="AB176" s="57" t="n"/>
      <c r="AC176" s="90" t="n"/>
      <c r="AD176" s="90" t="n"/>
      <c r="AE176" s="88" t="n"/>
      <c r="AF176" s="91" t="n"/>
      <c r="AG176" s="91" t="n"/>
      <c r="AH176" s="88" t="n"/>
      <c r="AI176" s="88" t="n"/>
      <c r="AJ176" s="90" t="n"/>
      <c r="AK176" s="88" t="n"/>
      <c r="AL176" s="91" t="n"/>
      <c r="AM176" s="88" t="n"/>
      <c r="AN176" s="95" t="n"/>
      <c r="AO176" s="90" t="n"/>
      <c r="AP176" s="90" t="n"/>
    </row>
    <row r="177" ht="14.25" customHeight="1" s="84">
      <c r="A177" s="51" t="n"/>
      <c r="B177" s="47" t="n"/>
      <c r="C177" s="51" t="n"/>
      <c r="D177" s="51" t="n"/>
      <c r="E177" s="51" t="n"/>
      <c r="F177" s="51" t="n"/>
      <c r="G177" s="47" t="n"/>
      <c r="H177" s="51" t="n"/>
      <c r="I177" s="51" t="n"/>
      <c r="J177" s="51" t="n"/>
      <c r="K177" s="51" t="n"/>
      <c r="L177" s="51" t="n"/>
      <c r="N177" s="51" t="n"/>
      <c r="Q177" s="51" t="n"/>
      <c r="S177" s="51" t="n"/>
      <c r="T177" s="51" t="n"/>
      <c r="U177" s="51" t="inlineStr"/>
      <c r="V177" s="55" t="n"/>
      <c r="W177" s="51" t="inlineStr"/>
      <c r="X177" s="51" t="inlineStr"/>
      <c r="Y177" s="51" t="n"/>
      <c r="AB177" s="57" t="n"/>
      <c r="AC177" s="90" t="n"/>
      <c r="AD177" s="90" t="n"/>
      <c r="AE177" s="88" t="n"/>
      <c r="AF177" s="91" t="n"/>
      <c r="AG177" s="91" t="n"/>
      <c r="AH177" s="88" t="n"/>
      <c r="AI177" s="88" t="n"/>
      <c r="AJ177" s="90" t="n"/>
      <c r="AK177" s="88" t="n"/>
      <c r="AL177" s="91" t="n"/>
      <c r="AM177" s="88" t="n"/>
      <c r="AN177" s="95" t="n"/>
      <c r="AO177" s="90" t="n"/>
      <c r="AP177" s="90" t="n"/>
    </row>
    <row r="178" ht="14.25" customHeight="1" s="84">
      <c r="A178" s="51" t="n"/>
      <c r="B178" s="47" t="n"/>
      <c r="C178" s="51" t="n"/>
      <c r="D178" s="51" t="n"/>
      <c r="E178" s="51" t="n"/>
      <c r="F178" s="51" t="n"/>
      <c r="G178" s="47" t="n"/>
      <c r="H178" s="51" t="n"/>
      <c r="I178" s="51" t="n"/>
      <c r="J178" s="51" t="n"/>
      <c r="K178" s="51" t="n"/>
      <c r="L178" s="51" t="n"/>
      <c r="N178" s="51" t="n"/>
      <c r="Q178" s="51" t="n"/>
      <c r="S178" s="51" t="n"/>
      <c r="T178" s="51" t="n"/>
      <c r="U178" s="51" t="inlineStr"/>
      <c r="V178" s="55" t="n"/>
      <c r="W178" s="51" t="inlineStr"/>
      <c r="X178" s="51" t="inlineStr"/>
      <c r="Y178" s="51" t="n"/>
      <c r="AB178" s="57" t="n"/>
      <c r="AC178" s="90" t="n"/>
      <c r="AD178" s="90" t="n"/>
      <c r="AE178" s="88" t="n"/>
      <c r="AF178" s="91" t="n"/>
      <c r="AG178" s="91" t="n"/>
      <c r="AH178" s="88" t="n"/>
      <c r="AI178" s="88" t="n"/>
      <c r="AJ178" s="90" t="n"/>
      <c r="AK178" s="88" t="n"/>
      <c r="AL178" s="91" t="n"/>
      <c r="AM178" s="88" t="n"/>
      <c r="AN178" s="95" t="n"/>
      <c r="AO178" s="90" t="n"/>
      <c r="AP178" s="90" t="n"/>
    </row>
    <row r="179" ht="14.25" customHeight="1" s="84">
      <c r="A179" s="51" t="n"/>
      <c r="B179" s="47" t="n"/>
      <c r="C179" s="51" t="n"/>
      <c r="D179" s="51" t="n"/>
      <c r="E179" s="51" t="n"/>
      <c r="F179" s="51" t="n"/>
      <c r="G179" s="47" t="n"/>
      <c r="H179" s="51" t="n"/>
      <c r="I179" s="51" t="n"/>
      <c r="J179" s="51" t="n"/>
      <c r="K179" s="51" t="n"/>
      <c r="L179" s="51" t="n"/>
      <c r="N179" s="51" t="n"/>
      <c r="Q179" s="51" t="n"/>
      <c r="S179" s="51" t="n"/>
      <c r="T179" s="51" t="n"/>
      <c r="U179" s="51" t="inlineStr"/>
      <c r="V179" s="55" t="n"/>
      <c r="W179" s="51" t="inlineStr"/>
      <c r="X179" s="51" t="inlineStr"/>
      <c r="Y179" s="51" t="n"/>
      <c r="AB179" s="57" t="n"/>
      <c r="AC179" s="90" t="n"/>
      <c r="AD179" s="90" t="n"/>
      <c r="AE179" s="88" t="n"/>
      <c r="AF179" s="91" t="n"/>
      <c r="AG179" s="91" t="n"/>
      <c r="AH179" s="88" t="n"/>
      <c r="AI179" s="88" t="n"/>
      <c r="AJ179" s="90" t="n"/>
      <c r="AK179" s="88" t="n"/>
      <c r="AL179" s="91" t="n"/>
      <c r="AM179" s="88" t="n"/>
      <c r="AN179" s="95" t="n"/>
      <c r="AO179" s="90" t="n"/>
      <c r="AP179" s="90" t="n"/>
    </row>
    <row r="180" ht="14.25" customHeight="1" s="84">
      <c r="A180" s="51" t="n"/>
      <c r="B180" s="47" t="n"/>
      <c r="C180" s="51" t="n"/>
      <c r="D180" s="51" t="n"/>
      <c r="E180" s="51" t="n"/>
      <c r="F180" s="51" t="n"/>
      <c r="G180" s="47" t="n"/>
      <c r="H180" s="51" t="n"/>
      <c r="I180" s="51" t="n"/>
      <c r="J180" s="51" t="n"/>
      <c r="K180" s="51" t="n"/>
      <c r="L180" s="51" t="n"/>
      <c r="N180" s="51" t="n"/>
      <c r="Q180" s="51" t="n"/>
      <c r="S180" s="51" t="n"/>
      <c r="T180" s="51" t="n"/>
      <c r="U180" s="51" t="inlineStr"/>
      <c r="V180" s="55" t="n"/>
      <c r="W180" s="51" t="inlineStr"/>
      <c r="X180" s="51" t="inlineStr"/>
      <c r="Y180" s="51" t="n"/>
      <c r="AB180" s="57" t="n"/>
      <c r="AC180" s="90" t="n"/>
      <c r="AD180" s="90" t="n"/>
      <c r="AE180" s="88" t="n"/>
      <c r="AF180" s="91" t="n"/>
      <c r="AG180" s="91" t="n"/>
      <c r="AH180" s="88" t="n"/>
      <c r="AI180" s="88" t="n"/>
      <c r="AJ180" s="90" t="n"/>
      <c r="AK180" s="88" t="n"/>
      <c r="AL180" s="91" t="n"/>
      <c r="AM180" s="88" t="n"/>
      <c r="AN180" s="95" t="n"/>
      <c r="AO180" s="90" t="n"/>
      <c r="AP180" s="90" t="n"/>
    </row>
    <row r="181" ht="14.25" customHeight="1" s="84">
      <c r="A181" s="51" t="n"/>
      <c r="B181" s="47" t="n"/>
      <c r="C181" s="51" t="n"/>
      <c r="D181" s="51" t="n"/>
      <c r="E181" s="51" t="n"/>
      <c r="F181" s="51" t="n"/>
      <c r="G181" s="47" t="n"/>
      <c r="H181" s="51" t="n"/>
      <c r="I181" s="51" t="n"/>
      <c r="J181" s="51" t="n"/>
      <c r="K181" s="51" t="n"/>
      <c r="L181" s="51" t="n"/>
      <c r="N181" s="51" t="n"/>
      <c r="Q181" s="51" t="n"/>
      <c r="S181" s="51" t="n"/>
      <c r="T181" s="51" t="n"/>
      <c r="U181" s="51" t="inlineStr"/>
      <c r="V181" s="55" t="n"/>
      <c r="W181" s="51" t="inlineStr"/>
      <c r="X181" s="51" t="inlineStr"/>
      <c r="Y181" s="51" t="n"/>
      <c r="AB181" s="57" t="n"/>
      <c r="AC181" s="90" t="n"/>
      <c r="AD181" s="90" t="n"/>
      <c r="AE181" s="88" t="n"/>
      <c r="AF181" s="91" t="n"/>
      <c r="AG181" s="91" t="n"/>
      <c r="AH181" s="88" t="n"/>
      <c r="AI181" s="88" t="n"/>
      <c r="AJ181" s="90" t="n"/>
      <c r="AK181" s="88" t="n"/>
      <c r="AL181" s="91" t="n"/>
      <c r="AM181" s="88" t="n"/>
      <c r="AN181" s="95" t="n"/>
      <c r="AO181" s="90" t="n"/>
      <c r="AP181" s="90" t="n"/>
    </row>
    <row r="182" ht="14.25" customHeight="1" s="84">
      <c r="A182" s="51" t="n"/>
      <c r="B182" s="47" t="n"/>
      <c r="C182" s="51" t="n"/>
      <c r="D182" s="51" t="n"/>
      <c r="E182" s="51" t="n"/>
      <c r="F182" s="51" t="n"/>
      <c r="G182" s="47" t="n"/>
      <c r="H182" s="51" t="n"/>
      <c r="I182" s="51" t="n"/>
      <c r="J182" s="51" t="n"/>
      <c r="K182" s="51" t="n"/>
      <c r="L182" s="51" t="n"/>
      <c r="N182" s="51" t="n"/>
      <c r="Q182" s="51" t="n"/>
      <c r="S182" s="51" t="n"/>
      <c r="T182" s="51" t="n"/>
      <c r="U182" s="51" t="inlineStr"/>
      <c r="V182" s="55" t="n"/>
      <c r="W182" s="51" t="inlineStr"/>
      <c r="X182" s="51" t="inlineStr"/>
      <c r="Y182" s="51" t="n"/>
      <c r="AB182" s="57" t="n"/>
      <c r="AC182" s="90" t="n"/>
      <c r="AD182" s="90" t="n"/>
      <c r="AE182" s="88" t="n"/>
      <c r="AF182" s="91" t="n"/>
      <c r="AG182" s="91" t="n"/>
      <c r="AH182" s="88" t="n"/>
      <c r="AI182" s="88" t="n"/>
      <c r="AJ182" s="90" t="n"/>
      <c r="AK182" s="88" t="n"/>
      <c r="AL182" s="91" t="n"/>
      <c r="AM182" s="88" t="n"/>
      <c r="AN182" s="95" t="n"/>
      <c r="AO182" s="90" t="n"/>
      <c r="AP182" s="90" t="n"/>
    </row>
    <row r="183" ht="14.25" customHeight="1" s="84">
      <c r="A183" s="51" t="n"/>
      <c r="B183" s="47" t="n"/>
      <c r="C183" s="51" t="n"/>
      <c r="D183" s="51" t="n"/>
      <c r="E183" s="51" t="n"/>
      <c r="F183" s="51" t="n"/>
      <c r="G183" s="47" t="n"/>
      <c r="H183" s="51" t="n"/>
      <c r="I183" s="51" t="n"/>
      <c r="J183" s="51" t="n"/>
      <c r="K183" s="51" t="n"/>
      <c r="L183" s="51" t="n"/>
      <c r="N183" s="51" t="n"/>
      <c r="Q183" s="51" t="n"/>
      <c r="S183" s="51" t="n"/>
      <c r="T183" s="51" t="n"/>
      <c r="U183" s="51" t="inlineStr"/>
      <c r="V183" s="55" t="n"/>
      <c r="W183" s="51" t="inlineStr"/>
      <c r="X183" s="51" t="inlineStr"/>
      <c r="Y183" s="51" t="n"/>
      <c r="AB183" s="57" t="n"/>
      <c r="AC183" s="90" t="n"/>
      <c r="AD183" s="90" t="n"/>
      <c r="AE183" s="88" t="n"/>
      <c r="AF183" s="91" t="n"/>
      <c r="AG183" s="91" t="n"/>
      <c r="AH183" s="88" t="n"/>
      <c r="AI183" s="88" t="n"/>
      <c r="AJ183" s="90" t="n"/>
      <c r="AK183" s="88" t="n"/>
      <c r="AL183" s="91" t="n"/>
      <c r="AM183" s="88" t="n"/>
      <c r="AN183" s="95" t="n"/>
      <c r="AO183" s="90" t="n"/>
      <c r="AP183" s="90" t="n"/>
    </row>
    <row r="184" ht="14.25" customHeight="1" s="84">
      <c r="A184" s="51" t="n"/>
      <c r="B184" s="47" t="n"/>
      <c r="C184" s="51" t="n"/>
      <c r="D184" s="51" t="n"/>
      <c r="E184" s="51" t="n"/>
      <c r="F184" s="51" t="n"/>
      <c r="G184" s="47" t="n"/>
      <c r="H184" s="51" t="n"/>
      <c r="I184" s="51" t="n"/>
      <c r="J184" s="51" t="n"/>
      <c r="K184" s="51" t="n"/>
      <c r="L184" s="51" t="n"/>
      <c r="N184" s="51" t="n"/>
      <c r="Q184" s="51" t="n"/>
      <c r="S184" s="51" t="n"/>
      <c r="T184" s="51" t="n"/>
      <c r="U184" s="51" t="inlineStr"/>
      <c r="V184" s="55" t="n"/>
      <c r="W184" s="51" t="inlineStr"/>
      <c r="X184" s="51" t="inlineStr"/>
      <c r="Y184" s="51" t="n"/>
      <c r="AB184" s="57" t="n"/>
      <c r="AC184" s="90" t="n"/>
      <c r="AD184" s="90" t="n"/>
      <c r="AE184" s="88" t="n"/>
      <c r="AF184" s="91" t="n"/>
      <c r="AG184" s="91" t="n"/>
      <c r="AH184" s="88" t="n"/>
      <c r="AI184" s="88" t="n"/>
      <c r="AJ184" s="90" t="n"/>
      <c r="AK184" s="88" t="n"/>
      <c r="AL184" s="91" t="n"/>
      <c r="AM184" s="88" t="n"/>
      <c r="AN184" s="95" t="n"/>
      <c r="AO184" s="90" t="n"/>
      <c r="AP184" s="90" t="n"/>
    </row>
    <row r="185" ht="14.25" customHeight="1" s="84">
      <c r="A185" s="51" t="n"/>
      <c r="B185" s="47" t="n"/>
      <c r="C185" s="51" t="n"/>
      <c r="D185" s="51" t="n"/>
      <c r="E185" s="51" t="n"/>
      <c r="F185" s="51" t="n"/>
      <c r="G185" s="47" t="n"/>
      <c r="H185" s="51" t="n"/>
      <c r="I185" s="51" t="n"/>
      <c r="J185" s="51" t="n"/>
      <c r="K185" s="51" t="n"/>
      <c r="L185" s="51" t="n"/>
      <c r="N185" s="51" t="n"/>
      <c r="Q185" s="51" t="n"/>
      <c r="S185" s="51" t="n"/>
      <c r="T185" s="51" t="n"/>
      <c r="U185" s="51" t="inlineStr"/>
      <c r="V185" s="55" t="n"/>
      <c r="W185" s="51" t="inlineStr"/>
      <c r="X185" s="51" t="inlineStr"/>
      <c r="Y185" s="51" t="n"/>
      <c r="AB185" s="57" t="n"/>
      <c r="AC185" s="90" t="n"/>
      <c r="AD185" s="90" t="n"/>
      <c r="AE185" s="88" t="n"/>
      <c r="AF185" s="91" t="n"/>
      <c r="AG185" s="91" t="n"/>
      <c r="AH185" s="88" t="n"/>
      <c r="AI185" s="88" t="n"/>
      <c r="AJ185" s="90" t="n"/>
      <c r="AK185" s="88" t="n"/>
      <c r="AL185" s="91" t="n"/>
      <c r="AM185" s="88" t="n"/>
      <c r="AN185" s="95" t="n"/>
      <c r="AO185" s="90" t="n"/>
      <c r="AP185" s="90" t="n"/>
    </row>
    <row r="186" ht="14.25" customHeight="1" s="84">
      <c r="A186" s="51" t="n"/>
      <c r="B186" s="47" t="n"/>
      <c r="C186" s="51" t="n"/>
      <c r="D186" s="51" t="n"/>
      <c r="E186" s="51" t="n"/>
      <c r="F186" s="51" t="n"/>
      <c r="G186" s="47" t="n"/>
      <c r="H186" s="51" t="n"/>
      <c r="I186" s="51" t="n"/>
      <c r="J186" s="51" t="n"/>
      <c r="K186" s="51" t="n"/>
      <c r="L186" s="51" t="n"/>
      <c r="N186" s="51" t="n"/>
      <c r="Q186" s="51" t="n"/>
      <c r="S186" s="51" t="n"/>
      <c r="T186" s="51" t="n"/>
      <c r="U186" s="51" t="inlineStr"/>
      <c r="V186" s="55" t="n"/>
      <c r="W186" s="51" t="inlineStr"/>
      <c r="X186" s="51" t="inlineStr"/>
      <c r="Y186" s="51" t="n"/>
      <c r="AB186" s="57" t="n"/>
      <c r="AC186" s="90" t="n"/>
      <c r="AD186" s="90" t="n"/>
      <c r="AE186" s="88" t="n"/>
      <c r="AF186" s="91" t="n"/>
      <c r="AG186" s="91" t="n"/>
      <c r="AH186" s="88" t="n"/>
      <c r="AI186" s="88" t="n"/>
      <c r="AJ186" s="90" t="n"/>
      <c r="AK186" s="88" t="n"/>
      <c r="AL186" s="91" t="n"/>
      <c r="AM186" s="88" t="n"/>
      <c r="AN186" s="95" t="n"/>
      <c r="AO186" s="90" t="n"/>
      <c r="AP186" s="90" t="n"/>
    </row>
    <row r="187" ht="14.25" customHeight="1" s="84">
      <c r="A187" s="51" t="n"/>
      <c r="B187" s="47" t="n"/>
      <c r="C187" s="51" t="n"/>
      <c r="D187" s="51" t="n"/>
      <c r="E187" s="51" t="n"/>
      <c r="F187" s="51" t="n"/>
      <c r="G187" s="47" t="n"/>
      <c r="H187" s="51" t="n"/>
      <c r="I187" s="51" t="n"/>
      <c r="J187" s="51" t="n"/>
      <c r="K187" s="51" t="n"/>
      <c r="L187" s="51" t="n"/>
      <c r="N187" s="51" t="n"/>
      <c r="Q187" s="51" t="n"/>
      <c r="S187" s="51" t="n"/>
      <c r="T187" s="51" t="n"/>
      <c r="U187" s="51" t="inlineStr"/>
      <c r="V187" s="55" t="n"/>
      <c r="W187" s="51" t="inlineStr"/>
      <c r="X187" s="51" t="inlineStr"/>
      <c r="Y187" s="51" t="n"/>
      <c r="AB187" s="57" t="n"/>
      <c r="AC187" s="90" t="n"/>
      <c r="AD187" s="90" t="n"/>
      <c r="AE187" s="88" t="n"/>
      <c r="AF187" s="91" t="n"/>
      <c r="AG187" s="91" t="n"/>
      <c r="AH187" s="88" t="n"/>
      <c r="AI187" s="88" t="n"/>
      <c r="AJ187" s="90" t="n"/>
      <c r="AK187" s="88" t="n"/>
      <c r="AL187" s="91" t="n"/>
      <c r="AM187" s="88" t="n"/>
      <c r="AN187" s="95" t="n"/>
      <c r="AO187" s="90" t="n"/>
      <c r="AP187" s="90" t="n"/>
    </row>
    <row r="188" ht="14.25" customHeight="1" s="84">
      <c r="A188" s="51" t="n"/>
      <c r="B188" s="47" t="n"/>
      <c r="C188" s="51" t="n"/>
      <c r="D188" s="51" t="n"/>
      <c r="E188" s="51" t="n"/>
      <c r="F188" s="51" t="n"/>
      <c r="G188" s="47" t="n"/>
      <c r="H188" s="51" t="n"/>
      <c r="I188" s="51" t="n"/>
      <c r="J188" s="51" t="n"/>
      <c r="K188" s="51" t="n"/>
      <c r="L188" s="51" t="n"/>
      <c r="N188" s="51" t="n"/>
      <c r="Q188" s="51" t="n"/>
      <c r="S188" s="51" t="n"/>
      <c r="T188" s="51" t="n"/>
      <c r="U188" s="51" t="inlineStr"/>
      <c r="V188" s="55" t="n"/>
      <c r="W188" s="51" t="inlineStr"/>
      <c r="X188" s="51" t="inlineStr"/>
      <c r="Y188" s="51" t="n"/>
      <c r="AB188" s="57" t="n"/>
      <c r="AC188" s="90" t="n"/>
      <c r="AD188" s="90" t="n"/>
      <c r="AE188" s="88" t="n"/>
      <c r="AF188" s="91" t="n"/>
      <c r="AG188" s="91" t="n"/>
      <c r="AH188" s="88" t="n"/>
      <c r="AI188" s="88" t="n"/>
      <c r="AJ188" s="90" t="n"/>
      <c r="AK188" s="88" t="n"/>
      <c r="AL188" s="91" t="n"/>
      <c r="AM188" s="88" t="n"/>
      <c r="AN188" s="95" t="n"/>
      <c r="AO188" s="90" t="n"/>
      <c r="AP188" s="90" t="n"/>
    </row>
    <row r="189" ht="14.25" customHeight="1" s="84">
      <c r="A189" s="51" t="n"/>
      <c r="B189" s="47" t="n"/>
      <c r="C189" s="51" t="n"/>
      <c r="D189" s="51" t="n"/>
      <c r="E189" s="51" t="n"/>
      <c r="F189" s="51" t="n"/>
      <c r="G189" s="47" t="n"/>
      <c r="H189" s="51" t="n"/>
      <c r="I189" s="51" t="n"/>
      <c r="J189" s="51" t="n"/>
      <c r="K189" s="51" t="n"/>
      <c r="L189" s="51" t="n"/>
      <c r="N189" s="51" t="n"/>
      <c r="Q189" s="51" t="n"/>
      <c r="S189" s="51" t="n"/>
      <c r="T189" s="51" t="n"/>
      <c r="U189" s="51" t="inlineStr"/>
      <c r="V189" s="55" t="n"/>
      <c r="W189" s="51" t="inlineStr"/>
      <c r="X189" s="51" t="inlineStr"/>
      <c r="Y189" s="51" t="n"/>
      <c r="AB189" s="57" t="n"/>
      <c r="AC189" s="90" t="n"/>
      <c r="AD189" s="90" t="n"/>
      <c r="AE189" s="88" t="n"/>
      <c r="AF189" s="91" t="n"/>
      <c r="AG189" s="91" t="n"/>
      <c r="AH189" s="88" t="n"/>
      <c r="AI189" s="88" t="n"/>
      <c r="AJ189" s="90" t="n"/>
      <c r="AK189" s="88" t="n"/>
      <c r="AL189" s="91" t="n"/>
      <c r="AM189" s="88" t="n"/>
      <c r="AN189" s="95" t="n"/>
      <c r="AO189" s="90" t="n"/>
      <c r="AP189" s="90" t="n"/>
    </row>
    <row r="190" ht="14.25" customHeight="1" s="84">
      <c r="A190" s="51" t="n"/>
      <c r="B190" s="47" t="n"/>
      <c r="C190" s="51" t="n"/>
      <c r="D190" s="51" t="n"/>
      <c r="E190" s="51" t="n"/>
      <c r="F190" s="51" t="n"/>
      <c r="G190" s="47" t="n"/>
      <c r="H190" s="51" t="n"/>
      <c r="I190" s="51" t="n"/>
      <c r="J190" s="51" t="n"/>
      <c r="K190" s="51" t="n"/>
      <c r="L190" s="51" t="n"/>
      <c r="N190" s="51" t="n"/>
      <c r="Q190" s="51" t="n"/>
      <c r="S190" s="51" t="n"/>
      <c r="T190" s="51" t="n"/>
      <c r="U190" s="51" t="inlineStr"/>
      <c r="V190" s="55" t="n"/>
      <c r="W190" s="51" t="inlineStr"/>
      <c r="X190" s="51" t="inlineStr"/>
      <c r="Y190" s="51" t="n"/>
      <c r="AB190" s="57" t="n"/>
      <c r="AC190" s="90" t="n"/>
      <c r="AD190" s="90" t="n"/>
      <c r="AE190" s="88" t="n"/>
      <c r="AF190" s="91" t="n"/>
      <c r="AG190" s="91" t="n"/>
      <c r="AH190" s="88" t="n"/>
      <c r="AI190" s="88" t="n"/>
      <c r="AJ190" s="90" t="n"/>
      <c r="AK190" s="88" t="n"/>
      <c r="AL190" s="91" t="n"/>
      <c r="AM190" s="88" t="n"/>
      <c r="AN190" s="95" t="n"/>
      <c r="AO190" s="90" t="n"/>
      <c r="AP190" s="90" t="n"/>
    </row>
    <row r="191" ht="14.25" customHeight="1" s="84">
      <c r="A191" s="51" t="n"/>
      <c r="B191" s="47" t="n"/>
      <c r="C191" s="51" t="n"/>
      <c r="D191" s="51" t="n"/>
      <c r="E191" s="51" t="n"/>
      <c r="F191" s="51" t="n"/>
      <c r="G191" s="47" t="n"/>
      <c r="H191" s="51" t="n"/>
      <c r="I191" s="51" t="n"/>
      <c r="J191" s="51" t="n"/>
      <c r="K191" s="51" t="n"/>
      <c r="L191" s="51" t="n"/>
      <c r="N191" s="51" t="n"/>
      <c r="Q191" s="51" t="n"/>
      <c r="S191" s="51" t="n"/>
      <c r="T191" s="51" t="n"/>
      <c r="U191" s="51" t="inlineStr"/>
      <c r="V191" s="55" t="n"/>
      <c r="W191" s="51" t="inlineStr"/>
      <c r="X191" s="51" t="inlineStr"/>
      <c r="Y191" s="51" t="n"/>
      <c r="AB191" s="57" t="n"/>
      <c r="AC191" s="90" t="n"/>
      <c r="AD191" s="90" t="n"/>
      <c r="AE191" s="88" t="n"/>
      <c r="AF191" s="91" t="n"/>
      <c r="AG191" s="91" t="n"/>
      <c r="AH191" s="88" t="n"/>
      <c r="AI191" s="88" t="n"/>
      <c r="AJ191" s="90" t="n"/>
      <c r="AK191" s="88" t="n"/>
      <c r="AL191" s="91" t="n"/>
      <c r="AM191" s="88" t="n"/>
      <c r="AN191" s="95" t="n"/>
      <c r="AO191" s="90" t="n"/>
      <c r="AP191" s="90" t="n"/>
    </row>
    <row r="192" ht="14.25" customHeight="1" s="84">
      <c r="A192" s="51" t="n"/>
      <c r="B192" s="47" t="n"/>
      <c r="C192" s="51" t="n"/>
      <c r="D192" s="51" t="n"/>
      <c r="E192" s="51" t="n"/>
      <c r="F192" s="51" t="n"/>
      <c r="G192" s="47" t="n"/>
      <c r="H192" s="51" t="n"/>
      <c r="I192" s="51" t="n"/>
      <c r="J192" s="51" t="n"/>
      <c r="K192" s="51" t="n"/>
      <c r="L192" s="51" t="n"/>
      <c r="N192" s="51" t="n"/>
      <c r="Q192" s="51" t="n"/>
      <c r="S192" s="51" t="n"/>
      <c r="T192" s="51" t="n"/>
      <c r="U192" s="51" t="inlineStr"/>
      <c r="V192" s="55" t="n"/>
      <c r="W192" s="51" t="inlineStr"/>
      <c r="X192" s="51" t="inlineStr"/>
      <c r="Y192" s="51" t="n"/>
      <c r="AB192" s="57" t="n"/>
      <c r="AC192" s="90" t="n"/>
      <c r="AD192" s="90" t="n"/>
      <c r="AE192" s="88" t="n"/>
      <c r="AF192" s="91" t="n"/>
      <c r="AG192" s="91" t="n"/>
      <c r="AH192" s="88" t="n"/>
      <c r="AI192" s="88" t="n"/>
      <c r="AJ192" s="90" t="n"/>
      <c r="AK192" s="88" t="n"/>
      <c r="AL192" s="91" t="n"/>
      <c r="AM192" s="88" t="n"/>
      <c r="AN192" s="95" t="n"/>
      <c r="AO192" s="90" t="n"/>
      <c r="AP192" s="90" t="n"/>
    </row>
    <row r="193" ht="14.25" customHeight="1" s="84">
      <c r="A193" s="51" t="n"/>
      <c r="B193" s="47" t="n"/>
      <c r="C193" s="51" t="n"/>
      <c r="D193" s="51" t="n"/>
      <c r="E193" s="51" t="n"/>
      <c r="F193" s="51" t="n"/>
      <c r="G193" s="47" t="n"/>
      <c r="H193" s="51" t="n"/>
      <c r="I193" s="51" t="n"/>
      <c r="J193" s="51" t="n"/>
      <c r="K193" s="51" t="n"/>
      <c r="L193" s="51" t="n"/>
      <c r="N193" s="51" t="n"/>
      <c r="Q193" s="51" t="n"/>
      <c r="S193" s="51" t="n"/>
      <c r="T193" s="51" t="n"/>
      <c r="U193" s="51" t="inlineStr"/>
      <c r="V193" s="55" t="n"/>
      <c r="W193" s="51" t="inlineStr"/>
      <c r="X193" s="51" t="inlineStr"/>
      <c r="Y193" s="51" t="n"/>
      <c r="AB193" s="57" t="n"/>
      <c r="AC193" s="90" t="n"/>
      <c r="AD193" s="90" t="n"/>
      <c r="AE193" s="88" t="n"/>
      <c r="AF193" s="91" t="n"/>
      <c r="AG193" s="91" t="n"/>
      <c r="AH193" s="88" t="n"/>
      <c r="AI193" s="88" t="n"/>
      <c r="AJ193" s="90" t="n"/>
      <c r="AK193" s="88" t="n"/>
      <c r="AL193" s="91" t="n"/>
      <c r="AM193" s="88" t="n"/>
      <c r="AN193" s="95" t="n"/>
      <c r="AO193" s="90" t="n"/>
      <c r="AP193" s="90" t="n"/>
    </row>
    <row r="194" ht="14.25" customHeight="1" s="84">
      <c r="A194" s="51" t="n"/>
      <c r="B194" s="47" t="n"/>
      <c r="C194" s="51" t="n"/>
      <c r="D194" s="51" t="n"/>
      <c r="E194" s="51" t="n"/>
      <c r="F194" s="51" t="n"/>
      <c r="G194" s="47" t="n"/>
      <c r="H194" s="51" t="n"/>
      <c r="I194" s="51" t="n"/>
      <c r="J194" s="51" t="n"/>
      <c r="K194" s="51" t="n"/>
      <c r="L194" s="51" t="n"/>
      <c r="N194" s="51" t="n"/>
      <c r="Q194" s="51" t="n"/>
      <c r="S194" s="51" t="n"/>
      <c r="T194" s="51" t="n"/>
      <c r="U194" s="51" t="inlineStr"/>
      <c r="V194" s="55" t="n"/>
      <c r="W194" s="51" t="inlineStr"/>
      <c r="X194" s="51" t="inlineStr"/>
      <c r="Y194" s="51" t="n"/>
      <c r="AB194" s="57" t="n"/>
      <c r="AC194" s="90" t="n"/>
      <c r="AD194" s="90" t="n"/>
      <c r="AE194" s="88" t="n"/>
      <c r="AF194" s="91" t="n"/>
      <c r="AG194" s="91" t="n"/>
      <c r="AH194" s="88" t="n"/>
      <c r="AI194" s="88" t="n"/>
      <c r="AJ194" s="90" t="n"/>
      <c r="AK194" s="88" t="n"/>
      <c r="AL194" s="91" t="n"/>
      <c r="AM194" s="88" t="n"/>
      <c r="AN194" s="95" t="n"/>
      <c r="AO194" s="90" t="n"/>
      <c r="AP194" s="90" t="n"/>
    </row>
    <row r="195" ht="14.25" customHeight="1" s="84">
      <c r="A195" s="51" t="n"/>
      <c r="B195" s="47" t="n"/>
      <c r="C195" s="51" t="n"/>
      <c r="D195" s="51" t="n"/>
      <c r="E195" s="51" t="n"/>
      <c r="F195" s="51" t="n"/>
      <c r="G195" s="47" t="n"/>
      <c r="H195" s="51" t="n"/>
      <c r="I195" s="51" t="n"/>
      <c r="J195" s="51" t="n"/>
      <c r="K195" s="51" t="n"/>
      <c r="L195" s="51" t="n"/>
      <c r="N195" s="51" t="n"/>
      <c r="Q195" s="51" t="n"/>
      <c r="S195" s="51" t="n"/>
      <c r="T195" s="51" t="n"/>
      <c r="U195" s="51" t="inlineStr"/>
      <c r="V195" s="55" t="n"/>
      <c r="W195" s="51" t="inlineStr"/>
      <c r="X195" s="51" t="inlineStr"/>
      <c r="Y195" s="51" t="n"/>
      <c r="AB195" s="57" t="n"/>
      <c r="AC195" s="90" t="n"/>
      <c r="AD195" s="90" t="n"/>
      <c r="AE195" s="88" t="n"/>
      <c r="AF195" s="91" t="n"/>
      <c r="AG195" s="91" t="n"/>
      <c r="AH195" s="88" t="n"/>
      <c r="AI195" s="88" t="n"/>
      <c r="AJ195" s="90" t="n"/>
      <c r="AK195" s="88" t="n"/>
      <c r="AL195" s="91" t="n"/>
      <c r="AM195" s="88" t="n"/>
      <c r="AN195" s="95" t="n"/>
      <c r="AO195" s="90" t="n"/>
      <c r="AP195" s="90" t="n"/>
    </row>
    <row r="196" ht="14.25" customHeight="1" s="84">
      <c r="A196" s="51" t="n"/>
      <c r="B196" s="47" t="n"/>
      <c r="C196" s="51" t="n"/>
      <c r="D196" s="51" t="n"/>
      <c r="E196" s="51" t="n"/>
      <c r="F196" s="51" t="n"/>
      <c r="G196" s="47" t="n"/>
      <c r="H196" s="51" t="n"/>
      <c r="I196" s="51" t="n"/>
      <c r="J196" s="51" t="n"/>
      <c r="K196" s="51" t="n"/>
      <c r="L196" s="51" t="n"/>
      <c r="N196" s="51" t="n"/>
      <c r="Q196" s="51" t="n"/>
      <c r="S196" s="51" t="n"/>
      <c r="T196" s="51" t="n"/>
      <c r="U196" s="51" t="inlineStr"/>
      <c r="V196" s="55" t="n"/>
      <c r="W196" s="51" t="inlineStr"/>
      <c r="X196" s="51" t="inlineStr"/>
      <c r="Y196" s="51" t="n"/>
      <c r="AB196" s="57" t="n"/>
      <c r="AC196" s="90" t="n"/>
      <c r="AD196" s="90" t="n"/>
      <c r="AE196" s="88" t="n"/>
      <c r="AF196" s="91" t="n"/>
      <c r="AG196" s="91" t="n"/>
      <c r="AH196" s="88" t="n"/>
      <c r="AI196" s="88" t="n"/>
      <c r="AJ196" s="90" t="n"/>
      <c r="AK196" s="88" t="n"/>
      <c r="AL196" s="91" t="n"/>
      <c r="AM196" s="88" t="n"/>
      <c r="AN196" s="95" t="n"/>
      <c r="AO196" s="90" t="n"/>
      <c r="AP196" s="90" t="n"/>
    </row>
    <row r="197" ht="14.25" customHeight="1" s="84">
      <c r="A197" s="51" t="n"/>
      <c r="B197" s="47" t="n"/>
      <c r="C197" s="51" t="n"/>
      <c r="D197" s="51" t="n"/>
      <c r="E197" s="51" t="n"/>
      <c r="F197" s="51" t="n"/>
      <c r="G197" s="47" t="n"/>
      <c r="H197" s="51" t="n"/>
      <c r="I197" s="51" t="n"/>
      <c r="J197" s="51" t="n"/>
      <c r="K197" s="51" t="n"/>
      <c r="L197" s="51" t="n"/>
      <c r="N197" s="51" t="n"/>
      <c r="Q197" s="51" t="n"/>
      <c r="S197" s="51" t="n"/>
      <c r="T197" s="51" t="n"/>
      <c r="U197" s="51" t="inlineStr"/>
      <c r="V197" s="55" t="n"/>
      <c r="W197" s="51" t="inlineStr"/>
      <c r="X197" s="51" t="inlineStr"/>
      <c r="Y197" s="51" t="n"/>
      <c r="AB197" s="57" t="n"/>
      <c r="AC197" s="90" t="n"/>
      <c r="AD197" s="90" t="n"/>
      <c r="AE197" s="88" t="n"/>
      <c r="AF197" s="91" t="n"/>
      <c r="AG197" s="91" t="n"/>
      <c r="AH197" s="88" t="n"/>
      <c r="AI197" s="88" t="n"/>
      <c r="AJ197" s="90" t="n"/>
      <c r="AK197" s="88" t="n"/>
      <c r="AL197" s="91" t="n"/>
      <c r="AM197" s="88" t="n"/>
      <c r="AN197" s="95" t="n"/>
      <c r="AO197" s="90" t="n"/>
      <c r="AP197" s="90" t="n"/>
    </row>
    <row r="198" ht="14.25" customHeight="1" s="84">
      <c r="A198" s="51" t="n"/>
      <c r="B198" s="47" t="n"/>
      <c r="C198" s="51" t="n"/>
      <c r="D198" s="51" t="n"/>
      <c r="E198" s="51" t="n"/>
      <c r="F198" s="51" t="n"/>
      <c r="G198" s="47" t="n"/>
      <c r="H198" s="51" t="n"/>
      <c r="I198" s="51" t="n"/>
      <c r="J198" s="51" t="n"/>
      <c r="K198" s="51" t="n"/>
      <c r="L198" s="51" t="n"/>
      <c r="N198" s="51" t="n"/>
      <c r="Q198" s="51" t="n"/>
      <c r="S198" s="51" t="n"/>
      <c r="T198" s="51" t="n"/>
      <c r="U198" s="51" t="inlineStr"/>
      <c r="V198" s="55" t="n"/>
      <c r="W198" s="51" t="inlineStr"/>
      <c r="X198" s="51" t="inlineStr"/>
      <c r="Y198" s="51" t="n"/>
      <c r="AB198" s="57" t="n"/>
      <c r="AC198" s="90" t="n"/>
      <c r="AD198" s="90" t="n"/>
      <c r="AE198" s="88" t="n"/>
      <c r="AF198" s="91" t="n"/>
      <c r="AG198" s="91" t="n"/>
      <c r="AH198" s="88" t="n"/>
      <c r="AI198" s="88" t="n"/>
      <c r="AJ198" s="90" t="n"/>
      <c r="AK198" s="88" t="n"/>
      <c r="AL198" s="91" t="n"/>
      <c r="AM198" s="88" t="n"/>
      <c r="AN198" s="95" t="n"/>
      <c r="AO198" s="90" t="n"/>
      <c r="AP198" s="90" t="n"/>
    </row>
    <row r="199" ht="14.25" customHeight="1" s="84">
      <c r="A199" s="51" t="n"/>
      <c r="B199" s="47" t="n"/>
      <c r="C199" s="51" t="n"/>
      <c r="D199" s="51" t="n"/>
      <c r="E199" s="51" t="n"/>
      <c r="F199" s="51" t="n"/>
      <c r="G199" s="47" t="n"/>
      <c r="H199" s="51" t="n"/>
      <c r="I199" s="51" t="n"/>
      <c r="J199" s="51" t="n"/>
      <c r="K199" s="51" t="n"/>
      <c r="L199" s="51" t="n"/>
      <c r="N199" s="51" t="n"/>
      <c r="Q199" s="51" t="n"/>
      <c r="S199" s="51" t="n"/>
      <c r="T199" s="51" t="n"/>
      <c r="U199" s="51" t="inlineStr"/>
      <c r="V199" s="55" t="n"/>
      <c r="W199" s="51" t="inlineStr"/>
      <c r="X199" s="51" t="inlineStr"/>
      <c r="Y199" s="51" t="n"/>
      <c r="AB199" s="57" t="n"/>
      <c r="AC199" s="90" t="n"/>
      <c r="AD199" s="90" t="n"/>
      <c r="AE199" s="88" t="n"/>
      <c r="AF199" s="91" t="n"/>
      <c r="AG199" s="91" t="n"/>
      <c r="AH199" s="88" t="n"/>
      <c r="AI199" s="88" t="n"/>
      <c r="AJ199" s="90" t="n"/>
      <c r="AK199" s="88" t="n"/>
      <c r="AL199" s="91" t="n"/>
      <c r="AM199" s="88" t="n"/>
      <c r="AN199" s="95" t="n"/>
      <c r="AO199" s="90" t="n"/>
      <c r="AP199" s="90" t="n"/>
    </row>
    <row r="200" ht="14.25" customHeight="1" s="84">
      <c r="A200" s="51" t="n"/>
      <c r="B200" s="47" t="n"/>
      <c r="C200" s="51" t="n"/>
      <c r="D200" s="51" t="n"/>
      <c r="E200" s="51" t="n"/>
      <c r="F200" s="51" t="n"/>
      <c r="G200" s="47" t="n"/>
      <c r="H200" s="51" t="n"/>
      <c r="I200" s="51" t="n"/>
      <c r="J200" s="51" t="n"/>
      <c r="K200" s="51" t="n"/>
      <c r="L200" s="51" t="n"/>
      <c r="N200" s="51" t="n"/>
      <c r="Q200" s="51" t="n"/>
      <c r="S200" s="51" t="n"/>
      <c r="T200" s="51" t="n"/>
      <c r="U200" s="51" t="inlineStr"/>
      <c r="V200" s="55" t="n"/>
      <c r="W200" s="51" t="inlineStr"/>
      <c r="X200" s="51" t="inlineStr"/>
      <c r="Y200" s="51" t="n"/>
      <c r="AB200" s="57" t="n"/>
      <c r="AC200" s="90" t="n"/>
      <c r="AD200" s="90" t="n"/>
      <c r="AE200" s="88" t="n"/>
      <c r="AF200" s="91" t="n"/>
      <c r="AG200" s="91" t="n"/>
      <c r="AH200" s="88" t="n"/>
      <c r="AI200" s="88" t="n"/>
      <c r="AJ200" s="90" t="n"/>
      <c r="AK200" s="88" t="n"/>
      <c r="AL200" s="91" t="n"/>
      <c r="AM200" s="88" t="n"/>
      <c r="AN200" s="95" t="n"/>
      <c r="AO200" s="90" t="n"/>
      <c r="AP200" s="90" t="n"/>
    </row>
    <row r="201" ht="14.25" customHeight="1" s="84">
      <c r="A201" s="51" t="n"/>
      <c r="B201" s="47" t="n"/>
      <c r="C201" s="51" t="n"/>
      <c r="D201" s="51" t="n"/>
      <c r="E201" s="51" t="n"/>
      <c r="F201" s="51" t="n"/>
      <c r="G201" s="47" t="n"/>
      <c r="H201" s="51" t="n"/>
      <c r="I201" s="51" t="n"/>
      <c r="J201" s="51" t="n"/>
      <c r="K201" s="51" t="n"/>
      <c r="L201" s="51" t="n"/>
      <c r="N201" s="51" t="n"/>
      <c r="Q201" s="51" t="n"/>
      <c r="S201" s="51" t="n"/>
      <c r="T201" s="51" t="n"/>
      <c r="U201" s="51" t="inlineStr"/>
      <c r="V201" s="55" t="n"/>
      <c r="W201" s="51" t="inlineStr"/>
      <c r="X201" s="51" t="inlineStr"/>
      <c r="Y201" s="51" t="n"/>
      <c r="AB201" s="57" t="n"/>
      <c r="AC201" s="90" t="n"/>
      <c r="AD201" s="90" t="n"/>
      <c r="AE201" s="88" t="n"/>
      <c r="AF201" s="91" t="n"/>
      <c r="AG201" s="91" t="n"/>
      <c r="AH201" s="88" t="n"/>
      <c r="AI201" s="88" t="n"/>
      <c r="AJ201" s="90" t="n"/>
      <c r="AK201" s="88" t="n"/>
      <c r="AL201" s="91" t="n"/>
      <c r="AM201" s="88" t="n"/>
      <c r="AN201" s="95" t="n"/>
      <c r="AO201" s="90" t="n"/>
      <c r="AP201" s="90" t="n"/>
    </row>
    <row r="202" ht="14.25" customHeight="1" s="84">
      <c r="A202" s="51" t="n"/>
      <c r="B202" s="47" t="n"/>
      <c r="C202" s="51" t="n"/>
      <c r="D202" s="51" t="n"/>
      <c r="E202" s="51" t="n"/>
      <c r="F202" s="51" t="n"/>
      <c r="G202" s="47" t="n"/>
      <c r="H202" s="51" t="n"/>
      <c r="I202" s="51" t="n"/>
      <c r="J202" s="51" t="n"/>
      <c r="K202" s="51" t="n"/>
      <c r="L202" s="51" t="n"/>
      <c r="N202" s="51" t="n"/>
      <c r="Q202" s="51" t="n"/>
      <c r="S202" s="51" t="n"/>
      <c r="T202" s="51" t="n"/>
      <c r="U202" s="51" t="inlineStr"/>
      <c r="V202" s="55" t="n"/>
      <c r="W202" s="51" t="inlineStr"/>
      <c r="X202" s="51" t="inlineStr"/>
      <c r="Y202" s="51" t="n"/>
      <c r="AB202" s="57" t="n"/>
      <c r="AC202" s="90" t="n"/>
      <c r="AD202" s="90" t="n"/>
      <c r="AE202" s="88" t="n"/>
      <c r="AF202" s="91" t="n"/>
      <c r="AG202" s="91" t="n"/>
      <c r="AH202" s="88" t="n"/>
      <c r="AI202" s="88" t="n"/>
      <c r="AJ202" s="90" t="n"/>
      <c r="AK202" s="88" t="n"/>
      <c r="AL202" s="91" t="n"/>
      <c r="AM202" s="88" t="n"/>
      <c r="AN202" s="95" t="n"/>
      <c r="AO202" s="90" t="n"/>
      <c r="AP202" s="90" t="n"/>
    </row>
    <row r="203" ht="14.25" customHeight="1" s="84">
      <c r="A203" s="51" t="n"/>
      <c r="B203" s="47" t="n"/>
      <c r="C203" s="51" t="n"/>
      <c r="D203" s="51" t="n"/>
      <c r="E203" s="51" t="n"/>
      <c r="F203" s="51" t="n"/>
      <c r="G203" s="47" t="n"/>
      <c r="H203" s="51" t="n"/>
      <c r="I203" s="51" t="n"/>
      <c r="J203" s="51" t="n"/>
      <c r="K203" s="51" t="n"/>
      <c r="L203" s="51" t="n"/>
      <c r="N203" s="51" t="n"/>
      <c r="Q203" s="51" t="n"/>
      <c r="S203" s="51" t="n"/>
      <c r="T203" s="51" t="n"/>
      <c r="U203" s="51" t="inlineStr"/>
      <c r="V203" s="55" t="n"/>
      <c r="W203" s="51" t="inlineStr"/>
      <c r="X203" s="51" t="inlineStr"/>
      <c r="Y203" s="51" t="n"/>
      <c r="AB203" s="57" t="n"/>
      <c r="AC203" s="90" t="n"/>
      <c r="AD203" s="90" t="n"/>
      <c r="AE203" s="88" t="n"/>
      <c r="AF203" s="91" t="n"/>
      <c r="AG203" s="91" t="n"/>
      <c r="AH203" s="88" t="n"/>
      <c r="AI203" s="88" t="n"/>
      <c r="AJ203" s="90" t="n"/>
      <c r="AK203" s="88" t="n"/>
      <c r="AL203" s="91" t="n"/>
      <c r="AM203" s="88" t="n"/>
      <c r="AN203" s="95" t="n"/>
      <c r="AO203" s="90" t="n"/>
      <c r="AP203" s="90" t="n"/>
    </row>
    <row r="204" ht="14.25" customHeight="1" s="84">
      <c r="A204" s="51" t="n"/>
      <c r="B204" s="47" t="n"/>
      <c r="C204" s="51" t="n"/>
      <c r="D204" s="51" t="n"/>
      <c r="E204" s="51" t="n"/>
      <c r="F204" s="51" t="n"/>
      <c r="G204" s="47" t="n"/>
      <c r="H204" s="51" t="n"/>
      <c r="I204" s="51" t="n"/>
      <c r="J204" s="51" t="n"/>
      <c r="K204" s="51" t="n"/>
      <c r="L204" s="51" t="n"/>
      <c r="N204" s="51" t="n"/>
      <c r="Q204" s="51" t="n"/>
      <c r="S204" s="51" t="n"/>
      <c r="T204" s="51" t="n"/>
      <c r="U204" s="51" t="inlineStr"/>
      <c r="V204" s="55" t="n"/>
      <c r="W204" s="51" t="inlineStr"/>
      <c r="X204" s="51" t="inlineStr"/>
      <c r="Y204" s="51" t="n"/>
      <c r="AB204" s="57" t="n"/>
      <c r="AC204" s="90" t="n"/>
      <c r="AD204" s="90" t="n"/>
      <c r="AE204" s="88" t="n"/>
      <c r="AF204" s="91" t="n"/>
      <c r="AG204" s="91" t="n"/>
      <c r="AH204" s="88" t="n"/>
      <c r="AI204" s="88" t="n"/>
      <c r="AJ204" s="90" t="n"/>
      <c r="AK204" s="88" t="n"/>
      <c r="AL204" s="91" t="n"/>
      <c r="AM204" s="88" t="n"/>
      <c r="AN204" s="95" t="n"/>
      <c r="AO204" s="90" t="n"/>
      <c r="AP204" s="90" t="n"/>
    </row>
    <row r="205" ht="14.25" customHeight="1" s="84">
      <c r="A205" s="51" t="n"/>
      <c r="B205" s="47" t="n"/>
      <c r="C205" s="51" t="n"/>
      <c r="D205" s="51" t="n"/>
      <c r="E205" s="51" t="n"/>
      <c r="F205" s="51" t="n"/>
      <c r="G205" s="47" t="n"/>
      <c r="H205" s="51" t="n"/>
      <c r="I205" s="51" t="n"/>
      <c r="J205" s="51" t="n"/>
      <c r="K205" s="51" t="n"/>
      <c r="L205" s="51" t="n"/>
      <c r="N205" s="51" t="n"/>
      <c r="Q205" s="51" t="n"/>
      <c r="S205" s="51" t="n"/>
      <c r="T205" s="51" t="n"/>
      <c r="U205" s="51" t="inlineStr"/>
      <c r="V205" s="55" t="n"/>
      <c r="W205" s="51" t="inlineStr"/>
      <c r="X205" s="51" t="inlineStr"/>
      <c r="Y205" s="51" t="n"/>
      <c r="AB205" s="57" t="n"/>
      <c r="AC205" s="90" t="n"/>
      <c r="AD205" s="90" t="n"/>
      <c r="AE205" s="88" t="n"/>
      <c r="AF205" s="91" t="n"/>
      <c r="AG205" s="91" t="n"/>
      <c r="AH205" s="88" t="n"/>
      <c r="AI205" s="88" t="n"/>
      <c r="AJ205" s="90" t="n"/>
      <c r="AK205" s="88" t="n"/>
      <c r="AL205" s="91" t="n"/>
      <c r="AM205" s="88" t="n"/>
      <c r="AN205" s="95" t="n"/>
      <c r="AO205" s="90" t="n"/>
      <c r="AP205" s="90" t="n"/>
    </row>
    <row r="206" ht="14.25" customHeight="1" s="84">
      <c r="A206" s="51" t="n"/>
      <c r="B206" s="47" t="n"/>
      <c r="C206" s="51" t="n"/>
      <c r="D206" s="51" t="n"/>
      <c r="E206" s="51" t="n"/>
      <c r="F206" s="51" t="n"/>
      <c r="G206" s="47" t="n"/>
      <c r="H206" s="51" t="n"/>
      <c r="I206" s="51" t="n"/>
      <c r="J206" s="51" t="n"/>
      <c r="K206" s="51" t="n"/>
      <c r="L206" s="51" t="n"/>
      <c r="N206" s="51" t="n"/>
      <c r="Q206" s="51" t="n"/>
      <c r="S206" s="51" t="n"/>
      <c r="T206" s="51" t="n"/>
      <c r="U206" s="51" t="inlineStr"/>
      <c r="V206" s="55" t="n"/>
      <c r="W206" s="51" t="inlineStr"/>
      <c r="X206" s="51" t="inlineStr"/>
      <c r="Y206" s="51" t="n"/>
      <c r="AB206" s="57" t="n"/>
      <c r="AC206" s="90" t="n"/>
      <c r="AD206" s="90" t="n"/>
      <c r="AE206" s="88" t="n"/>
      <c r="AF206" s="91" t="n"/>
      <c r="AG206" s="91" t="n"/>
      <c r="AH206" s="88" t="n"/>
      <c r="AI206" s="88" t="n"/>
      <c r="AJ206" s="90" t="n"/>
      <c r="AK206" s="88" t="n"/>
      <c r="AL206" s="91" t="n"/>
      <c r="AM206" s="88" t="n"/>
      <c r="AN206" s="95" t="n"/>
      <c r="AO206" s="90" t="n"/>
      <c r="AP206" s="90" t="n"/>
    </row>
    <row r="207" ht="14.25" customHeight="1" s="84">
      <c r="A207" s="51" t="n"/>
      <c r="B207" s="47" t="n"/>
      <c r="C207" s="51" t="n"/>
      <c r="D207" s="51" t="n"/>
      <c r="E207" s="51" t="n"/>
      <c r="F207" s="51" t="n"/>
      <c r="G207" s="47" t="n"/>
      <c r="H207" s="51" t="n"/>
      <c r="I207" s="51" t="n"/>
      <c r="J207" s="51" t="n"/>
      <c r="K207" s="51" t="n"/>
      <c r="L207" s="51" t="n"/>
      <c r="N207" s="51" t="n"/>
      <c r="Q207" s="51" t="n"/>
      <c r="S207" s="51" t="n"/>
      <c r="T207" s="51" t="n"/>
      <c r="U207" s="51" t="inlineStr"/>
      <c r="V207" s="55" t="n"/>
      <c r="W207" s="51" t="inlineStr"/>
      <c r="X207" s="51" t="inlineStr"/>
      <c r="Y207" s="51" t="n"/>
      <c r="AB207" s="57" t="n"/>
      <c r="AC207" s="90" t="n"/>
      <c r="AD207" s="90" t="n"/>
      <c r="AE207" s="88" t="n"/>
      <c r="AF207" s="91" t="n"/>
      <c r="AG207" s="91" t="n"/>
      <c r="AH207" s="88" t="n"/>
      <c r="AI207" s="88" t="n"/>
      <c r="AJ207" s="90" t="n"/>
      <c r="AK207" s="88" t="n"/>
      <c r="AL207" s="91" t="n"/>
      <c r="AM207" s="88" t="n"/>
      <c r="AN207" s="95" t="n"/>
      <c r="AO207" s="90" t="n"/>
      <c r="AP207" s="90" t="n"/>
    </row>
    <row r="208" ht="14.25" customHeight="1" s="84">
      <c r="A208" s="51" t="n"/>
      <c r="B208" s="47" t="n"/>
      <c r="C208" s="51" t="n"/>
      <c r="D208" s="51" t="n"/>
      <c r="E208" s="51" t="n"/>
      <c r="F208" s="51" t="n"/>
      <c r="G208" s="47" t="n"/>
      <c r="H208" s="51" t="n"/>
      <c r="I208" s="51" t="n"/>
      <c r="J208" s="51" t="n"/>
      <c r="K208" s="51" t="n"/>
      <c r="L208" s="51" t="n"/>
      <c r="N208" s="51" t="n"/>
      <c r="Q208" s="51" t="n"/>
      <c r="S208" s="51" t="n"/>
      <c r="T208" s="51" t="n"/>
      <c r="U208" s="51" t="inlineStr"/>
      <c r="V208" s="55" t="n"/>
      <c r="W208" s="51" t="inlineStr"/>
      <c r="X208" s="51" t="inlineStr"/>
      <c r="Y208" s="51" t="n"/>
      <c r="AB208" s="57" t="n"/>
      <c r="AC208" s="90" t="n"/>
      <c r="AD208" s="90" t="n"/>
      <c r="AE208" s="88" t="n"/>
      <c r="AF208" s="91" t="n"/>
      <c r="AG208" s="91" t="n"/>
      <c r="AH208" s="88" t="n"/>
      <c r="AI208" s="88" t="n"/>
      <c r="AJ208" s="90" t="n"/>
      <c r="AK208" s="88" t="n"/>
      <c r="AL208" s="91" t="n"/>
      <c r="AM208" s="88" t="n"/>
      <c r="AN208" s="95" t="n"/>
      <c r="AO208" s="90" t="n"/>
      <c r="AP208" s="90" t="n"/>
    </row>
    <row r="209" ht="14.25" customHeight="1" s="84">
      <c r="A209" s="51" t="n"/>
      <c r="B209" s="47" t="n"/>
      <c r="C209" s="51" t="n"/>
      <c r="D209" s="51" t="n"/>
      <c r="E209" s="51" t="n"/>
      <c r="F209" s="51" t="n"/>
      <c r="G209" s="47" t="n"/>
      <c r="H209" s="51" t="n"/>
      <c r="I209" s="51" t="n"/>
      <c r="J209" s="51" t="n"/>
      <c r="K209" s="51" t="n"/>
      <c r="L209" s="51" t="n"/>
      <c r="N209" s="51" t="n"/>
      <c r="Q209" s="51" t="n"/>
      <c r="S209" s="51" t="n"/>
      <c r="T209" s="51" t="n"/>
      <c r="U209" s="51" t="inlineStr"/>
      <c r="V209" s="55" t="n"/>
      <c r="W209" s="51" t="inlineStr"/>
      <c r="X209" s="51" t="inlineStr"/>
      <c r="Y209" s="51" t="n"/>
      <c r="AB209" s="57" t="n"/>
      <c r="AC209" s="90" t="n"/>
      <c r="AD209" s="90" t="n"/>
      <c r="AE209" s="88" t="n"/>
      <c r="AF209" s="91" t="n"/>
      <c r="AG209" s="91" t="n"/>
      <c r="AH209" s="88" t="n"/>
      <c r="AI209" s="88" t="n"/>
      <c r="AJ209" s="90" t="n"/>
      <c r="AK209" s="88" t="n"/>
      <c r="AL209" s="91" t="n"/>
      <c r="AM209" s="88" t="n"/>
      <c r="AN209" s="95" t="n"/>
      <c r="AO209" s="90" t="n"/>
      <c r="AP209" s="90" t="n"/>
    </row>
    <row r="210" ht="14.25" customHeight="1" s="84">
      <c r="A210" s="51" t="n"/>
      <c r="B210" s="47" t="n"/>
      <c r="C210" s="51" t="n"/>
      <c r="D210" s="51" t="n"/>
      <c r="E210" s="51" t="n"/>
      <c r="F210" s="51" t="n"/>
      <c r="G210" s="47" t="n"/>
      <c r="H210" s="51" t="n"/>
      <c r="I210" s="51" t="n"/>
      <c r="J210" s="51" t="n"/>
      <c r="K210" s="51" t="n"/>
      <c r="L210" s="51" t="n"/>
      <c r="N210" s="51" t="n"/>
      <c r="Q210" s="51" t="n"/>
      <c r="S210" s="51" t="n"/>
      <c r="T210" s="51" t="n"/>
      <c r="U210" s="51" t="inlineStr"/>
      <c r="V210" s="55" t="n"/>
      <c r="W210" s="51" t="inlineStr"/>
      <c r="X210" s="51" t="inlineStr"/>
      <c r="Y210" s="51" t="n"/>
      <c r="AB210" s="57" t="n"/>
      <c r="AC210" s="90" t="n"/>
      <c r="AD210" s="90" t="n"/>
      <c r="AE210" s="88" t="n"/>
      <c r="AF210" s="91" t="n"/>
      <c r="AG210" s="91" t="n"/>
      <c r="AH210" s="88" t="n"/>
      <c r="AI210" s="88" t="n"/>
      <c r="AJ210" s="90" t="n"/>
      <c r="AK210" s="88" t="n"/>
      <c r="AL210" s="91" t="n"/>
      <c r="AM210" s="88" t="n"/>
      <c r="AN210" s="95" t="n"/>
      <c r="AO210" s="90" t="n"/>
      <c r="AP210" s="90" t="n"/>
    </row>
    <row r="211" ht="14.25" customHeight="1" s="84">
      <c r="A211" s="51" t="n"/>
      <c r="B211" s="47" t="n"/>
      <c r="C211" s="51" t="n"/>
      <c r="D211" s="51" t="n"/>
      <c r="E211" s="51" t="n"/>
      <c r="F211" s="51" t="n"/>
      <c r="G211" s="47" t="n"/>
      <c r="H211" s="51" t="n"/>
      <c r="I211" s="51" t="n"/>
      <c r="J211" s="51" t="n"/>
      <c r="K211" s="51" t="n"/>
      <c r="L211" s="51" t="n"/>
      <c r="N211" s="51" t="n"/>
      <c r="Q211" s="51" t="n"/>
      <c r="S211" s="51" t="n"/>
      <c r="T211" s="51" t="n"/>
      <c r="U211" s="51" t="inlineStr"/>
      <c r="V211" s="55" t="n"/>
      <c r="W211" s="51" t="inlineStr"/>
      <c r="X211" s="51" t="inlineStr"/>
      <c r="Y211" s="51" t="n"/>
      <c r="AB211" s="57" t="n"/>
      <c r="AC211" s="90" t="n"/>
      <c r="AD211" s="90" t="n"/>
      <c r="AE211" s="88" t="n"/>
      <c r="AF211" s="91" t="n"/>
      <c r="AG211" s="91" t="n"/>
      <c r="AH211" s="88" t="n"/>
      <c r="AI211" s="88" t="n"/>
      <c r="AJ211" s="90" t="n"/>
      <c r="AK211" s="88" t="n"/>
      <c r="AL211" s="91" t="n"/>
      <c r="AM211" s="88" t="n"/>
      <c r="AN211" s="95" t="n"/>
      <c r="AO211" s="90" t="n"/>
      <c r="AP211" s="90" t="n"/>
    </row>
    <row r="212" ht="14.25" customHeight="1" s="84">
      <c r="A212" s="51" t="n"/>
      <c r="B212" s="47" t="n"/>
      <c r="C212" s="51" t="n"/>
      <c r="D212" s="51" t="n"/>
      <c r="E212" s="51" t="n"/>
      <c r="F212" s="51" t="n"/>
      <c r="G212" s="47" t="n"/>
      <c r="H212" s="51" t="n"/>
      <c r="I212" s="51" t="n"/>
      <c r="J212" s="51" t="n"/>
      <c r="K212" s="51" t="n"/>
      <c r="L212" s="51" t="n"/>
      <c r="N212" s="51" t="n"/>
      <c r="Q212" s="51" t="n"/>
      <c r="S212" s="51" t="n"/>
      <c r="T212" s="51" t="n"/>
      <c r="U212" s="51" t="inlineStr"/>
      <c r="V212" s="55" t="n"/>
      <c r="W212" s="51" t="inlineStr"/>
      <c r="X212" s="51" t="inlineStr"/>
      <c r="Y212" s="51" t="n"/>
      <c r="AB212" s="57" t="n"/>
      <c r="AC212" s="90" t="n"/>
      <c r="AD212" s="90" t="n"/>
      <c r="AE212" s="88" t="n"/>
      <c r="AF212" s="91" t="n"/>
      <c r="AG212" s="91" t="n"/>
      <c r="AH212" s="88" t="n"/>
      <c r="AI212" s="88" t="n"/>
      <c r="AJ212" s="90" t="n"/>
      <c r="AK212" s="88" t="n"/>
      <c r="AL212" s="91" t="n"/>
      <c r="AM212" s="88" t="n"/>
      <c r="AN212" s="95" t="n"/>
      <c r="AO212" s="90" t="n"/>
      <c r="AP212" s="90" t="n"/>
    </row>
    <row r="213" ht="14.25" customHeight="1" s="84">
      <c r="A213" s="51" t="n"/>
      <c r="B213" s="47" t="n"/>
      <c r="C213" s="51" t="n"/>
      <c r="D213" s="51" t="n"/>
      <c r="E213" s="51" t="n"/>
      <c r="F213" s="51" t="n"/>
      <c r="G213" s="47" t="n"/>
      <c r="H213" s="51" t="n"/>
      <c r="I213" s="51" t="n"/>
      <c r="J213" s="51" t="n"/>
      <c r="K213" s="51" t="n"/>
      <c r="L213" s="51" t="n"/>
      <c r="N213" s="51" t="n"/>
      <c r="Q213" s="51" t="n"/>
      <c r="S213" s="51" t="n"/>
      <c r="T213" s="51" t="n"/>
      <c r="U213" s="51" t="inlineStr"/>
      <c r="V213" s="55" t="n"/>
      <c r="W213" s="51" t="inlineStr"/>
      <c r="X213" s="51" t="inlineStr"/>
      <c r="Y213" s="51" t="n"/>
      <c r="AB213" s="57" t="n"/>
      <c r="AC213" s="90" t="n"/>
      <c r="AD213" s="90" t="n"/>
      <c r="AE213" s="88" t="n"/>
      <c r="AF213" s="91" t="n"/>
      <c r="AG213" s="91" t="n"/>
      <c r="AH213" s="88" t="n"/>
      <c r="AI213" s="88" t="n"/>
      <c r="AJ213" s="90" t="n"/>
      <c r="AK213" s="88" t="n"/>
      <c r="AL213" s="91" t="n"/>
      <c r="AM213" s="88" t="n"/>
      <c r="AN213" s="95" t="n"/>
      <c r="AO213" s="90" t="n"/>
      <c r="AP213" s="90" t="n"/>
    </row>
    <row r="214" ht="14.25" customHeight="1" s="84">
      <c r="A214" s="51" t="n"/>
      <c r="B214" s="47" t="n"/>
      <c r="C214" s="51" t="n"/>
      <c r="D214" s="51" t="n"/>
      <c r="E214" s="51" t="n"/>
      <c r="F214" s="51" t="n"/>
      <c r="G214" s="47" t="n"/>
      <c r="H214" s="51" t="n"/>
      <c r="I214" s="51" t="n"/>
      <c r="J214" s="51" t="n"/>
      <c r="K214" s="51" t="n"/>
      <c r="L214" s="51" t="n"/>
      <c r="N214" s="51" t="n"/>
      <c r="Q214" s="51" t="n"/>
      <c r="S214" s="51" t="n"/>
      <c r="T214" s="51" t="n"/>
      <c r="U214" s="51" t="inlineStr"/>
      <c r="V214" s="55" t="n"/>
      <c r="W214" s="51" t="inlineStr"/>
      <c r="X214" s="51" t="inlineStr"/>
      <c r="Y214" s="51" t="n"/>
      <c r="AB214" s="57" t="n"/>
      <c r="AC214" s="90" t="n"/>
      <c r="AD214" s="90" t="n"/>
      <c r="AE214" s="88" t="n"/>
      <c r="AF214" s="91" t="n"/>
      <c r="AG214" s="91" t="n"/>
      <c r="AH214" s="88" t="n"/>
      <c r="AI214" s="88" t="n"/>
      <c r="AJ214" s="90" t="n"/>
      <c r="AK214" s="88" t="n"/>
      <c r="AL214" s="91" t="n"/>
      <c r="AM214" s="88" t="n"/>
      <c r="AN214" s="95" t="n"/>
      <c r="AO214" s="90" t="n"/>
      <c r="AP214" s="90" t="n"/>
    </row>
    <row r="215" ht="14.25" customHeight="1" s="84">
      <c r="A215" s="51" t="n"/>
      <c r="B215" s="47" t="n"/>
      <c r="C215" s="51" t="n"/>
      <c r="D215" s="51" t="n"/>
      <c r="E215" s="51" t="n"/>
      <c r="F215" s="51" t="n"/>
      <c r="G215" s="47" t="n"/>
      <c r="H215" s="51" t="n"/>
      <c r="I215" s="51" t="n"/>
      <c r="J215" s="51" t="n"/>
      <c r="K215" s="51" t="n"/>
      <c r="L215" s="51" t="n"/>
      <c r="N215" s="51" t="n"/>
      <c r="Q215" s="51" t="n"/>
      <c r="S215" s="51" t="n"/>
      <c r="T215" s="51" t="n"/>
      <c r="U215" s="51" t="inlineStr"/>
      <c r="V215" s="55" t="n"/>
      <c r="W215" s="51" t="inlineStr"/>
      <c r="X215" s="51" t="inlineStr"/>
      <c r="Y215" s="51" t="n"/>
      <c r="AB215" s="57" t="n"/>
      <c r="AC215" s="90" t="n"/>
      <c r="AD215" s="90" t="n"/>
      <c r="AE215" s="88" t="n"/>
      <c r="AF215" s="91" t="n"/>
      <c r="AG215" s="91" t="n"/>
      <c r="AH215" s="88" t="n"/>
      <c r="AI215" s="88" t="n"/>
      <c r="AJ215" s="90" t="n"/>
      <c r="AK215" s="88" t="n"/>
      <c r="AL215" s="91" t="n"/>
      <c r="AM215" s="88" t="n"/>
      <c r="AN215" s="95" t="n"/>
      <c r="AO215" s="90" t="n"/>
      <c r="AP215" s="90" t="n"/>
    </row>
    <row r="216" ht="14.25" customHeight="1" s="84">
      <c r="A216" s="51" t="n"/>
      <c r="B216" s="47" t="n"/>
      <c r="C216" s="51" t="n"/>
      <c r="D216" s="51" t="n"/>
      <c r="E216" s="51" t="n"/>
      <c r="F216" s="51" t="n"/>
      <c r="G216" s="47" t="n"/>
      <c r="H216" s="51" t="n"/>
      <c r="I216" s="51" t="n"/>
      <c r="J216" s="51" t="n"/>
      <c r="K216" s="51" t="n"/>
      <c r="L216" s="51" t="n"/>
      <c r="N216" s="51" t="n"/>
      <c r="Q216" s="51" t="n"/>
      <c r="S216" s="51" t="n"/>
      <c r="T216" s="51" t="n"/>
      <c r="U216" s="51" t="inlineStr"/>
      <c r="V216" s="55" t="n"/>
      <c r="W216" s="51" t="inlineStr"/>
      <c r="X216" s="51" t="inlineStr"/>
      <c r="Y216" s="51" t="n"/>
      <c r="AB216" s="57" t="n"/>
      <c r="AC216" s="90" t="n"/>
      <c r="AD216" s="90" t="n"/>
      <c r="AE216" s="88" t="n"/>
      <c r="AF216" s="91" t="n"/>
      <c r="AG216" s="91" t="n"/>
      <c r="AH216" s="88" t="n"/>
      <c r="AI216" s="88" t="n"/>
      <c r="AJ216" s="90" t="n"/>
      <c r="AK216" s="88" t="n"/>
      <c r="AL216" s="91" t="n"/>
      <c r="AM216" s="88" t="n"/>
      <c r="AN216" s="95" t="n"/>
      <c r="AO216" s="90" t="n"/>
      <c r="AP216" s="90" t="n"/>
    </row>
    <row r="217" ht="14.25" customHeight="1" s="84">
      <c r="A217" s="51" t="n"/>
      <c r="B217" s="47" t="n"/>
      <c r="C217" s="51" t="n"/>
      <c r="D217" s="51" t="n"/>
      <c r="E217" s="51" t="n"/>
      <c r="F217" s="51" t="n"/>
      <c r="G217" s="47" t="n"/>
      <c r="H217" s="51" t="n"/>
      <c r="I217" s="51" t="n"/>
      <c r="J217" s="51" t="n"/>
      <c r="K217" s="51" t="n"/>
      <c r="L217" s="51" t="n"/>
      <c r="N217" s="51" t="n"/>
      <c r="Q217" s="51" t="n"/>
      <c r="S217" s="51" t="n"/>
      <c r="T217" s="51" t="n"/>
      <c r="U217" s="51" t="inlineStr"/>
      <c r="V217" s="55" t="n"/>
      <c r="W217" s="51" t="inlineStr"/>
      <c r="X217" s="51" t="inlineStr"/>
      <c r="Y217" s="51" t="n"/>
      <c r="AB217" s="57" t="n"/>
      <c r="AC217" s="90" t="n"/>
      <c r="AD217" s="90" t="n"/>
      <c r="AE217" s="88" t="n"/>
      <c r="AF217" s="91" t="n"/>
      <c r="AG217" s="91" t="n"/>
      <c r="AH217" s="88" t="n"/>
      <c r="AI217" s="88" t="n"/>
      <c r="AJ217" s="90" t="n"/>
      <c r="AK217" s="88" t="n"/>
      <c r="AL217" s="91" t="n"/>
      <c r="AM217" s="88" t="n"/>
      <c r="AN217" s="95" t="n"/>
      <c r="AO217" s="90" t="n"/>
      <c r="AP217" s="90" t="n"/>
    </row>
    <row r="218" ht="14.25" customHeight="1" s="84">
      <c r="A218" s="51" t="n"/>
      <c r="B218" s="47" t="n"/>
      <c r="C218" s="51" t="n"/>
      <c r="D218" s="51" t="n"/>
      <c r="E218" s="51" t="n"/>
      <c r="F218" s="51" t="n"/>
      <c r="G218" s="47" t="n"/>
      <c r="H218" s="51" t="n"/>
      <c r="I218" s="51" t="n"/>
      <c r="J218" s="51" t="n"/>
      <c r="K218" s="51" t="n"/>
      <c r="L218" s="51" t="n"/>
      <c r="N218" s="51" t="n"/>
      <c r="Q218" s="51" t="n"/>
      <c r="S218" s="51" t="n"/>
      <c r="T218" s="51" t="n"/>
      <c r="U218" s="51" t="inlineStr"/>
      <c r="V218" s="55" t="n"/>
      <c r="W218" s="51" t="inlineStr"/>
      <c r="X218" s="51" t="inlineStr"/>
      <c r="Y218" s="51" t="n"/>
      <c r="AB218" s="57" t="n"/>
      <c r="AC218" s="90" t="n"/>
      <c r="AD218" s="90" t="n"/>
      <c r="AE218" s="88" t="n"/>
      <c r="AF218" s="91" t="n"/>
      <c r="AG218" s="91" t="n"/>
      <c r="AH218" s="88" t="n"/>
      <c r="AI218" s="88" t="n"/>
      <c r="AJ218" s="90" t="n"/>
      <c r="AK218" s="88" t="n"/>
      <c r="AL218" s="91" t="n"/>
      <c r="AM218" s="88" t="n"/>
      <c r="AN218" s="95" t="n"/>
      <c r="AO218" s="90" t="n"/>
      <c r="AP218" s="90" t="n"/>
    </row>
    <row r="219" ht="14.25" customHeight="1" s="84">
      <c r="A219" s="51" t="n"/>
      <c r="B219" s="47" t="n"/>
      <c r="C219" s="51" t="n"/>
      <c r="D219" s="51" t="n"/>
      <c r="E219" s="51" t="n"/>
      <c r="F219" s="51" t="n"/>
      <c r="G219" s="47" t="n"/>
      <c r="H219" s="51" t="n"/>
      <c r="I219" s="51" t="n"/>
      <c r="J219" s="51" t="n"/>
      <c r="K219" s="51" t="n"/>
      <c r="L219" s="51" t="n"/>
      <c r="N219" s="51" t="n"/>
      <c r="Q219" s="51" t="n"/>
      <c r="S219" s="51" t="n"/>
      <c r="T219" s="51" t="n"/>
      <c r="U219" s="51" t="inlineStr"/>
      <c r="V219" s="55" t="n"/>
      <c r="W219" s="51" t="inlineStr"/>
      <c r="X219" s="51" t="inlineStr"/>
      <c r="Y219" s="51" t="n"/>
      <c r="AB219" s="57" t="n"/>
      <c r="AC219" s="90" t="n"/>
      <c r="AD219" s="90" t="n"/>
      <c r="AE219" s="88" t="n"/>
      <c r="AF219" s="91" t="n"/>
      <c r="AG219" s="91" t="n"/>
      <c r="AH219" s="88" t="n"/>
      <c r="AI219" s="88" t="n"/>
      <c r="AJ219" s="90" t="n"/>
      <c r="AK219" s="88" t="n"/>
      <c r="AL219" s="91" t="n"/>
      <c r="AM219" s="88" t="n"/>
      <c r="AN219" s="95" t="n"/>
      <c r="AO219" s="90" t="n"/>
      <c r="AP219" s="90" t="n"/>
    </row>
    <row r="220" ht="14.25" customHeight="1" s="84">
      <c r="A220" s="51" t="n"/>
      <c r="B220" s="47" t="n"/>
      <c r="C220" s="51" t="n"/>
      <c r="D220" s="51" t="n"/>
      <c r="E220" s="51" t="n"/>
      <c r="F220" s="51" t="n"/>
      <c r="G220" s="47" t="n"/>
      <c r="H220" s="51" t="n"/>
      <c r="I220" s="51" t="n"/>
      <c r="J220" s="51" t="n"/>
      <c r="K220" s="51" t="n"/>
      <c r="L220" s="51" t="n"/>
      <c r="N220" s="51" t="n"/>
      <c r="Q220" s="51" t="n"/>
      <c r="S220" s="51" t="n"/>
      <c r="T220" s="51" t="n"/>
      <c r="U220" s="51" t="inlineStr"/>
      <c r="V220" s="55" t="n"/>
      <c r="W220" s="51" t="inlineStr"/>
      <c r="X220" s="51" t="inlineStr"/>
      <c r="Y220" s="51" t="n"/>
      <c r="AB220" s="57" t="n"/>
      <c r="AC220" s="90" t="n"/>
      <c r="AD220" s="90" t="n"/>
      <c r="AE220" s="88" t="n"/>
      <c r="AF220" s="91" t="n"/>
      <c r="AG220" s="91" t="n"/>
      <c r="AH220" s="88" t="n"/>
      <c r="AI220" s="88" t="n"/>
      <c r="AJ220" s="90" t="n"/>
      <c r="AK220" s="88" t="n"/>
      <c r="AL220" s="91" t="n"/>
      <c r="AM220" s="88" t="n"/>
      <c r="AN220" s="95" t="n"/>
      <c r="AO220" s="90" t="n"/>
      <c r="AP220" s="90" t="n"/>
    </row>
    <row r="221" ht="14.25" customHeight="1" s="84">
      <c r="A221" s="51" t="n"/>
      <c r="B221" s="47" t="n"/>
      <c r="C221" s="51" t="n"/>
      <c r="D221" s="51" t="n"/>
      <c r="E221" s="51" t="n"/>
      <c r="F221" s="51" t="n"/>
      <c r="G221" s="47" t="n"/>
      <c r="H221" s="51" t="n"/>
      <c r="I221" s="51" t="n"/>
      <c r="J221" s="51" t="n"/>
      <c r="K221" s="51" t="n"/>
      <c r="L221" s="51" t="n"/>
      <c r="N221" s="51" t="n"/>
      <c r="Q221" s="51" t="n"/>
      <c r="S221" s="51" t="n"/>
      <c r="T221" s="51" t="n"/>
      <c r="U221" s="51" t="inlineStr"/>
      <c r="V221" s="55" t="n"/>
      <c r="W221" s="51" t="inlineStr"/>
      <c r="X221" s="51" t="inlineStr"/>
      <c r="Y221" s="51" t="n"/>
      <c r="AB221" s="57" t="n"/>
      <c r="AC221" s="90" t="n"/>
      <c r="AD221" s="90" t="n"/>
      <c r="AE221" s="88" t="n"/>
      <c r="AF221" s="91" t="n"/>
      <c r="AG221" s="91" t="n"/>
      <c r="AH221" s="88" t="n"/>
      <c r="AI221" s="88" t="n"/>
      <c r="AJ221" s="90" t="n"/>
      <c r="AK221" s="88" t="n"/>
      <c r="AL221" s="91" t="n"/>
      <c r="AM221" s="88" t="n"/>
      <c r="AN221" s="95" t="n"/>
      <c r="AO221" s="90" t="n"/>
      <c r="AP221" s="90" t="n"/>
    </row>
    <row r="222" ht="14.25" customHeight="1" s="84">
      <c r="A222" s="51" t="n"/>
      <c r="B222" s="47" t="n"/>
      <c r="C222" s="51" t="n"/>
      <c r="D222" s="51" t="n"/>
      <c r="E222" s="51" t="n"/>
      <c r="F222" s="51" t="n"/>
      <c r="G222" s="47" t="n"/>
      <c r="H222" s="51" t="n"/>
      <c r="I222" s="51" t="n"/>
      <c r="J222" s="51" t="n"/>
      <c r="K222" s="51" t="n"/>
      <c r="L222" s="51" t="n"/>
      <c r="N222" s="51" t="n"/>
      <c r="Q222" s="51" t="n"/>
      <c r="S222" s="51" t="n"/>
      <c r="T222" s="51" t="n"/>
      <c r="U222" s="51" t="inlineStr"/>
      <c r="V222" s="55" t="n"/>
      <c r="W222" s="51" t="inlineStr"/>
      <c r="X222" s="51" t="inlineStr"/>
      <c r="Y222" s="51" t="n"/>
      <c r="AB222" s="57" t="n"/>
      <c r="AC222" s="90" t="n"/>
      <c r="AD222" s="90" t="n"/>
      <c r="AE222" s="88" t="n"/>
      <c r="AF222" s="91" t="n"/>
      <c r="AG222" s="91" t="n"/>
      <c r="AH222" s="88" t="n"/>
      <c r="AI222" s="88" t="n"/>
      <c r="AJ222" s="90" t="n"/>
      <c r="AK222" s="88" t="n"/>
      <c r="AL222" s="91" t="n"/>
      <c r="AM222" s="88" t="n"/>
      <c r="AN222" s="95" t="n"/>
      <c r="AO222" s="90" t="n"/>
      <c r="AP222" s="90" t="n"/>
    </row>
    <row r="223" ht="14.25" customHeight="1" s="84">
      <c r="A223" s="51" t="n"/>
      <c r="B223" s="47" t="n"/>
      <c r="C223" s="51" t="n"/>
      <c r="D223" s="51" t="n"/>
      <c r="E223" s="51" t="n"/>
      <c r="F223" s="51" t="n"/>
      <c r="G223" s="47" t="n"/>
      <c r="H223" s="51" t="n"/>
      <c r="I223" s="51" t="n"/>
      <c r="J223" s="51" t="n"/>
      <c r="K223" s="51" t="n"/>
      <c r="L223" s="51" t="n"/>
      <c r="N223" s="51" t="n"/>
      <c r="Q223" s="51" t="n"/>
      <c r="S223" s="51" t="n"/>
      <c r="T223" s="51" t="n"/>
      <c r="U223" s="51" t="inlineStr"/>
      <c r="V223" s="55" t="n"/>
      <c r="W223" s="51" t="inlineStr"/>
      <c r="X223" s="51" t="inlineStr"/>
      <c r="Y223" s="51" t="n"/>
      <c r="AB223" s="57" t="n"/>
      <c r="AC223" s="90" t="n"/>
      <c r="AD223" s="90" t="n"/>
      <c r="AE223" s="88" t="n"/>
      <c r="AF223" s="91" t="n"/>
      <c r="AG223" s="91" t="n"/>
      <c r="AH223" s="88" t="n"/>
      <c r="AI223" s="88" t="n"/>
      <c r="AJ223" s="90" t="n"/>
      <c r="AK223" s="88" t="n"/>
      <c r="AL223" s="91" t="n"/>
      <c r="AM223" s="88" t="n"/>
      <c r="AN223" s="95" t="n"/>
      <c r="AO223" s="90" t="n"/>
      <c r="AP223" s="90" t="n"/>
    </row>
    <row r="224" ht="14.25" customHeight="1" s="84">
      <c r="A224" s="51" t="n"/>
      <c r="B224" s="47" t="n"/>
      <c r="C224" s="51" t="n"/>
      <c r="D224" s="51" t="n"/>
      <c r="E224" s="51" t="n"/>
      <c r="F224" s="51" t="n"/>
      <c r="G224" s="47" t="n"/>
      <c r="H224" s="51" t="n"/>
      <c r="I224" s="51" t="n"/>
      <c r="J224" s="51" t="n"/>
      <c r="K224" s="51" t="n"/>
      <c r="L224" s="51" t="n"/>
      <c r="N224" s="51" t="n"/>
      <c r="Q224" s="51" t="n"/>
      <c r="S224" s="51" t="n"/>
      <c r="T224" s="51" t="n"/>
      <c r="U224" s="51" t="inlineStr"/>
      <c r="V224" s="55" t="n"/>
      <c r="W224" s="51" t="inlineStr"/>
      <c r="X224" s="51" t="inlineStr"/>
      <c r="Y224" s="51" t="n"/>
      <c r="AB224" s="57" t="n"/>
      <c r="AC224" s="90" t="n"/>
      <c r="AD224" s="90" t="n"/>
      <c r="AE224" s="88" t="n"/>
      <c r="AF224" s="91" t="n"/>
      <c r="AG224" s="91" t="n"/>
      <c r="AH224" s="88" t="n"/>
      <c r="AI224" s="88" t="n"/>
      <c r="AJ224" s="90" t="n"/>
      <c r="AK224" s="88" t="n"/>
      <c r="AL224" s="91" t="n"/>
      <c r="AM224" s="88" t="n"/>
      <c r="AN224" s="95" t="n"/>
      <c r="AO224" s="90" t="n"/>
      <c r="AP224" s="90" t="n"/>
    </row>
    <row r="225" ht="14.25" customHeight="1" s="84">
      <c r="A225" s="51" t="n"/>
      <c r="B225" s="47" t="n"/>
      <c r="C225" s="51" t="n"/>
      <c r="D225" s="51" t="n"/>
      <c r="E225" s="51" t="n"/>
      <c r="F225" s="51" t="n"/>
      <c r="G225" s="47" t="n"/>
      <c r="H225" s="51" t="n"/>
      <c r="I225" s="51" t="n"/>
      <c r="J225" s="51" t="n"/>
      <c r="K225" s="51" t="n"/>
      <c r="L225" s="51" t="n"/>
      <c r="N225" s="51" t="n"/>
      <c r="Q225" s="51" t="n"/>
      <c r="S225" s="51" t="n"/>
      <c r="T225" s="51" t="n"/>
      <c r="U225" s="51" t="inlineStr"/>
      <c r="V225" s="55" t="n"/>
      <c r="W225" s="51" t="inlineStr"/>
      <c r="X225" s="51" t="inlineStr"/>
      <c r="Y225" s="51" t="n"/>
      <c r="AB225" s="57" t="n"/>
      <c r="AC225" s="90" t="n"/>
      <c r="AD225" s="90" t="n"/>
      <c r="AE225" s="88" t="n"/>
      <c r="AF225" s="91" t="n"/>
      <c r="AG225" s="91" t="n"/>
      <c r="AH225" s="88" t="n"/>
      <c r="AI225" s="88" t="n"/>
      <c r="AJ225" s="90" t="n"/>
      <c r="AK225" s="88" t="n"/>
      <c r="AL225" s="91" t="n"/>
      <c r="AM225" s="88" t="n"/>
      <c r="AN225" s="95" t="n"/>
      <c r="AO225" s="90" t="n"/>
      <c r="AP225" s="90" t="n"/>
    </row>
    <row r="226" ht="14.25" customHeight="1" s="84">
      <c r="A226" s="51" t="n"/>
      <c r="B226" s="47" t="n"/>
      <c r="C226" s="51" t="n"/>
      <c r="D226" s="51" t="n"/>
      <c r="E226" s="51" t="n"/>
      <c r="F226" s="51" t="n"/>
      <c r="G226" s="47" t="n"/>
      <c r="H226" s="51" t="n"/>
      <c r="I226" s="51" t="n"/>
      <c r="J226" s="51" t="n"/>
      <c r="K226" s="51" t="n"/>
      <c r="L226" s="51" t="n"/>
      <c r="N226" s="51" t="n"/>
      <c r="Q226" s="51" t="n"/>
      <c r="S226" s="51" t="n"/>
      <c r="T226" s="51" t="n"/>
      <c r="U226" s="51" t="inlineStr"/>
      <c r="V226" s="55" t="n"/>
      <c r="W226" s="51" t="inlineStr"/>
      <c r="X226" s="51" t="inlineStr"/>
      <c r="Y226" s="51" t="n"/>
      <c r="AB226" s="57" t="n"/>
      <c r="AC226" s="90" t="n"/>
      <c r="AD226" s="90" t="n"/>
      <c r="AE226" s="88" t="n"/>
      <c r="AF226" s="91" t="n"/>
      <c r="AG226" s="91" t="n"/>
      <c r="AH226" s="88" t="n"/>
      <c r="AI226" s="88" t="n"/>
      <c r="AJ226" s="90" t="n"/>
      <c r="AK226" s="88" t="n"/>
      <c r="AL226" s="91" t="n"/>
      <c r="AM226" s="88" t="n"/>
      <c r="AN226" s="95" t="n"/>
      <c r="AO226" s="90" t="n"/>
      <c r="AP226" s="90" t="n"/>
    </row>
    <row r="227" ht="14.25" customHeight="1" s="84">
      <c r="A227" s="51" t="n"/>
      <c r="B227" s="47" t="n"/>
      <c r="C227" s="51" t="n"/>
      <c r="D227" s="51" t="n"/>
      <c r="E227" s="51" t="n"/>
      <c r="F227" s="51" t="n"/>
      <c r="G227" s="47" t="n"/>
      <c r="H227" s="51" t="n"/>
      <c r="I227" s="51" t="n"/>
      <c r="J227" s="51" t="n"/>
      <c r="K227" s="51" t="n"/>
      <c r="L227" s="51" t="n"/>
      <c r="N227" s="51" t="n"/>
      <c r="Q227" s="51" t="n"/>
      <c r="S227" s="51" t="n"/>
      <c r="T227" s="51" t="n"/>
      <c r="U227" s="51" t="inlineStr"/>
      <c r="V227" s="55" t="n"/>
      <c r="W227" s="51" t="inlineStr"/>
      <c r="X227" s="51" t="inlineStr"/>
      <c r="Y227" s="51" t="n"/>
      <c r="AB227" s="57" t="n"/>
      <c r="AC227" s="90" t="n"/>
      <c r="AD227" s="90" t="n"/>
      <c r="AE227" s="88" t="n"/>
      <c r="AF227" s="91" t="n"/>
      <c r="AG227" s="91" t="n"/>
      <c r="AH227" s="88" t="n"/>
      <c r="AI227" s="88" t="n"/>
      <c r="AJ227" s="90" t="n"/>
      <c r="AK227" s="88" t="n"/>
      <c r="AL227" s="91" t="n"/>
      <c r="AM227" s="88" t="n"/>
      <c r="AN227" s="95" t="n"/>
      <c r="AO227" s="90" t="n"/>
      <c r="AP227" s="90" t="n"/>
    </row>
    <row r="228" ht="14.25" customHeight="1" s="84">
      <c r="A228" s="51" t="n"/>
      <c r="B228" s="47" t="n"/>
      <c r="C228" s="51" t="n"/>
      <c r="D228" s="51" t="n"/>
      <c r="E228" s="51" t="n"/>
      <c r="F228" s="51" t="n"/>
      <c r="G228" s="47" t="n"/>
      <c r="H228" s="51" t="n"/>
      <c r="I228" s="51" t="n"/>
      <c r="J228" s="51" t="n"/>
      <c r="K228" s="51" t="n"/>
      <c r="L228" s="51" t="n"/>
      <c r="N228" s="51" t="n"/>
      <c r="Q228" s="51" t="n"/>
      <c r="S228" s="51" t="n"/>
      <c r="T228" s="51" t="n"/>
      <c r="U228" s="51" t="inlineStr"/>
      <c r="V228" s="55" t="n"/>
      <c r="W228" s="51" t="inlineStr"/>
      <c r="X228" s="51" t="inlineStr"/>
      <c r="Y228" s="51" t="n"/>
      <c r="AB228" s="57" t="n"/>
      <c r="AC228" s="90" t="n"/>
      <c r="AD228" s="90" t="n"/>
      <c r="AE228" s="88" t="n"/>
      <c r="AF228" s="91" t="n"/>
      <c r="AG228" s="91" t="n"/>
      <c r="AH228" s="88" t="n"/>
      <c r="AI228" s="88" t="n"/>
      <c r="AJ228" s="90" t="n"/>
      <c r="AK228" s="88" t="n"/>
      <c r="AL228" s="91" t="n"/>
      <c r="AM228" s="88" t="n"/>
      <c r="AN228" s="95" t="n"/>
      <c r="AO228" s="90" t="n"/>
      <c r="AP228" s="90" t="n"/>
    </row>
    <row r="229" ht="14.25" customHeight="1" s="84">
      <c r="A229" s="51" t="n"/>
      <c r="B229" s="47" t="n"/>
      <c r="C229" s="51" t="n"/>
      <c r="D229" s="51" t="n"/>
      <c r="E229" s="51" t="n"/>
      <c r="F229" s="51" t="n"/>
      <c r="G229" s="47" t="n"/>
      <c r="H229" s="51" t="n"/>
      <c r="I229" s="51" t="n"/>
      <c r="J229" s="51" t="n"/>
      <c r="K229" s="51" t="n"/>
      <c r="L229" s="51" t="n"/>
      <c r="N229" s="51" t="n"/>
      <c r="Q229" s="51" t="n"/>
      <c r="S229" s="51" t="n"/>
      <c r="T229" s="51" t="n"/>
      <c r="U229" s="51" t="inlineStr"/>
      <c r="V229" s="55" t="n"/>
      <c r="W229" s="51" t="inlineStr"/>
      <c r="X229" s="51" t="inlineStr"/>
      <c r="Y229" s="51" t="n"/>
      <c r="AB229" s="57" t="n"/>
      <c r="AC229" s="90" t="n"/>
      <c r="AD229" s="90" t="n"/>
      <c r="AE229" s="88" t="n"/>
      <c r="AF229" s="91" t="n"/>
      <c r="AG229" s="91" t="n"/>
      <c r="AH229" s="88" t="n"/>
      <c r="AI229" s="88" t="n"/>
      <c r="AJ229" s="90" t="n"/>
      <c r="AK229" s="88" t="n"/>
      <c r="AL229" s="91" t="n"/>
      <c r="AM229" s="88" t="n"/>
      <c r="AN229" s="95" t="n"/>
      <c r="AO229" s="90" t="n"/>
      <c r="AP229" s="90" t="n"/>
    </row>
    <row r="230" ht="14.25" customHeight="1" s="84">
      <c r="A230" s="51" t="n"/>
      <c r="B230" s="47" t="n"/>
      <c r="C230" s="51" t="n"/>
      <c r="D230" s="51" t="n"/>
      <c r="E230" s="51" t="n"/>
      <c r="F230" s="51" t="n"/>
      <c r="G230" s="47" t="n"/>
      <c r="H230" s="51" t="n"/>
      <c r="I230" s="51" t="n"/>
      <c r="J230" s="51" t="n"/>
      <c r="K230" s="51" t="n"/>
      <c r="L230" s="51" t="n"/>
      <c r="N230" s="51" t="n"/>
      <c r="Q230" s="51" t="n"/>
      <c r="S230" s="51" t="n"/>
      <c r="T230" s="51" t="n"/>
      <c r="U230" s="51" t="inlineStr"/>
      <c r="V230" s="55" t="n"/>
      <c r="W230" s="51" t="inlineStr"/>
      <c r="X230" s="51" t="inlineStr"/>
      <c r="Y230" s="51" t="n"/>
      <c r="AB230" s="57" t="n"/>
      <c r="AC230" s="90" t="n"/>
      <c r="AD230" s="90" t="n"/>
      <c r="AE230" s="88" t="n"/>
      <c r="AF230" s="91" t="n"/>
      <c r="AG230" s="91" t="n"/>
      <c r="AH230" s="88" t="n"/>
      <c r="AI230" s="88" t="n"/>
      <c r="AJ230" s="90" t="n"/>
      <c r="AK230" s="88" t="n"/>
      <c r="AL230" s="91" t="n"/>
      <c r="AM230" s="88" t="n"/>
      <c r="AN230" s="95" t="n"/>
      <c r="AO230" s="90" t="n"/>
      <c r="AP230" s="90" t="n"/>
    </row>
    <row r="231" ht="14.25" customHeight="1" s="84">
      <c r="A231" s="51" t="n"/>
      <c r="B231" s="47" t="n"/>
      <c r="C231" s="51" t="n"/>
      <c r="D231" s="51" t="n"/>
      <c r="E231" s="51" t="n"/>
      <c r="F231" s="51" t="n"/>
      <c r="G231" s="47" t="n"/>
      <c r="H231" s="51" t="n"/>
      <c r="I231" s="51" t="n"/>
      <c r="J231" s="51" t="n"/>
      <c r="K231" s="51" t="n"/>
      <c r="L231" s="51" t="n"/>
      <c r="N231" s="51" t="n"/>
      <c r="Q231" s="51" t="n"/>
      <c r="S231" s="51" t="n"/>
      <c r="T231" s="51" t="n"/>
      <c r="U231" s="51" t="inlineStr"/>
      <c r="V231" s="55" t="n"/>
      <c r="W231" s="51" t="inlineStr"/>
      <c r="X231" s="51" t="inlineStr"/>
      <c r="Y231" s="51" t="n"/>
      <c r="AB231" s="57" t="n"/>
      <c r="AC231" s="90" t="n"/>
      <c r="AD231" s="90" t="n"/>
      <c r="AE231" s="88" t="n"/>
      <c r="AF231" s="91" t="n"/>
      <c r="AG231" s="91" t="n"/>
      <c r="AH231" s="88" t="n"/>
      <c r="AI231" s="88" t="n"/>
      <c r="AJ231" s="90" t="n"/>
      <c r="AK231" s="88" t="n"/>
      <c r="AL231" s="91" t="n"/>
      <c r="AM231" s="88" t="n"/>
      <c r="AN231" s="95" t="n"/>
      <c r="AO231" s="90" t="n"/>
      <c r="AP231" s="90" t="n"/>
    </row>
    <row r="232" ht="14.25" customHeight="1" s="84">
      <c r="A232" s="51" t="n"/>
      <c r="B232" s="47" t="n"/>
      <c r="C232" s="51" t="n"/>
      <c r="D232" s="51" t="n"/>
      <c r="E232" s="51" t="n"/>
      <c r="F232" s="51" t="n"/>
      <c r="G232" s="47" t="n"/>
      <c r="H232" s="51" t="n"/>
      <c r="I232" s="51" t="n"/>
      <c r="J232" s="51" t="n"/>
      <c r="K232" s="51" t="n"/>
      <c r="L232" s="51" t="n"/>
      <c r="N232" s="51" t="n"/>
      <c r="Q232" s="51" t="n"/>
      <c r="S232" s="51" t="n"/>
      <c r="T232" s="51" t="n"/>
      <c r="U232" s="51" t="inlineStr"/>
      <c r="V232" s="55" t="n"/>
      <c r="W232" s="51" t="inlineStr"/>
      <c r="X232" s="51" t="inlineStr"/>
      <c r="Y232" s="51" t="n"/>
      <c r="AB232" s="57" t="n"/>
      <c r="AC232" s="90" t="n"/>
      <c r="AD232" s="90" t="n"/>
      <c r="AE232" s="88" t="n"/>
      <c r="AF232" s="91" t="n"/>
      <c r="AG232" s="91" t="n"/>
      <c r="AH232" s="88" t="n"/>
      <c r="AI232" s="88" t="n"/>
      <c r="AJ232" s="90" t="n"/>
      <c r="AK232" s="88" t="n"/>
      <c r="AL232" s="91" t="n"/>
      <c r="AM232" s="88" t="n"/>
      <c r="AN232" s="95" t="n"/>
      <c r="AO232" s="90" t="n"/>
      <c r="AP232" s="90" t="n"/>
    </row>
    <row r="233" ht="14.25" customHeight="1" s="84">
      <c r="A233" s="51" t="n"/>
      <c r="B233" s="47" t="n"/>
      <c r="C233" s="51" t="n"/>
      <c r="D233" s="51" t="n"/>
      <c r="E233" s="51" t="n"/>
      <c r="F233" s="51" t="n"/>
      <c r="G233" s="47" t="n"/>
      <c r="H233" s="51" t="n"/>
      <c r="I233" s="51" t="n"/>
      <c r="J233" s="51" t="n"/>
      <c r="K233" s="51" t="n"/>
      <c r="L233" s="51" t="n"/>
      <c r="N233" s="51" t="n"/>
      <c r="Q233" s="51" t="n"/>
      <c r="S233" s="51" t="n"/>
      <c r="T233" s="51" t="n"/>
      <c r="U233" s="51" t="inlineStr"/>
      <c r="V233" s="55" t="n"/>
      <c r="W233" s="51" t="inlineStr"/>
      <c r="X233" s="51" t="inlineStr"/>
      <c r="Y233" s="51" t="n"/>
      <c r="AB233" s="57" t="n"/>
      <c r="AC233" s="90" t="n"/>
      <c r="AD233" s="90" t="n"/>
      <c r="AE233" s="88" t="n"/>
      <c r="AF233" s="91" t="n"/>
      <c r="AG233" s="91" t="n"/>
      <c r="AH233" s="88" t="n"/>
      <c r="AI233" s="88" t="n"/>
      <c r="AJ233" s="90" t="n"/>
      <c r="AK233" s="88" t="n"/>
      <c r="AL233" s="91" t="n"/>
      <c r="AM233" s="88" t="n"/>
      <c r="AN233" s="95" t="n"/>
      <c r="AO233" s="90" t="n"/>
      <c r="AP233" s="90" t="n"/>
    </row>
    <row r="234" ht="14.25" customHeight="1" s="84">
      <c r="A234" s="51" t="n"/>
      <c r="B234" s="47" t="n"/>
      <c r="C234" s="51" t="n"/>
      <c r="D234" s="51" t="n"/>
      <c r="E234" s="51" t="n"/>
      <c r="F234" s="51" t="n"/>
      <c r="G234" s="47" t="n"/>
      <c r="H234" s="51" t="n"/>
      <c r="I234" s="51" t="n"/>
      <c r="J234" s="51" t="n"/>
      <c r="K234" s="51" t="n"/>
      <c r="L234" s="51" t="n"/>
      <c r="N234" s="51" t="n"/>
      <c r="Q234" s="51" t="n"/>
      <c r="S234" s="51" t="n"/>
      <c r="T234" s="51" t="n"/>
      <c r="U234" s="51" t="inlineStr"/>
      <c r="V234" s="55" t="n"/>
      <c r="W234" s="51" t="inlineStr"/>
      <c r="X234" s="51" t="inlineStr"/>
      <c r="Y234" s="51" t="n"/>
      <c r="AB234" s="57" t="n"/>
      <c r="AC234" s="90" t="n"/>
      <c r="AD234" s="90" t="n"/>
      <c r="AE234" s="88" t="n"/>
      <c r="AF234" s="91" t="n"/>
      <c r="AG234" s="91" t="n"/>
      <c r="AH234" s="88" t="n"/>
      <c r="AI234" s="88" t="n"/>
      <c r="AJ234" s="90" t="n"/>
      <c r="AK234" s="88" t="n"/>
      <c r="AL234" s="91" t="n"/>
      <c r="AM234" s="88" t="n"/>
      <c r="AN234" s="95" t="n"/>
      <c r="AO234" s="90" t="n"/>
      <c r="AP234" s="90" t="n"/>
    </row>
    <row r="235" ht="14.25" customHeight="1" s="84">
      <c r="A235" s="51" t="n"/>
      <c r="B235" s="47" t="n"/>
      <c r="C235" s="51" t="n"/>
      <c r="D235" s="51" t="n"/>
      <c r="E235" s="51" t="n"/>
      <c r="F235" s="51" t="n"/>
      <c r="G235" s="47" t="n"/>
      <c r="H235" s="51" t="n"/>
      <c r="I235" s="51" t="n"/>
      <c r="J235" s="51" t="n"/>
      <c r="K235" s="51" t="n"/>
      <c r="L235" s="51" t="n"/>
      <c r="N235" s="51" t="n"/>
      <c r="Q235" s="51" t="n"/>
      <c r="S235" s="51" t="n"/>
      <c r="T235" s="51" t="n"/>
      <c r="U235" s="51" t="inlineStr"/>
      <c r="V235" s="55" t="n"/>
      <c r="W235" s="51" t="inlineStr"/>
      <c r="X235" s="51" t="inlineStr"/>
      <c r="Y235" s="51" t="n"/>
      <c r="AB235" s="57" t="n"/>
      <c r="AC235" s="90" t="n"/>
      <c r="AD235" s="90" t="n"/>
      <c r="AE235" s="88" t="n"/>
      <c r="AF235" s="91" t="n"/>
      <c r="AG235" s="91" t="n"/>
      <c r="AH235" s="88" t="n"/>
      <c r="AI235" s="88" t="n"/>
      <c r="AJ235" s="90" t="n"/>
      <c r="AK235" s="88" t="n"/>
      <c r="AL235" s="91" t="n"/>
      <c r="AM235" s="88" t="n"/>
      <c r="AN235" s="95" t="n"/>
      <c r="AO235" s="90" t="n"/>
      <c r="AP235" s="90" t="n"/>
    </row>
    <row r="236" ht="14.25" customHeight="1" s="84">
      <c r="A236" s="51" t="n"/>
      <c r="B236" s="47" t="n"/>
      <c r="C236" s="51" t="n"/>
      <c r="D236" s="51" t="n"/>
      <c r="E236" s="51" t="n"/>
      <c r="F236" s="51" t="n"/>
      <c r="G236" s="47" t="n"/>
      <c r="H236" s="51" t="n"/>
      <c r="I236" s="51" t="n"/>
      <c r="J236" s="51" t="n"/>
      <c r="K236" s="51" t="n"/>
      <c r="L236" s="51" t="n"/>
      <c r="N236" s="51" t="n"/>
      <c r="Q236" s="51" t="n"/>
      <c r="S236" s="51" t="n"/>
      <c r="T236" s="51" t="n"/>
      <c r="U236" s="51" t="inlineStr"/>
      <c r="V236" s="55" t="n"/>
      <c r="W236" s="51" t="inlineStr"/>
      <c r="X236" s="51" t="inlineStr"/>
      <c r="Y236" s="51" t="n"/>
      <c r="AB236" s="57" t="n"/>
      <c r="AC236" s="90" t="n"/>
      <c r="AD236" s="90" t="n"/>
      <c r="AE236" s="88" t="n"/>
      <c r="AF236" s="91" t="n"/>
      <c r="AG236" s="91" t="n"/>
      <c r="AH236" s="88" t="n"/>
      <c r="AI236" s="88" t="n"/>
      <c r="AJ236" s="90" t="n"/>
      <c r="AK236" s="88" t="n"/>
      <c r="AL236" s="91" t="n"/>
      <c r="AM236" s="88" t="n"/>
      <c r="AN236" s="95" t="n"/>
      <c r="AO236" s="90" t="n"/>
      <c r="AP236" s="90" t="n"/>
    </row>
    <row r="237" ht="14.25" customHeight="1" s="84">
      <c r="A237" s="51" t="n"/>
      <c r="B237" s="47" t="n"/>
      <c r="C237" s="51" t="n"/>
      <c r="D237" s="51" t="n"/>
      <c r="E237" s="51" t="n"/>
      <c r="F237" s="51" t="n"/>
      <c r="G237" s="47" t="n"/>
      <c r="H237" s="51" t="n"/>
      <c r="I237" s="51" t="n"/>
      <c r="J237" s="51" t="n"/>
      <c r="K237" s="51" t="n"/>
      <c r="L237" s="51" t="n"/>
      <c r="N237" s="51" t="n"/>
      <c r="Q237" s="51" t="n"/>
      <c r="S237" s="51" t="n"/>
      <c r="T237" s="51" t="n"/>
      <c r="U237" s="51" t="inlineStr"/>
      <c r="V237" s="55" t="n"/>
      <c r="W237" s="51" t="inlineStr"/>
      <c r="X237" s="51" t="inlineStr"/>
      <c r="Y237" s="51" t="n"/>
      <c r="AB237" s="57" t="n"/>
      <c r="AC237" s="90" t="n"/>
      <c r="AD237" s="90" t="n"/>
      <c r="AE237" s="88" t="n"/>
      <c r="AF237" s="91" t="n"/>
      <c r="AG237" s="91" t="n"/>
      <c r="AH237" s="88" t="n"/>
      <c r="AI237" s="88" t="n"/>
      <c r="AJ237" s="90" t="n"/>
      <c r="AK237" s="88" t="n"/>
      <c r="AL237" s="91" t="n"/>
      <c r="AM237" s="88" t="n"/>
      <c r="AN237" s="95" t="n"/>
      <c r="AO237" s="90" t="n"/>
      <c r="AP237" s="90" t="n"/>
    </row>
    <row r="238" ht="14.25" customHeight="1" s="84">
      <c r="A238" s="51" t="n"/>
      <c r="B238" s="47" t="n"/>
      <c r="C238" s="51" t="n"/>
      <c r="D238" s="51" t="n"/>
      <c r="E238" s="51" t="n"/>
      <c r="F238" s="51" t="n"/>
      <c r="G238" s="47" t="n"/>
      <c r="H238" s="51" t="n"/>
      <c r="I238" s="51" t="n"/>
      <c r="J238" s="51" t="n"/>
      <c r="K238" s="51" t="n"/>
      <c r="L238" s="51" t="n"/>
      <c r="N238" s="51" t="n"/>
      <c r="Q238" s="51" t="n"/>
      <c r="S238" s="51" t="n"/>
      <c r="T238" s="51" t="n"/>
      <c r="U238" s="51" t="inlineStr"/>
      <c r="V238" s="55" t="n"/>
      <c r="W238" s="51" t="inlineStr"/>
      <c r="X238" s="51" t="inlineStr"/>
      <c r="Y238" s="51" t="n"/>
      <c r="AB238" s="57" t="n"/>
      <c r="AC238" s="90" t="n"/>
      <c r="AD238" s="90" t="n"/>
      <c r="AE238" s="88" t="n"/>
      <c r="AF238" s="91" t="n"/>
      <c r="AG238" s="91" t="n"/>
      <c r="AH238" s="88" t="n"/>
      <c r="AI238" s="88" t="n"/>
      <c r="AJ238" s="90" t="n"/>
      <c r="AK238" s="88" t="n"/>
      <c r="AL238" s="91" t="n"/>
      <c r="AM238" s="88" t="n"/>
      <c r="AN238" s="95" t="n"/>
      <c r="AO238" s="90" t="n"/>
      <c r="AP238" s="90" t="n"/>
    </row>
    <row r="239" ht="14.25" customHeight="1" s="84">
      <c r="A239" s="51" t="n"/>
      <c r="B239" s="47" t="n"/>
      <c r="C239" s="51" t="n"/>
      <c r="D239" s="51" t="n"/>
      <c r="E239" s="51" t="n"/>
      <c r="F239" s="51" t="n"/>
      <c r="G239" s="47" t="n"/>
      <c r="H239" s="51" t="n"/>
      <c r="I239" s="51" t="n"/>
      <c r="J239" s="51" t="n"/>
      <c r="K239" s="51" t="n"/>
      <c r="L239" s="51" t="n"/>
      <c r="N239" s="51" t="n"/>
      <c r="Q239" s="51" t="n"/>
      <c r="S239" s="51" t="n"/>
      <c r="T239" s="51" t="n"/>
      <c r="U239" s="51" t="inlineStr"/>
      <c r="V239" s="55" t="n"/>
      <c r="W239" s="51" t="inlineStr"/>
      <c r="X239" s="51" t="inlineStr"/>
      <c r="Y239" s="51" t="n"/>
      <c r="AB239" s="57" t="n"/>
      <c r="AC239" s="90" t="n"/>
      <c r="AD239" s="90" t="n"/>
      <c r="AE239" s="88" t="n"/>
      <c r="AF239" s="91" t="n"/>
      <c r="AG239" s="91" t="n"/>
      <c r="AH239" s="88" t="n"/>
      <c r="AI239" s="88" t="n"/>
      <c r="AJ239" s="90" t="n"/>
      <c r="AK239" s="88" t="n"/>
      <c r="AL239" s="91" t="n"/>
      <c r="AM239" s="88" t="n"/>
      <c r="AN239" s="95" t="n"/>
      <c r="AO239" s="90" t="n"/>
      <c r="AP239" s="90" t="n"/>
    </row>
    <row r="240" ht="14.25" customHeight="1" s="84">
      <c r="A240" s="51" t="n"/>
      <c r="B240" s="47" t="n"/>
      <c r="C240" s="51" t="n"/>
      <c r="D240" s="51" t="n"/>
      <c r="E240" s="51" t="n"/>
      <c r="F240" s="51" t="n"/>
      <c r="G240" s="47" t="n"/>
      <c r="H240" s="51" t="n"/>
      <c r="I240" s="51" t="n"/>
      <c r="J240" s="51" t="n"/>
      <c r="K240" s="51" t="n"/>
      <c r="L240" s="51" t="n"/>
      <c r="N240" s="51" t="n"/>
      <c r="Q240" s="51" t="n"/>
      <c r="S240" s="51" t="n"/>
      <c r="T240" s="51" t="n"/>
      <c r="U240" s="51" t="inlineStr"/>
      <c r="V240" s="55" t="n"/>
      <c r="W240" s="51" t="inlineStr"/>
      <c r="X240" s="51" t="inlineStr"/>
      <c r="Y240" s="51" t="n"/>
      <c r="AB240" s="57" t="n"/>
      <c r="AC240" s="90" t="n"/>
      <c r="AD240" s="90" t="n"/>
      <c r="AE240" s="88" t="n"/>
      <c r="AF240" s="91" t="n"/>
      <c r="AG240" s="91" t="n"/>
      <c r="AH240" s="88" t="n"/>
      <c r="AI240" s="88" t="n"/>
      <c r="AJ240" s="90" t="n"/>
      <c r="AK240" s="88" t="n"/>
      <c r="AL240" s="91" t="n"/>
      <c r="AM240" s="88" t="n"/>
      <c r="AN240" s="95" t="n"/>
      <c r="AO240" s="90" t="n"/>
      <c r="AP240" s="90" t="n"/>
    </row>
    <row r="241" ht="14.25" customHeight="1" s="84">
      <c r="A241" s="51" t="n"/>
      <c r="B241" s="47" t="n"/>
      <c r="C241" s="51" t="n"/>
      <c r="D241" s="51" t="n"/>
      <c r="E241" s="51" t="n"/>
      <c r="F241" s="51" t="n"/>
      <c r="G241" s="47" t="n"/>
      <c r="H241" s="51" t="n"/>
      <c r="I241" s="51" t="n"/>
      <c r="J241" s="51" t="n"/>
      <c r="K241" s="51" t="n"/>
      <c r="L241" s="51" t="n"/>
      <c r="N241" s="51" t="n"/>
      <c r="Q241" s="51" t="n"/>
      <c r="S241" s="51" t="n"/>
      <c r="T241" s="51" t="n"/>
      <c r="U241" s="51" t="inlineStr"/>
      <c r="V241" s="55" t="n"/>
      <c r="W241" s="51" t="inlineStr"/>
      <c r="X241" s="51" t="inlineStr"/>
      <c r="Y241" s="51" t="n"/>
      <c r="AB241" s="57" t="n"/>
      <c r="AC241" s="90" t="n"/>
      <c r="AD241" s="90" t="n"/>
      <c r="AE241" s="88" t="n"/>
      <c r="AF241" s="91" t="n"/>
      <c r="AG241" s="91" t="n"/>
      <c r="AH241" s="88" t="n"/>
      <c r="AI241" s="88" t="n"/>
      <c r="AJ241" s="90" t="n"/>
      <c r="AK241" s="88" t="n"/>
      <c r="AL241" s="91" t="n"/>
      <c r="AM241" s="88" t="n"/>
      <c r="AN241" s="95" t="n"/>
      <c r="AO241" s="90" t="n"/>
      <c r="AP241" s="90" t="n"/>
    </row>
    <row r="242" ht="14.25" customHeight="1" s="84">
      <c r="A242" s="51" t="n"/>
      <c r="B242" s="47" t="n"/>
      <c r="C242" s="51" t="n"/>
      <c r="D242" s="51" t="n"/>
      <c r="E242" s="51" t="n"/>
      <c r="F242" s="51" t="n"/>
      <c r="G242" s="47" t="n"/>
      <c r="H242" s="51" t="n"/>
      <c r="I242" s="51" t="n"/>
      <c r="J242" s="51" t="n"/>
      <c r="K242" s="51" t="n"/>
      <c r="L242" s="51" t="n"/>
      <c r="N242" s="51" t="n"/>
      <c r="Q242" s="51" t="n"/>
      <c r="S242" s="51" t="n"/>
      <c r="T242" s="51" t="n"/>
      <c r="U242" s="51" t="inlineStr"/>
      <c r="V242" s="55" t="n"/>
      <c r="W242" s="51" t="inlineStr"/>
      <c r="X242" s="51" t="inlineStr"/>
      <c r="Y242" s="51" t="n"/>
      <c r="AB242" s="57" t="n"/>
      <c r="AC242" s="90" t="n"/>
      <c r="AD242" s="90" t="n"/>
      <c r="AE242" s="88" t="n"/>
      <c r="AF242" s="91" t="n"/>
      <c r="AG242" s="91" t="n"/>
      <c r="AH242" s="88" t="n"/>
      <c r="AI242" s="88" t="n"/>
      <c r="AJ242" s="90" t="n"/>
      <c r="AK242" s="88" t="n"/>
      <c r="AL242" s="91" t="n"/>
      <c r="AM242" s="88" t="n"/>
      <c r="AN242" s="95" t="n"/>
      <c r="AO242" s="90" t="n"/>
      <c r="AP242" s="90" t="n"/>
    </row>
    <row r="243" ht="14.25" customHeight="1" s="84">
      <c r="A243" s="51" t="n"/>
      <c r="B243" s="47" t="n"/>
      <c r="C243" s="51" t="n"/>
      <c r="D243" s="51" t="n"/>
      <c r="E243" s="51" t="n"/>
      <c r="F243" s="51" t="n"/>
      <c r="G243" s="47" t="n"/>
      <c r="H243" s="51" t="n"/>
      <c r="I243" s="51" t="n"/>
      <c r="J243" s="51" t="n"/>
      <c r="K243" s="51" t="n"/>
      <c r="L243" s="51" t="n"/>
      <c r="N243" s="51" t="n"/>
      <c r="Q243" s="51" t="n"/>
      <c r="S243" s="51" t="n"/>
      <c r="T243" s="51" t="n"/>
      <c r="U243" s="51" t="inlineStr"/>
      <c r="V243" s="55" t="n"/>
      <c r="W243" s="51" t="inlineStr"/>
      <c r="X243" s="51" t="inlineStr"/>
      <c r="Y243" s="51" t="n"/>
      <c r="AB243" s="57" t="n"/>
      <c r="AC243" s="90" t="n"/>
      <c r="AD243" s="90" t="n"/>
      <c r="AE243" s="88" t="n"/>
      <c r="AF243" s="91" t="n"/>
      <c r="AG243" s="91" t="n"/>
      <c r="AH243" s="88" t="n"/>
      <c r="AI243" s="88" t="n"/>
      <c r="AJ243" s="90" t="n"/>
      <c r="AK243" s="88" t="n"/>
      <c r="AL243" s="91" t="n"/>
      <c r="AM243" s="88" t="n"/>
      <c r="AN243" s="95" t="n"/>
      <c r="AO243" s="90" t="n"/>
      <c r="AP243" s="90" t="n"/>
    </row>
    <row r="244" ht="14.25" customHeight="1" s="84">
      <c r="A244" s="51" t="n"/>
      <c r="B244" s="47" t="n"/>
      <c r="C244" s="51" t="n"/>
      <c r="D244" s="51" t="n"/>
      <c r="E244" s="51" t="n"/>
      <c r="F244" s="51" t="n"/>
      <c r="G244" s="47" t="n"/>
      <c r="H244" s="51" t="n"/>
      <c r="I244" s="51" t="n"/>
      <c r="J244" s="51" t="n"/>
      <c r="K244" s="51" t="n"/>
      <c r="L244" s="51" t="n"/>
      <c r="N244" s="51" t="n"/>
      <c r="Q244" s="51" t="n"/>
      <c r="S244" s="51" t="n"/>
      <c r="T244" s="51" t="n"/>
      <c r="U244" s="51" t="inlineStr"/>
      <c r="V244" s="55" t="n"/>
      <c r="W244" s="51" t="inlineStr"/>
      <c r="X244" s="51" t="inlineStr"/>
      <c r="Y244" s="51" t="n"/>
      <c r="AB244" s="57" t="n"/>
      <c r="AC244" s="90" t="n"/>
      <c r="AD244" s="90" t="n"/>
      <c r="AE244" s="88" t="n"/>
      <c r="AF244" s="91" t="n"/>
      <c r="AG244" s="91" t="n"/>
      <c r="AH244" s="88" t="n"/>
      <c r="AI244" s="88" t="n"/>
      <c r="AJ244" s="90" t="n"/>
      <c r="AK244" s="88" t="n"/>
      <c r="AL244" s="91" t="n"/>
      <c r="AM244" s="88" t="n"/>
      <c r="AN244" s="95" t="n"/>
      <c r="AO244" s="90" t="n"/>
      <c r="AP244" s="90" t="n"/>
    </row>
    <row r="245" ht="14.25" customHeight="1" s="84">
      <c r="A245" s="51" t="n"/>
      <c r="B245" s="47" t="n"/>
      <c r="C245" s="51" t="n"/>
      <c r="D245" s="51" t="n"/>
      <c r="E245" s="51" t="n"/>
      <c r="F245" s="51" t="n"/>
      <c r="G245" s="47" t="n"/>
      <c r="H245" s="51" t="n"/>
      <c r="I245" s="51" t="n"/>
      <c r="J245" s="51" t="n"/>
      <c r="K245" s="51" t="n"/>
      <c r="L245" s="51" t="n"/>
      <c r="N245" s="51" t="n"/>
      <c r="Q245" s="51" t="n"/>
      <c r="S245" s="51" t="n"/>
      <c r="T245" s="51" t="n"/>
      <c r="U245" s="51" t="inlineStr"/>
      <c r="V245" s="55" t="n"/>
      <c r="W245" s="51" t="inlineStr"/>
      <c r="X245" s="51" t="inlineStr"/>
      <c r="Y245" s="51" t="n"/>
      <c r="AB245" s="57" t="n"/>
      <c r="AC245" s="90" t="n"/>
      <c r="AD245" s="90" t="n"/>
      <c r="AE245" s="88" t="n"/>
      <c r="AF245" s="91" t="n"/>
      <c r="AG245" s="91" t="n"/>
      <c r="AH245" s="88" t="n"/>
      <c r="AI245" s="88" t="n"/>
      <c r="AJ245" s="90" t="n"/>
      <c r="AK245" s="88" t="n"/>
      <c r="AL245" s="91" t="n"/>
      <c r="AM245" s="88" t="n"/>
      <c r="AN245" s="95" t="n"/>
      <c r="AO245" s="90" t="n"/>
      <c r="AP245" s="90" t="n"/>
    </row>
    <row r="246" ht="14.25" customHeight="1" s="84">
      <c r="A246" s="51" t="n"/>
      <c r="B246" s="47" t="n"/>
      <c r="C246" s="51" t="n"/>
      <c r="D246" s="51" t="n"/>
      <c r="E246" s="51" t="n"/>
      <c r="F246" s="51" t="n"/>
      <c r="G246" s="47" t="n"/>
      <c r="H246" s="51" t="n"/>
      <c r="I246" s="51" t="n"/>
      <c r="J246" s="51" t="n"/>
      <c r="K246" s="51" t="n"/>
      <c r="L246" s="51" t="n"/>
      <c r="N246" s="51" t="n"/>
      <c r="Q246" s="51" t="n"/>
      <c r="S246" s="51" t="n"/>
      <c r="T246" s="51" t="n"/>
      <c r="U246" s="51" t="inlineStr"/>
      <c r="V246" s="55" t="n"/>
      <c r="W246" s="51" t="inlineStr"/>
      <c r="X246" s="51" t="inlineStr"/>
      <c r="Y246" s="51" t="n"/>
      <c r="AB246" s="57" t="n"/>
      <c r="AC246" s="90" t="n"/>
      <c r="AD246" s="90" t="n"/>
      <c r="AE246" s="88" t="n"/>
      <c r="AF246" s="91" t="n"/>
      <c r="AG246" s="91" t="n"/>
      <c r="AH246" s="88" t="n"/>
      <c r="AI246" s="88" t="n"/>
      <c r="AJ246" s="90" t="n"/>
      <c r="AK246" s="88" t="n"/>
      <c r="AL246" s="91" t="n"/>
      <c r="AM246" s="88" t="n"/>
      <c r="AN246" s="95" t="n"/>
      <c r="AO246" s="90" t="n"/>
      <c r="AP246" s="90" t="n"/>
    </row>
    <row r="247" ht="14.25" customHeight="1" s="84">
      <c r="A247" s="51" t="n"/>
      <c r="B247" s="47" t="n"/>
      <c r="C247" s="51" t="n"/>
      <c r="D247" s="51" t="n"/>
      <c r="E247" s="51" t="n"/>
      <c r="F247" s="51" t="n"/>
      <c r="G247" s="47" t="n"/>
      <c r="H247" s="51" t="n"/>
      <c r="I247" s="51" t="n"/>
      <c r="J247" s="51" t="n"/>
      <c r="K247" s="51" t="n"/>
      <c r="L247" s="51" t="n"/>
      <c r="N247" s="51" t="n"/>
      <c r="Q247" s="51" t="n"/>
      <c r="S247" s="51" t="n"/>
      <c r="T247" s="51" t="n"/>
      <c r="U247" s="51" t="inlineStr"/>
      <c r="V247" s="55" t="n"/>
      <c r="W247" s="51" t="inlineStr"/>
      <c r="X247" s="51" t="inlineStr"/>
      <c r="Y247" s="51" t="n"/>
      <c r="AB247" s="57" t="n"/>
      <c r="AC247" s="90" t="n"/>
      <c r="AD247" s="90" t="n"/>
      <c r="AE247" s="88" t="n"/>
      <c r="AF247" s="91" t="n"/>
      <c r="AG247" s="91" t="n"/>
      <c r="AH247" s="88" t="n"/>
      <c r="AI247" s="88" t="n"/>
      <c r="AJ247" s="90" t="n"/>
      <c r="AK247" s="88" t="n"/>
      <c r="AL247" s="91" t="n"/>
      <c r="AM247" s="88" t="n"/>
      <c r="AN247" s="95" t="n"/>
      <c r="AO247" s="90" t="n"/>
      <c r="AP247" s="90" t="n"/>
    </row>
    <row r="248" ht="14.25" customHeight="1" s="84">
      <c r="A248" s="51" t="n"/>
      <c r="B248" s="47" t="n"/>
      <c r="C248" s="51" t="n"/>
      <c r="D248" s="51" t="n"/>
      <c r="E248" s="51" t="n"/>
      <c r="F248" s="51" t="n"/>
      <c r="G248" s="47" t="n"/>
      <c r="H248" s="51" t="n"/>
      <c r="I248" s="51" t="n"/>
      <c r="J248" s="51" t="n"/>
      <c r="K248" s="51" t="n"/>
      <c r="L248" s="51" t="n"/>
      <c r="N248" s="51" t="n"/>
      <c r="Q248" s="51" t="n"/>
      <c r="S248" s="51" t="n"/>
      <c r="T248" s="51" t="n"/>
      <c r="U248" s="51" t="inlineStr"/>
      <c r="V248" s="55" t="n"/>
      <c r="W248" s="51" t="inlineStr"/>
      <c r="X248" s="51" t="inlineStr"/>
      <c r="Y248" s="51" t="n"/>
      <c r="AB248" s="57" t="n"/>
      <c r="AC248" s="90" t="n"/>
      <c r="AD248" s="90" t="n"/>
      <c r="AE248" s="88" t="n"/>
      <c r="AF248" s="91" t="n"/>
      <c r="AG248" s="91" t="n"/>
      <c r="AH248" s="88" t="n"/>
      <c r="AI248" s="88" t="n"/>
      <c r="AJ248" s="90" t="n"/>
      <c r="AK248" s="88" t="n"/>
      <c r="AL248" s="91" t="n"/>
      <c r="AM248" s="88" t="n"/>
      <c r="AN248" s="95" t="n"/>
      <c r="AO248" s="90" t="n"/>
      <c r="AP248" s="90" t="n"/>
    </row>
    <row r="249" ht="14.25" customHeight="1" s="84">
      <c r="A249" s="51" t="n"/>
      <c r="B249" s="47" t="n"/>
      <c r="C249" s="51" t="n"/>
      <c r="D249" s="51" t="n"/>
      <c r="E249" s="51" t="n"/>
      <c r="F249" s="51" t="n"/>
      <c r="G249" s="47" t="n"/>
      <c r="H249" s="51" t="n"/>
      <c r="I249" s="51" t="n"/>
      <c r="J249" s="51" t="n"/>
      <c r="K249" s="51" t="n"/>
      <c r="L249" s="51" t="n"/>
      <c r="N249" s="51" t="n"/>
      <c r="Q249" s="51" t="n"/>
      <c r="S249" s="51" t="n"/>
      <c r="T249" s="51" t="n"/>
      <c r="U249" s="51" t="inlineStr"/>
      <c r="V249" s="55" t="n"/>
      <c r="W249" s="51" t="inlineStr"/>
      <c r="X249" s="51" t="inlineStr"/>
      <c r="Y249" s="51" t="n"/>
      <c r="AB249" s="57" t="n"/>
      <c r="AC249" s="90" t="n"/>
      <c r="AD249" s="90" t="n"/>
      <c r="AE249" s="88" t="n"/>
      <c r="AF249" s="91" t="n"/>
      <c r="AG249" s="91" t="n"/>
      <c r="AH249" s="88" t="n"/>
      <c r="AI249" s="88" t="n"/>
      <c r="AJ249" s="90" t="n"/>
      <c r="AK249" s="88" t="n"/>
      <c r="AL249" s="91" t="n"/>
      <c r="AM249" s="88" t="n"/>
      <c r="AN249" s="95" t="n"/>
      <c r="AO249" s="90" t="n"/>
      <c r="AP249" s="90" t="n"/>
    </row>
    <row r="250" ht="14.25" customHeight="1" s="84">
      <c r="A250" s="51" t="n"/>
      <c r="B250" s="47" t="n"/>
      <c r="C250" s="51" t="n"/>
      <c r="D250" s="51" t="n"/>
      <c r="E250" s="51" t="n"/>
      <c r="F250" s="51" t="n"/>
      <c r="G250" s="47" t="n"/>
      <c r="H250" s="51" t="n"/>
      <c r="I250" s="51" t="n"/>
      <c r="J250" s="51" t="n"/>
      <c r="K250" s="51" t="n"/>
      <c r="L250" s="51" t="n"/>
      <c r="N250" s="51" t="n"/>
      <c r="Q250" s="51" t="n"/>
      <c r="S250" s="51" t="n"/>
      <c r="T250" s="51" t="n"/>
      <c r="U250" s="51" t="inlineStr"/>
      <c r="V250" s="55" t="n"/>
      <c r="W250" s="51" t="inlineStr"/>
      <c r="X250" s="51" t="inlineStr"/>
      <c r="Y250" s="51" t="n"/>
      <c r="AB250" s="57" t="n"/>
      <c r="AC250" s="90" t="n"/>
      <c r="AD250" s="90" t="n"/>
      <c r="AE250" s="88" t="n"/>
      <c r="AF250" s="91" t="n"/>
      <c r="AG250" s="91" t="n"/>
      <c r="AH250" s="88" t="n"/>
      <c r="AI250" s="88" t="n"/>
      <c r="AJ250" s="90" t="n"/>
      <c r="AK250" s="88" t="n"/>
      <c r="AL250" s="91" t="n"/>
      <c r="AM250" s="88" t="n"/>
      <c r="AN250" s="95" t="n"/>
      <c r="AO250" s="90" t="n"/>
      <c r="AP250" s="90" t="n"/>
    </row>
    <row r="251" ht="14.25" customHeight="1" s="84">
      <c r="A251" s="51" t="n"/>
      <c r="B251" s="47" t="n"/>
      <c r="C251" s="51" t="n"/>
      <c r="D251" s="51" t="n"/>
      <c r="E251" s="51" t="n"/>
      <c r="F251" s="51" t="n"/>
      <c r="G251" s="47" t="n"/>
      <c r="H251" s="51" t="n"/>
      <c r="I251" s="51" t="n"/>
      <c r="J251" s="51" t="n"/>
      <c r="K251" s="51" t="n"/>
      <c r="L251" s="51" t="n"/>
      <c r="N251" s="51" t="n"/>
      <c r="Q251" s="51" t="n"/>
      <c r="S251" s="51" t="n"/>
      <c r="T251" s="51" t="n"/>
      <c r="U251" s="51" t="inlineStr"/>
      <c r="V251" s="55" t="n"/>
      <c r="W251" s="51" t="inlineStr"/>
      <c r="X251" s="51" t="inlineStr"/>
      <c r="Y251" s="51" t="n"/>
      <c r="AB251" s="57" t="n"/>
      <c r="AC251" s="90" t="n"/>
      <c r="AD251" s="90" t="n"/>
      <c r="AE251" s="88" t="n"/>
      <c r="AF251" s="91" t="n"/>
      <c r="AG251" s="91" t="n"/>
      <c r="AH251" s="88" t="n"/>
      <c r="AI251" s="88" t="n"/>
      <c r="AJ251" s="90" t="n"/>
      <c r="AK251" s="88" t="n"/>
      <c r="AL251" s="91" t="n"/>
      <c r="AM251" s="88" t="n"/>
      <c r="AN251" s="95" t="n"/>
      <c r="AO251" s="90" t="n"/>
      <c r="AP251" s="90" t="n"/>
    </row>
    <row r="252" ht="14.25" customHeight="1" s="84">
      <c r="A252" s="51" t="n"/>
      <c r="B252" s="47" t="n"/>
      <c r="C252" s="51" t="n"/>
      <c r="D252" s="51" t="n"/>
      <c r="E252" s="51" t="n"/>
      <c r="F252" s="51" t="n"/>
      <c r="G252" s="47" t="n"/>
      <c r="H252" s="51" t="n"/>
      <c r="I252" s="51" t="n"/>
      <c r="J252" s="51" t="n"/>
      <c r="K252" s="51" t="n"/>
      <c r="L252" s="51" t="n"/>
      <c r="N252" s="51" t="n"/>
      <c r="Q252" s="51" t="n"/>
      <c r="S252" s="51" t="n"/>
      <c r="T252" s="51" t="n"/>
      <c r="U252" s="51" t="inlineStr"/>
      <c r="V252" s="55" t="n"/>
      <c r="W252" s="51" t="inlineStr"/>
      <c r="X252" s="51" t="inlineStr"/>
      <c r="Y252" s="51" t="n"/>
      <c r="AB252" s="57" t="n"/>
      <c r="AC252" s="90" t="n"/>
      <c r="AD252" s="90" t="n"/>
      <c r="AE252" s="88" t="n"/>
      <c r="AF252" s="91" t="n"/>
      <c r="AG252" s="91" t="n"/>
      <c r="AH252" s="88" t="n"/>
      <c r="AI252" s="88" t="n"/>
      <c r="AJ252" s="90" t="n"/>
      <c r="AK252" s="88" t="n"/>
      <c r="AL252" s="91" t="n"/>
      <c r="AM252" s="88" t="n"/>
      <c r="AN252" s="95" t="n"/>
      <c r="AO252" s="90" t="n"/>
      <c r="AP252" s="90" t="n"/>
    </row>
    <row r="253" ht="14.25" customHeight="1" s="84">
      <c r="A253" s="51" t="n"/>
      <c r="B253" s="47" t="n"/>
      <c r="C253" s="51" t="n"/>
      <c r="D253" s="51" t="n"/>
      <c r="E253" s="51" t="n"/>
      <c r="F253" s="51" t="n"/>
      <c r="G253" s="47" t="n"/>
      <c r="H253" s="51" t="n"/>
      <c r="I253" s="51" t="n"/>
      <c r="J253" s="51" t="n"/>
      <c r="K253" s="51" t="n"/>
      <c r="L253" s="51" t="n"/>
      <c r="N253" s="51" t="n"/>
      <c r="Q253" s="51" t="n"/>
      <c r="S253" s="51" t="n"/>
      <c r="T253" s="51" t="n"/>
      <c r="U253" s="51" t="inlineStr"/>
      <c r="V253" s="55" t="n"/>
      <c r="W253" s="51" t="inlineStr"/>
      <c r="X253" s="51" t="inlineStr"/>
      <c r="Y253" s="51" t="n"/>
      <c r="AB253" s="57" t="n"/>
      <c r="AC253" s="90" t="n"/>
      <c r="AD253" s="90" t="n"/>
      <c r="AE253" s="88" t="n"/>
      <c r="AF253" s="91" t="n"/>
      <c r="AG253" s="91" t="n"/>
      <c r="AH253" s="88" t="n"/>
      <c r="AI253" s="88" t="n"/>
      <c r="AJ253" s="90" t="n"/>
      <c r="AK253" s="88" t="n"/>
      <c r="AL253" s="91" t="n"/>
      <c r="AM253" s="88" t="n"/>
      <c r="AN253" s="95" t="n"/>
      <c r="AO253" s="90" t="n"/>
      <c r="AP253" s="90" t="n"/>
    </row>
    <row r="254" ht="14.25" customHeight="1" s="84">
      <c r="A254" s="51" t="n"/>
      <c r="B254" s="47" t="n"/>
      <c r="C254" s="51" t="n"/>
      <c r="D254" s="51" t="n"/>
      <c r="E254" s="51" t="n"/>
      <c r="F254" s="51" t="n"/>
      <c r="G254" s="47" t="n"/>
      <c r="H254" s="51" t="n"/>
      <c r="I254" s="51" t="n"/>
      <c r="J254" s="51" t="n"/>
      <c r="K254" s="51" t="n"/>
      <c r="L254" s="51" t="n"/>
      <c r="N254" s="51" t="n"/>
      <c r="Q254" s="51" t="n"/>
      <c r="S254" s="51" t="n"/>
      <c r="T254" s="51" t="n"/>
      <c r="U254" s="51" t="inlineStr"/>
      <c r="V254" s="55" t="n"/>
      <c r="W254" s="51" t="inlineStr"/>
      <c r="X254" s="51" t="inlineStr"/>
      <c r="Y254" s="51" t="n"/>
      <c r="AB254" s="57" t="n"/>
      <c r="AC254" s="90" t="n"/>
      <c r="AD254" s="90" t="n"/>
      <c r="AE254" s="88" t="n"/>
      <c r="AF254" s="91" t="n"/>
      <c r="AG254" s="91" t="n"/>
      <c r="AH254" s="88" t="n"/>
      <c r="AI254" s="88" t="n"/>
      <c r="AJ254" s="90" t="n"/>
      <c r="AK254" s="88" t="n"/>
      <c r="AL254" s="91" t="n"/>
      <c r="AM254" s="88" t="n"/>
      <c r="AN254" s="95" t="n"/>
      <c r="AO254" s="90" t="n"/>
      <c r="AP254" s="90" t="n"/>
    </row>
    <row r="255" ht="14.25" customHeight="1" s="84">
      <c r="A255" s="51" t="n"/>
      <c r="B255" s="47" t="n"/>
      <c r="C255" s="51" t="n"/>
      <c r="D255" s="51" t="n"/>
      <c r="E255" s="51" t="n"/>
      <c r="F255" s="51" t="n"/>
      <c r="G255" s="47" t="n"/>
      <c r="H255" s="51" t="n"/>
      <c r="I255" s="51" t="n"/>
      <c r="J255" s="51" t="n"/>
      <c r="K255" s="51" t="n"/>
      <c r="L255" s="51" t="n"/>
      <c r="N255" s="51" t="n"/>
      <c r="Q255" s="51" t="n"/>
      <c r="S255" s="51" t="n"/>
      <c r="T255" s="51" t="n"/>
      <c r="U255" s="51" t="inlineStr"/>
      <c r="V255" s="55" t="n"/>
      <c r="W255" s="51" t="inlineStr"/>
      <c r="X255" s="51" t="inlineStr"/>
      <c r="Y255" s="51" t="n"/>
      <c r="AB255" s="57" t="n"/>
      <c r="AC255" s="90" t="n"/>
      <c r="AD255" s="90" t="n"/>
      <c r="AE255" s="88" t="n"/>
      <c r="AF255" s="91" t="n"/>
      <c r="AG255" s="91" t="n"/>
      <c r="AH255" s="88" t="n"/>
      <c r="AI255" s="88" t="n"/>
      <c r="AJ255" s="90" t="n"/>
      <c r="AK255" s="88" t="n"/>
      <c r="AL255" s="91" t="n"/>
      <c r="AM255" s="88" t="n"/>
      <c r="AN255" s="95" t="n"/>
      <c r="AO255" s="90" t="n"/>
      <c r="AP255" s="90" t="n"/>
    </row>
    <row r="256" ht="14.25" customHeight="1" s="84">
      <c r="A256" s="51" t="n"/>
      <c r="B256" s="47" t="n"/>
      <c r="C256" s="51" t="n"/>
      <c r="D256" s="51" t="n"/>
      <c r="E256" s="51" t="n"/>
      <c r="F256" s="51" t="n"/>
      <c r="G256" s="47" t="n"/>
      <c r="H256" s="51" t="n"/>
      <c r="I256" s="51" t="n"/>
      <c r="J256" s="51" t="n"/>
      <c r="K256" s="51" t="n"/>
      <c r="L256" s="51" t="n"/>
      <c r="N256" s="51" t="n"/>
      <c r="Q256" s="51" t="n"/>
      <c r="S256" s="51" t="n"/>
      <c r="T256" s="51" t="n"/>
      <c r="U256" s="51" t="inlineStr"/>
      <c r="V256" s="55" t="n"/>
      <c r="W256" s="51" t="inlineStr"/>
      <c r="X256" s="51" t="inlineStr"/>
      <c r="Y256" s="51" t="n"/>
      <c r="AB256" s="57" t="n"/>
      <c r="AC256" s="90" t="n"/>
      <c r="AD256" s="90" t="n"/>
      <c r="AE256" s="88" t="n"/>
      <c r="AF256" s="91" t="n"/>
      <c r="AG256" s="91" t="n"/>
      <c r="AH256" s="88" t="n"/>
      <c r="AI256" s="88" t="n"/>
      <c r="AJ256" s="90" t="n"/>
      <c r="AK256" s="88" t="n"/>
      <c r="AL256" s="91" t="n"/>
      <c r="AM256" s="88" t="n"/>
      <c r="AN256" s="95" t="n"/>
      <c r="AO256" s="90" t="n"/>
      <c r="AP256" s="90" t="n"/>
    </row>
    <row r="257" ht="14.25" customHeight="1" s="84">
      <c r="A257" s="51" t="n"/>
      <c r="B257" s="47" t="n"/>
      <c r="C257" s="51" t="n"/>
      <c r="D257" s="51" t="n"/>
      <c r="E257" s="51" t="n"/>
      <c r="F257" s="51" t="n"/>
      <c r="G257" s="47" t="n"/>
      <c r="H257" s="51" t="n"/>
      <c r="I257" s="51" t="n"/>
      <c r="J257" s="51" t="n"/>
      <c r="K257" s="51" t="n"/>
      <c r="L257" s="51" t="n"/>
      <c r="N257" s="51" t="n"/>
      <c r="Q257" s="51" t="n"/>
      <c r="S257" s="51" t="n"/>
      <c r="T257" s="51" t="n"/>
      <c r="U257" s="51" t="inlineStr"/>
      <c r="V257" s="55" t="n"/>
      <c r="W257" s="51" t="inlineStr"/>
      <c r="X257" s="51" t="inlineStr"/>
      <c r="Y257" s="51" t="n"/>
      <c r="AB257" s="57" t="n"/>
      <c r="AC257" s="90" t="n"/>
      <c r="AD257" s="90" t="n"/>
      <c r="AE257" s="88" t="n"/>
      <c r="AF257" s="91" t="n"/>
      <c r="AG257" s="91" t="n"/>
      <c r="AH257" s="88" t="n"/>
      <c r="AI257" s="88" t="n"/>
      <c r="AJ257" s="90" t="n"/>
      <c r="AK257" s="88" t="n"/>
      <c r="AL257" s="91" t="n"/>
      <c r="AM257" s="88" t="n"/>
      <c r="AN257" s="95" t="n"/>
      <c r="AO257" s="90" t="n"/>
      <c r="AP257" s="90" t="n"/>
    </row>
    <row r="258" ht="14.25" customHeight="1" s="84">
      <c r="A258" s="51" t="n"/>
      <c r="B258" s="47" t="n"/>
      <c r="C258" s="51" t="n"/>
      <c r="D258" s="51" t="n"/>
      <c r="E258" s="51" t="n"/>
      <c r="F258" s="51" t="n"/>
      <c r="G258" s="47" t="n"/>
      <c r="H258" s="51" t="n"/>
      <c r="I258" s="51" t="n"/>
      <c r="J258" s="51" t="n"/>
      <c r="K258" s="51" t="n"/>
      <c r="L258" s="51" t="n"/>
      <c r="N258" s="51" t="n"/>
      <c r="Q258" s="51" t="n"/>
      <c r="S258" s="51" t="n"/>
      <c r="T258" s="51" t="n"/>
      <c r="U258" s="51" t="inlineStr"/>
      <c r="V258" s="55" t="n"/>
      <c r="W258" s="51" t="inlineStr"/>
      <c r="X258" s="51" t="inlineStr"/>
      <c r="Y258" s="51" t="n"/>
      <c r="AB258" s="57" t="n"/>
      <c r="AC258" s="90" t="n"/>
      <c r="AD258" s="90" t="n"/>
      <c r="AE258" s="88" t="n"/>
      <c r="AF258" s="91" t="n"/>
      <c r="AG258" s="91" t="n"/>
      <c r="AH258" s="88" t="n"/>
      <c r="AI258" s="88" t="n"/>
      <c r="AJ258" s="90" t="n"/>
      <c r="AK258" s="88" t="n"/>
      <c r="AL258" s="91" t="n"/>
      <c r="AM258" s="88" t="n"/>
      <c r="AN258" s="95" t="n"/>
      <c r="AO258" s="90" t="n"/>
      <c r="AP258" s="90" t="n"/>
    </row>
    <row r="259" ht="14.25" customHeight="1" s="84">
      <c r="A259" s="51" t="n"/>
      <c r="B259" s="47" t="n"/>
      <c r="C259" s="51" t="n"/>
      <c r="D259" s="51" t="n"/>
      <c r="E259" s="51" t="n"/>
      <c r="F259" s="51" t="n"/>
      <c r="G259" s="47" t="n"/>
      <c r="H259" s="51" t="n"/>
      <c r="I259" s="51" t="n"/>
      <c r="J259" s="51" t="n"/>
      <c r="K259" s="51" t="n"/>
      <c r="L259" s="51" t="n"/>
      <c r="N259" s="51" t="n"/>
      <c r="Q259" s="51" t="n"/>
      <c r="S259" s="51" t="n"/>
      <c r="T259" s="51" t="n"/>
      <c r="U259" s="51" t="inlineStr"/>
      <c r="V259" s="55" t="n"/>
      <c r="W259" s="51" t="inlineStr"/>
      <c r="X259" s="51" t="inlineStr"/>
      <c r="Y259" s="51" t="n"/>
      <c r="AB259" s="57" t="n"/>
      <c r="AC259" s="90" t="n"/>
      <c r="AD259" s="90" t="n"/>
      <c r="AE259" s="88" t="n"/>
      <c r="AF259" s="91" t="n"/>
      <c r="AG259" s="91" t="n"/>
      <c r="AH259" s="88" t="n"/>
      <c r="AI259" s="88" t="n"/>
      <c r="AJ259" s="90" t="n"/>
      <c r="AK259" s="88" t="n"/>
      <c r="AL259" s="91" t="n"/>
      <c r="AM259" s="88" t="n"/>
      <c r="AN259" s="95" t="n"/>
      <c r="AO259" s="90" t="n"/>
      <c r="AP259" s="90" t="n"/>
    </row>
    <row r="260" ht="14.25" customHeight="1" s="84">
      <c r="A260" s="51" t="n"/>
      <c r="B260" s="47" t="n"/>
      <c r="C260" s="51" t="n"/>
      <c r="D260" s="51" t="n"/>
      <c r="E260" s="51" t="n"/>
      <c r="F260" s="51" t="n"/>
      <c r="G260" s="47" t="n"/>
      <c r="H260" s="51" t="n"/>
      <c r="I260" s="51" t="n"/>
      <c r="J260" s="51" t="n"/>
      <c r="K260" s="51" t="n"/>
      <c r="L260" s="51" t="n"/>
      <c r="N260" s="51" t="n"/>
      <c r="Q260" s="51" t="n"/>
      <c r="S260" s="51" t="n"/>
      <c r="T260" s="51" t="n"/>
      <c r="U260" s="51" t="inlineStr"/>
      <c r="V260" s="55" t="n"/>
      <c r="W260" s="51" t="inlineStr"/>
      <c r="X260" s="51" t="inlineStr"/>
      <c r="Y260" s="51" t="n"/>
      <c r="AB260" s="57" t="n"/>
      <c r="AC260" s="90" t="n"/>
      <c r="AD260" s="90" t="n"/>
      <c r="AE260" s="88" t="n"/>
      <c r="AF260" s="91" t="n"/>
      <c r="AG260" s="91" t="n"/>
      <c r="AH260" s="88" t="n"/>
      <c r="AI260" s="88" t="n"/>
      <c r="AJ260" s="90" t="n"/>
      <c r="AK260" s="88" t="n"/>
      <c r="AL260" s="91" t="n"/>
      <c r="AM260" s="88" t="n"/>
      <c r="AN260" s="95" t="n"/>
      <c r="AO260" s="90" t="n"/>
      <c r="AP260" s="90" t="n"/>
    </row>
    <row r="261" ht="14.25" customHeight="1" s="84">
      <c r="A261" s="51" t="n"/>
      <c r="B261" s="47" t="n"/>
      <c r="C261" s="51" t="n"/>
      <c r="D261" s="51" t="n"/>
      <c r="E261" s="51" t="n"/>
      <c r="F261" s="51" t="n"/>
      <c r="G261" s="47" t="n"/>
      <c r="H261" s="51" t="n"/>
      <c r="I261" s="51" t="n"/>
      <c r="J261" s="51" t="n"/>
      <c r="K261" s="51" t="n"/>
      <c r="L261" s="51" t="n"/>
      <c r="N261" s="51" t="n"/>
      <c r="Q261" s="51" t="n"/>
      <c r="S261" s="51" t="n"/>
      <c r="T261" s="51" t="n"/>
      <c r="U261" s="51" t="inlineStr"/>
      <c r="V261" s="55" t="n"/>
      <c r="W261" s="51" t="inlineStr"/>
      <c r="X261" s="51" t="inlineStr"/>
      <c r="Y261" s="51" t="n"/>
      <c r="AB261" s="57" t="n"/>
      <c r="AC261" s="90" t="n"/>
      <c r="AD261" s="90" t="n"/>
      <c r="AE261" s="88" t="n"/>
      <c r="AF261" s="91" t="n"/>
      <c r="AG261" s="91" t="n"/>
      <c r="AH261" s="88" t="n"/>
      <c r="AI261" s="88" t="n"/>
      <c r="AJ261" s="90" t="n"/>
      <c r="AK261" s="88" t="n"/>
      <c r="AL261" s="91" t="n"/>
      <c r="AM261" s="88" t="n"/>
      <c r="AN261" s="95" t="n"/>
      <c r="AO261" s="90" t="n"/>
      <c r="AP261" s="90" t="n"/>
    </row>
    <row r="262" ht="14.25" customHeight="1" s="84">
      <c r="A262" s="51" t="n"/>
      <c r="B262" s="47" t="n"/>
      <c r="C262" s="51" t="n"/>
      <c r="D262" s="51" t="n"/>
      <c r="E262" s="51" t="n"/>
      <c r="F262" s="51" t="n"/>
      <c r="G262" s="47" t="n"/>
      <c r="H262" s="51" t="n"/>
      <c r="I262" s="51" t="n"/>
      <c r="J262" s="51" t="n"/>
      <c r="K262" s="51" t="n"/>
      <c r="L262" s="51" t="n"/>
      <c r="N262" s="51" t="n"/>
      <c r="Q262" s="51" t="n"/>
      <c r="S262" s="51" t="n"/>
      <c r="T262" s="51" t="n"/>
      <c r="U262" s="51" t="inlineStr"/>
      <c r="V262" s="55" t="n"/>
      <c r="W262" s="51" t="inlineStr"/>
      <c r="X262" s="51" t="inlineStr"/>
      <c r="Y262" s="51" t="n"/>
      <c r="AB262" s="57" t="n"/>
      <c r="AC262" s="90" t="n"/>
      <c r="AD262" s="90" t="n"/>
      <c r="AE262" s="88" t="n"/>
      <c r="AF262" s="91" t="n"/>
      <c r="AG262" s="91" t="n"/>
      <c r="AH262" s="88" t="n"/>
      <c r="AI262" s="88" t="n"/>
      <c r="AJ262" s="90" t="n"/>
      <c r="AK262" s="88" t="n"/>
      <c r="AL262" s="91" t="n"/>
      <c r="AM262" s="88" t="n"/>
      <c r="AN262" s="95" t="n"/>
      <c r="AO262" s="90" t="n"/>
      <c r="AP262" s="90" t="n"/>
    </row>
    <row r="263" ht="14.25" customHeight="1" s="84">
      <c r="A263" s="51" t="n"/>
      <c r="B263" s="47" t="n"/>
      <c r="C263" s="51" t="n"/>
      <c r="D263" s="51" t="n"/>
      <c r="E263" s="51" t="n"/>
      <c r="F263" s="51" t="n"/>
      <c r="G263" s="47" t="n"/>
      <c r="H263" s="51" t="n"/>
      <c r="I263" s="51" t="n"/>
      <c r="J263" s="51" t="n"/>
      <c r="K263" s="51" t="n"/>
      <c r="L263" s="51" t="n"/>
      <c r="N263" s="51" t="n"/>
      <c r="Q263" s="51" t="n"/>
      <c r="S263" s="51" t="n"/>
      <c r="T263" s="51" t="n"/>
      <c r="U263" s="51" t="inlineStr"/>
      <c r="V263" s="55" t="n"/>
      <c r="W263" s="51" t="inlineStr"/>
      <c r="X263" s="51" t="inlineStr"/>
      <c r="Y263" s="51" t="n"/>
      <c r="AB263" s="57" t="n"/>
      <c r="AC263" s="90" t="n"/>
      <c r="AD263" s="90" t="n"/>
      <c r="AE263" s="88" t="n"/>
      <c r="AF263" s="91" t="n"/>
      <c r="AG263" s="91" t="n"/>
      <c r="AH263" s="88" t="n"/>
      <c r="AI263" s="88" t="n"/>
      <c r="AJ263" s="90" t="n"/>
      <c r="AK263" s="88" t="n"/>
      <c r="AL263" s="91" t="n"/>
      <c r="AM263" s="88" t="n"/>
      <c r="AN263" s="95" t="n"/>
      <c r="AO263" s="90" t="n"/>
      <c r="AP263" s="90" t="n"/>
    </row>
    <row r="264" ht="14.25" customHeight="1" s="84">
      <c r="A264" s="51" t="n"/>
      <c r="B264" s="47" t="n"/>
      <c r="C264" s="51" t="n"/>
      <c r="D264" s="51" t="n"/>
      <c r="E264" s="51" t="n"/>
      <c r="F264" s="51" t="n"/>
      <c r="G264" s="47" t="n"/>
      <c r="H264" s="51" t="n"/>
      <c r="I264" s="51" t="n"/>
      <c r="J264" s="51" t="n"/>
      <c r="K264" s="51" t="n"/>
      <c r="L264" s="51" t="n"/>
      <c r="N264" s="51" t="n"/>
      <c r="Q264" s="51" t="n"/>
      <c r="S264" s="51" t="n"/>
      <c r="T264" s="51" t="n"/>
      <c r="U264" s="51" t="inlineStr"/>
      <c r="V264" s="55" t="n"/>
      <c r="W264" s="51" t="inlineStr"/>
      <c r="X264" s="51" t="inlineStr"/>
      <c r="Y264" s="51" t="n"/>
      <c r="AB264" s="57" t="n"/>
      <c r="AC264" s="90" t="n"/>
      <c r="AD264" s="90" t="n"/>
      <c r="AE264" s="88" t="n"/>
      <c r="AF264" s="91" t="n"/>
      <c r="AG264" s="91" t="n"/>
      <c r="AH264" s="88" t="n"/>
      <c r="AI264" s="88" t="n"/>
      <c r="AJ264" s="90" t="n"/>
      <c r="AK264" s="88" t="n"/>
      <c r="AL264" s="91" t="n"/>
      <c r="AM264" s="88" t="n"/>
      <c r="AN264" s="95" t="n"/>
      <c r="AO264" s="90" t="n"/>
      <c r="AP264" s="90" t="n"/>
    </row>
    <row r="265" ht="14.25" customHeight="1" s="84">
      <c r="A265" s="51" t="n"/>
      <c r="B265" s="47" t="n"/>
      <c r="C265" s="51" t="n"/>
      <c r="D265" s="51" t="n"/>
      <c r="E265" s="51" t="n"/>
      <c r="F265" s="51" t="n"/>
      <c r="G265" s="47" t="n"/>
      <c r="H265" s="51" t="n"/>
      <c r="I265" s="51" t="n"/>
      <c r="J265" s="51" t="n"/>
      <c r="K265" s="51" t="n"/>
      <c r="L265" s="51" t="n"/>
      <c r="N265" s="51" t="n"/>
      <c r="Q265" s="51" t="n"/>
      <c r="S265" s="51" t="n"/>
      <c r="T265" s="51" t="n"/>
      <c r="U265" s="51" t="inlineStr"/>
      <c r="V265" s="55" t="n"/>
      <c r="W265" s="51" t="inlineStr"/>
      <c r="X265" s="51" t="inlineStr"/>
      <c r="Y265" s="51" t="n"/>
      <c r="AB265" s="57" t="n"/>
      <c r="AC265" s="90" t="n"/>
      <c r="AD265" s="90" t="n"/>
      <c r="AE265" s="88" t="n"/>
      <c r="AF265" s="91" t="n"/>
      <c r="AG265" s="91" t="n"/>
      <c r="AH265" s="88" t="n"/>
      <c r="AI265" s="88" t="n"/>
      <c r="AJ265" s="90" t="n"/>
      <c r="AK265" s="88" t="n"/>
      <c r="AL265" s="91" t="n"/>
      <c r="AM265" s="88" t="n"/>
      <c r="AN265" s="95" t="n"/>
      <c r="AO265" s="90" t="n"/>
      <c r="AP265" s="90" t="n"/>
    </row>
    <row r="266" ht="14.25" customHeight="1" s="84">
      <c r="A266" s="51" t="n"/>
      <c r="B266" s="47" t="n"/>
      <c r="C266" s="51" t="n"/>
      <c r="D266" s="51" t="n"/>
      <c r="E266" s="51" t="n"/>
      <c r="F266" s="51" t="n"/>
      <c r="G266" s="47" t="n"/>
      <c r="H266" s="51" t="n"/>
      <c r="I266" s="51" t="n"/>
      <c r="J266" s="51" t="n"/>
      <c r="K266" s="51" t="n"/>
      <c r="L266" s="51" t="n"/>
      <c r="N266" s="51" t="n"/>
      <c r="Q266" s="51" t="n"/>
      <c r="S266" s="51" t="n"/>
      <c r="T266" s="51" t="n"/>
      <c r="U266" s="51" t="inlineStr"/>
      <c r="V266" s="55" t="n"/>
      <c r="W266" s="51" t="inlineStr"/>
      <c r="X266" s="51" t="inlineStr"/>
      <c r="Y266" s="51" t="n"/>
      <c r="AB266" s="57" t="n"/>
      <c r="AC266" s="90" t="n"/>
      <c r="AD266" s="90" t="n"/>
      <c r="AE266" s="88" t="n"/>
      <c r="AF266" s="91" t="n"/>
      <c r="AG266" s="91" t="n"/>
      <c r="AH266" s="88" t="n"/>
      <c r="AI266" s="88" t="n"/>
      <c r="AJ266" s="90" t="n"/>
      <c r="AK266" s="88" t="n"/>
      <c r="AL266" s="91" t="n"/>
      <c r="AM266" s="88" t="n"/>
      <c r="AN266" s="95" t="n"/>
      <c r="AO266" s="90" t="n"/>
      <c r="AP266" s="90" t="n"/>
    </row>
    <row r="267" ht="14.25" customHeight="1" s="84">
      <c r="A267" s="51" t="n"/>
      <c r="B267" s="47" t="n"/>
      <c r="C267" s="51" t="n"/>
      <c r="D267" s="51" t="n"/>
      <c r="E267" s="51" t="n"/>
      <c r="F267" s="51" t="n"/>
      <c r="G267" s="47" t="n"/>
      <c r="H267" s="51" t="n"/>
      <c r="I267" s="51" t="n"/>
      <c r="J267" s="51" t="n"/>
      <c r="K267" s="51" t="n"/>
      <c r="L267" s="51" t="n"/>
      <c r="N267" s="51" t="n"/>
      <c r="Q267" s="51" t="n"/>
      <c r="S267" s="51" t="n"/>
      <c r="T267" s="51" t="n"/>
      <c r="U267" s="51" t="inlineStr"/>
      <c r="V267" s="55" t="n"/>
      <c r="W267" s="51" t="inlineStr"/>
      <c r="X267" s="51" t="inlineStr"/>
      <c r="Y267" s="51" t="n"/>
      <c r="AB267" s="57" t="n"/>
      <c r="AC267" s="90" t="n"/>
      <c r="AD267" s="90" t="n"/>
      <c r="AE267" s="88" t="n"/>
      <c r="AF267" s="91" t="n"/>
      <c r="AG267" s="91" t="n"/>
      <c r="AH267" s="88" t="n"/>
      <c r="AI267" s="88" t="n"/>
      <c r="AJ267" s="90" t="n"/>
      <c r="AK267" s="88" t="n"/>
      <c r="AL267" s="91" t="n"/>
      <c r="AM267" s="88" t="n"/>
      <c r="AN267" s="95" t="n"/>
      <c r="AO267" s="90" t="n"/>
      <c r="AP267" s="90" t="n"/>
    </row>
    <row r="268" ht="14.25" customHeight="1" s="84">
      <c r="A268" s="51" t="n"/>
      <c r="B268" s="47" t="n"/>
      <c r="C268" s="51" t="n"/>
      <c r="D268" s="51" t="n"/>
      <c r="E268" s="51" t="n"/>
      <c r="F268" s="51" t="n"/>
      <c r="G268" s="47" t="n"/>
      <c r="H268" s="51" t="n"/>
      <c r="I268" s="51" t="n"/>
      <c r="J268" s="51" t="n"/>
      <c r="K268" s="51" t="n"/>
      <c r="L268" s="51" t="n"/>
      <c r="N268" s="51" t="n"/>
      <c r="Q268" s="51" t="n"/>
      <c r="S268" s="51" t="n"/>
      <c r="T268" s="51" t="n"/>
      <c r="U268" s="51" t="inlineStr"/>
      <c r="V268" s="55" t="n"/>
      <c r="W268" s="51" t="inlineStr"/>
      <c r="X268" s="51" t="inlineStr"/>
      <c r="Y268" s="51" t="n"/>
      <c r="AB268" s="57" t="n"/>
      <c r="AC268" s="90" t="n"/>
      <c r="AD268" s="90" t="n"/>
      <c r="AE268" s="88" t="n"/>
      <c r="AF268" s="91" t="n"/>
      <c r="AG268" s="91" t="n"/>
      <c r="AH268" s="88" t="n"/>
      <c r="AI268" s="88" t="n"/>
      <c r="AJ268" s="90" t="n"/>
      <c r="AK268" s="88" t="n"/>
      <c r="AL268" s="91" t="n"/>
      <c r="AM268" s="88" t="n"/>
      <c r="AN268" s="95" t="n"/>
      <c r="AO268" s="90" t="n"/>
      <c r="AP268" s="90" t="n"/>
    </row>
    <row r="269" ht="14.25" customHeight="1" s="84">
      <c r="A269" s="51" t="n"/>
      <c r="B269" s="47" t="n"/>
      <c r="C269" s="51" t="n"/>
      <c r="D269" s="51" t="n"/>
      <c r="E269" s="51" t="n"/>
      <c r="F269" s="51" t="n"/>
      <c r="G269" s="47" t="n"/>
      <c r="H269" s="51" t="n"/>
      <c r="I269" s="51" t="n"/>
      <c r="J269" s="51" t="n"/>
      <c r="K269" s="51" t="n"/>
      <c r="L269" s="51" t="n"/>
      <c r="N269" s="51" t="n"/>
      <c r="Q269" s="51" t="n"/>
      <c r="S269" s="51" t="n"/>
      <c r="T269" s="51" t="n"/>
      <c r="U269" s="51" t="inlineStr"/>
      <c r="V269" s="55" t="n"/>
      <c r="W269" s="51" t="inlineStr"/>
      <c r="X269" s="51" t="inlineStr"/>
      <c r="Y269" s="51" t="n"/>
      <c r="AB269" s="57" t="n"/>
      <c r="AC269" s="90" t="n"/>
      <c r="AD269" s="90" t="n"/>
      <c r="AE269" s="88" t="n"/>
      <c r="AF269" s="91" t="n"/>
      <c r="AG269" s="91" t="n"/>
      <c r="AH269" s="88" t="n"/>
      <c r="AI269" s="88" t="n"/>
      <c r="AJ269" s="90" t="n"/>
      <c r="AK269" s="88" t="n"/>
      <c r="AL269" s="91" t="n"/>
      <c r="AM269" s="88" t="n"/>
      <c r="AN269" s="95" t="n"/>
      <c r="AO269" s="90" t="n"/>
      <c r="AP269" s="90" t="n"/>
    </row>
    <row r="270" ht="14.25" customHeight="1" s="84">
      <c r="A270" s="51" t="n"/>
      <c r="B270" s="47" t="n"/>
      <c r="C270" s="51" t="n"/>
      <c r="D270" s="51" t="n"/>
      <c r="E270" s="51" t="n"/>
      <c r="F270" s="51" t="n"/>
      <c r="G270" s="47" t="n"/>
      <c r="H270" s="51" t="n"/>
      <c r="I270" s="51" t="n"/>
      <c r="J270" s="51" t="n"/>
      <c r="K270" s="51" t="n"/>
      <c r="L270" s="51" t="n"/>
      <c r="N270" s="51" t="n"/>
      <c r="Q270" s="51" t="n"/>
      <c r="S270" s="51" t="n"/>
      <c r="T270" s="51" t="n"/>
      <c r="U270" s="51" t="inlineStr"/>
      <c r="V270" s="55" t="n"/>
      <c r="W270" s="51" t="inlineStr"/>
      <c r="X270" s="51" t="inlineStr"/>
      <c r="Y270" s="51" t="n"/>
      <c r="AB270" s="57" t="n"/>
      <c r="AC270" s="90" t="n"/>
      <c r="AD270" s="90" t="n"/>
      <c r="AE270" s="88" t="n"/>
      <c r="AF270" s="91" t="n"/>
      <c r="AG270" s="91" t="n"/>
      <c r="AH270" s="88" t="n"/>
      <c r="AI270" s="88" t="n"/>
      <c r="AJ270" s="90" t="n"/>
      <c r="AK270" s="88" t="n"/>
      <c r="AL270" s="91" t="n"/>
      <c r="AM270" s="88" t="n"/>
      <c r="AN270" s="95" t="n"/>
      <c r="AO270" s="90" t="n"/>
      <c r="AP270" s="90" t="n"/>
    </row>
    <row r="271" ht="14.25" customHeight="1" s="84">
      <c r="A271" s="51" t="n"/>
      <c r="B271" s="47" t="n"/>
      <c r="C271" s="51" t="n"/>
      <c r="D271" s="51" t="n"/>
      <c r="E271" s="51" t="n"/>
      <c r="F271" s="51" t="n"/>
      <c r="G271" s="47" t="n"/>
      <c r="H271" s="51" t="n"/>
      <c r="I271" s="51" t="n"/>
      <c r="J271" s="51" t="n"/>
      <c r="K271" s="51" t="n"/>
      <c r="L271" s="51" t="n"/>
      <c r="N271" s="51" t="n"/>
      <c r="Q271" s="51" t="n"/>
      <c r="S271" s="51" t="n"/>
      <c r="T271" s="51" t="n"/>
      <c r="U271" s="51" t="inlineStr"/>
      <c r="V271" s="55" t="n"/>
      <c r="W271" s="51" t="inlineStr"/>
      <c r="X271" s="51" t="inlineStr"/>
      <c r="Y271" s="51" t="n"/>
      <c r="AB271" s="57" t="n"/>
      <c r="AC271" s="90" t="n"/>
      <c r="AD271" s="90" t="n"/>
      <c r="AE271" s="88" t="n"/>
      <c r="AF271" s="91" t="n"/>
      <c r="AG271" s="91" t="n"/>
      <c r="AH271" s="88" t="n"/>
      <c r="AI271" s="88" t="n"/>
      <c r="AJ271" s="90" t="n"/>
      <c r="AK271" s="88" t="n"/>
      <c r="AL271" s="91" t="n"/>
      <c r="AM271" s="88" t="n"/>
      <c r="AN271" s="95" t="n"/>
      <c r="AO271" s="90" t="n"/>
      <c r="AP271" s="90" t="n"/>
    </row>
    <row r="272" ht="14.25" customHeight="1" s="84">
      <c r="A272" s="51" t="n"/>
      <c r="B272" s="47" t="n"/>
      <c r="C272" s="51" t="n"/>
      <c r="D272" s="51" t="n"/>
      <c r="E272" s="51" t="n"/>
      <c r="F272" s="51" t="n"/>
      <c r="G272" s="47" t="n"/>
      <c r="H272" s="51" t="n"/>
      <c r="I272" s="51" t="n"/>
      <c r="J272" s="51" t="n"/>
      <c r="K272" s="51" t="n"/>
      <c r="L272" s="51" t="n"/>
      <c r="N272" s="51" t="n"/>
      <c r="Q272" s="51" t="n"/>
      <c r="S272" s="51" t="n"/>
      <c r="T272" s="51" t="n"/>
      <c r="U272" s="51" t="inlineStr"/>
      <c r="V272" s="55" t="n"/>
      <c r="W272" s="51" t="inlineStr"/>
      <c r="X272" s="51" t="inlineStr"/>
      <c r="Y272" s="51" t="n"/>
      <c r="AB272" s="57" t="n"/>
      <c r="AC272" s="90" t="n"/>
      <c r="AD272" s="90" t="n"/>
      <c r="AE272" s="88" t="n"/>
      <c r="AF272" s="91" t="n"/>
      <c r="AG272" s="91" t="n"/>
      <c r="AH272" s="88" t="n"/>
      <c r="AI272" s="88" t="n"/>
      <c r="AJ272" s="90" t="n"/>
      <c r="AK272" s="88" t="n"/>
      <c r="AL272" s="91" t="n"/>
      <c r="AM272" s="88" t="n"/>
      <c r="AN272" s="95" t="n"/>
      <c r="AO272" s="90" t="n"/>
      <c r="AP272" s="90" t="n"/>
    </row>
    <row r="273" ht="14.25" customHeight="1" s="84">
      <c r="A273" s="51" t="n"/>
      <c r="B273" s="47" t="n"/>
      <c r="C273" s="51" t="n"/>
      <c r="D273" s="51" t="n"/>
      <c r="E273" s="51" t="n"/>
      <c r="F273" s="51" t="n"/>
      <c r="G273" s="47" t="n"/>
      <c r="H273" s="51" t="n"/>
      <c r="I273" s="51" t="n"/>
      <c r="J273" s="51" t="n"/>
      <c r="K273" s="51" t="n"/>
      <c r="L273" s="51" t="n"/>
      <c r="N273" s="51" t="n"/>
      <c r="Q273" s="51" t="n"/>
      <c r="S273" s="51" t="n"/>
      <c r="T273" s="51" t="n"/>
      <c r="U273" s="51" t="inlineStr"/>
      <c r="V273" s="55" t="n"/>
      <c r="W273" s="51" t="inlineStr"/>
      <c r="X273" s="51" t="inlineStr"/>
      <c r="Y273" s="51" t="n"/>
      <c r="AB273" s="57" t="n"/>
      <c r="AC273" s="90" t="n"/>
      <c r="AD273" s="90" t="n"/>
      <c r="AE273" s="88" t="n"/>
      <c r="AF273" s="91" t="n"/>
      <c r="AG273" s="91" t="n"/>
      <c r="AH273" s="88" t="n"/>
      <c r="AI273" s="88" t="n"/>
      <c r="AJ273" s="90" t="n"/>
      <c r="AK273" s="88" t="n"/>
      <c r="AL273" s="91" t="n"/>
      <c r="AM273" s="88" t="n"/>
      <c r="AN273" s="95" t="n"/>
      <c r="AO273" s="90" t="n"/>
      <c r="AP273" s="90" t="n"/>
    </row>
    <row r="274" ht="14.25" customHeight="1" s="84">
      <c r="A274" s="51" t="n"/>
      <c r="B274" s="47" t="n"/>
      <c r="C274" s="51" t="n"/>
      <c r="D274" s="51" t="n"/>
      <c r="E274" s="51" t="n"/>
      <c r="F274" s="51" t="n"/>
      <c r="G274" s="47" t="n"/>
      <c r="H274" s="51" t="n"/>
      <c r="I274" s="51" t="n"/>
      <c r="J274" s="51" t="n"/>
      <c r="K274" s="51" t="n"/>
      <c r="L274" s="51" t="n"/>
      <c r="N274" s="51" t="n"/>
      <c r="Q274" s="51" t="n"/>
      <c r="S274" s="51" t="n"/>
      <c r="T274" s="51" t="n"/>
      <c r="U274" s="51" t="inlineStr"/>
      <c r="V274" s="55" t="n"/>
      <c r="W274" s="51" t="inlineStr"/>
      <c r="X274" s="51" t="inlineStr"/>
      <c r="Y274" s="51" t="n"/>
      <c r="AB274" s="57" t="n"/>
      <c r="AC274" s="90" t="n"/>
      <c r="AD274" s="90" t="n"/>
      <c r="AE274" s="88" t="n"/>
      <c r="AF274" s="91" t="n"/>
      <c r="AG274" s="91" t="n"/>
      <c r="AH274" s="88" t="n"/>
      <c r="AI274" s="88" t="n"/>
      <c r="AJ274" s="90" t="n"/>
      <c r="AK274" s="88" t="n"/>
      <c r="AL274" s="91" t="n"/>
      <c r="AM274" s="88" t="n"/>
      <c r="AN274" s="95" t="n"/>
      <c r="AO274" s="90" t="n"/>
      <c r="AP274" s="90" t="n"/>
    </row>
    <row r="275" ht="14.25" customHeight="1" s="84">
      <c r="A275" s="51" t="n"/>
      <c r="B275" s="47" t="n"/>
      <c r="C275" s="51" t="n"/>
      <c r="D275" s="51" t="n"/>
      <c r="E275" s="51" t="n"/>
      <c r="F275" s="51" t="n"/>
      <c r="G275" s="47" t="n"/>
      <c r="H275" s="51" t="n"/>
      <c r="I275" s="51" t="n"/>
      <c r="J275" s="51" t="n"/>
      <c r="K275" s="51" t="n"/>
      <c r="L275" s="51" t="n"/>
      <c r="N275" s="51" t="n"/>
      <c r="Q275" s="51" t="n"/>
      <c r="S275" s="51" t="n"/>
      <c r="T275" s="51" t="n"/>
      <c r="U275" s="51" t="inlineStr"/>
      <c r="V275" s="55" t="n"/>
      <c r="W275" s="51" t="inlineStr"/>
      <c r="X275" s="51" t="inlineStr"/>
      <c r="Y275" s="51" t="n"/>
      <c r="AB275" s="57" t="n"/>
      <c r="AC275" s="90" t="n"/>
      <c r="AD275" s="90" t="n"/>
      <c r="AE275" s="88" t="n"/>
      <c r="AF275" s="91" t="n"/>
      <c r="AG275" s="91" t="n"/>
      <c r="AH275" s="88" t="n"/>
      <c r="AI275" s="88" t="n"/>
      <c r="AJ275" s="90" t="n"/>
      <c r="AK275" s="88" t="n"/>
      <c r="AL275" s="91" t="n"/>
      <c r="AM275" s="88" t="n"/>
      <c r="AN275" s="95" t="n"/>
      <c r="AO275" s="90" t="n"/>
      <c r="AP275" s="90" t="n"/>
    </row>
    <row r="276" ht="14.25" customHeight="1" s="84">
      <c r="A276" s="51" t="n"/>
      <c r="B276" s="47" t="n"/>
      <c r="C276" s="51" t="n"/>
      <c r="D276" s="51" t="n"/>
      <c r="E276" s="51" t="n"/>
      <c r="F276" s="51" t="n"/>
      <c r="G276" s="47" t="n"/>
      <c r="H276" s="51" t="n"/>
      <c r="I276" s="51" t="n"/>
      <c r="J276" s="51" t="n"/>
      <c r="K276" s="51" t="n"/>
      <c r="L276" s="51" t="n"/>
      <c r="N276" s="51" t="n"/>
      <c r="Q276" s="51" t="n"/>
      <c r="S276" s="51" t="n"/>
      <c r="T276" s="51" t="n"/>
      <c r="U276" s="51" t="inlineStr"/>
      <c r="V276" s="55" t="n"/>
      <c r="W276" s="51" t="inlineStr"/>
      <c r="X276" s="51" t="inlineStr"/>
      <c r="Y276" s="51" t="n"/>
      <c r="AB276" s="57" t="n"/>
      <c r="AC276" s="90" t="n"/>
      <c r="AD276" s="90" t="n"/>
      <c r="AE276" s="88" t="n"/>
      <c r="AF276" s="91" t="n"/>
      <c r="AG276" s="91" t="n"/>
      <c r="AH276" s="88" t="n"/>
      <c r="AI276" s="88" t="n"/>
      <c r="AJ276" s="90" t="n"/>
      <c r="AK276" s="88" t="n"/>
      <c r="AL276" s="91" t="n"/>
      <c r="AM276" s="88" t="n"/>
      <c r="AN276" s="95" t="n"/>
      <c r="AO276" s="90" t="n"/>
      <c r="AP276" s="90" t="n"/>
    </row>
    <row r="277" ht="14.25" customHeight="1" s="84">
      <c r="A277" s="51" t="n"/>
      <c r="B277" s="47" t="n"/>
      <c r="C277" s="51" t="n"/>
      <c r="D277" s="51" t="n"/>
      <c r="E277" s="51" t="n"/>
      <c r="F277" s="51" t="n"/>
      <c r="G277" s="47" t="n"/>
      <c r="H277" s="51" t="n"/>
      <c r="I277" s="51" t="n"/>
      <c r="J277" s="51" t="n"/>
      <c r="K277" s="51" t="n"/>
      <c r="L277" s="51" t="n"/>
      <c r="N277" s="51" t="n"/>
      <c r="Q277" s="51" t="n"/>
      <c r="S277" s="51" t="n"/>
      <c r="T277" s="51" t="n"/>
      <c r="U277" s="51" t="inlineStr"/>
      <c r="V277" s="55" t="n"/>
      <c r="W277" s="51" t="inlineStr"/>
      <c r="X277" s="51" t="inlineStr"/>
      <c r="Y277" s="51" t="n"/>
      <c r="AB277" s="57" t="n"/>
      <c r="AC277" s="90" t="n"/>
      <c r="AD277" s="90" t="n"/>
      <c r="AE277" s="88" t="n"/>
      <c r="AF277" s="91" t="n"/>
      <c r="AG277" s="91" t="n"/>
      <c r="AH277" s="88" t="n"/>
      <c r="AI277" s="88" t="n"/>
      <c r="AJ277" s="90" t="n"/>
      <c r="AK277" s="88" t="n"/>
      <c r="AL277" s="91" t="n"/>
      <c r="AM277" s="88" t="n"/>
      <c r="AN277" s="95" t="n"/>
      <c r="AO277" s="90" t="n"/>
      <c r="AP277" s="90" t="n"/>
    </row>
    <row r="278" ht="14.25" customHeight="1" s="84">
      <c r="A278" s="51" t="n"/>
      <c r="B278" s="47" t="n"/>
      <c r="C278" s="51" t="n"/>
      <c r="D278" s="51" t="n"/>
      <c r="E278" s="51" t="n"/>
      <c r="F278" s="51" t="n"/>
      <c r="G278" s="47" t="n"/>
      <c r="H278" s="51" t="n"/>
      <c r="I278" s="51" t="n"/>
      <c r="J278" s="51" t="n"/>
      <c r="K278" s="51" t="n"/>
      <c r="L278" s="51" t="n"/>
      <c r="N278" s="51" t="n"/>
      <c r="Q278" s="51" t="n"/>
      <c r="S278" s="51" t="n"/>
      <c r="T278" s="51" t="n"/>
      <c r="U278" s="51" t="inlineStr"/>
      <c r="V278" s="55" t="n"/>
      <c r="W278" s="51" t="inlineStr"/>
      <c r="X278" s="51" t="inlineStr"/>
      <c r="Y278" s="51" t="n"/>
      <c r="AB278" s="57" t="n"/>
      <c r="AC278" s="90" t="n"/>
      <c r="AD278" s="90" t="n"/>
      <c r="AE278" s="88" t="n"/>
      <c r="AF278" s="91" t="n"/>
      <c r="AG278" s="91" t="n"/>
      <c r="AH278" s="88" t="n"/>
      <c r="AI278" s="88" t="n"/>
      <c r="AJ278" s="90" t="n"/>
      <c r="AK278" s="88" t="n"/>
      <c r="AL278" s="91" t="n"/>
      <c r="AM278" s="88" t="n"/>
      <c r="AN278" s="95" t="n"/>
      <c r="AO278" s="90" t="n"/>
      <c r="AP278" s="90" t="n"/>
    </row>
    <row r="279" ht="14.25" customHeight="1" s="84">
      <c r="A279" s="51" t="n"/>
      <c r="B279" s="47" t="n"/>
      <c r="C279" s="51" t="n"/>
      <c r="D279" s="51" t="n"/>
      <c r="E279" s="51" t="n"/>
      <c r="F279" s="51" t="n"/>
      <c r="G279" s="47" t="n"/>
      <c r="H279" s="51" t="n"/>
      <c r="I279" s="51" t="n"/>
      <c r="J279" s="51" t="n"/>
      <c r="K279" s="51" t="n"/>
      <c r="L279" s="51" t="n"/>
      <c r="N279" s="51" t="n"/>
      <c r="Q279" s="51" t="n"/>
      <c r="S279" s="51" t="n"/>
      <c r="T279" s="51" t="n"/>
      <c r="U279" s="51" t="inlineStr"/>
      <c r="V279" s="55" t="n"/>
      <c r="W279" s="51" t="inlineStr"/>
      <c r="X279" s="51" t="inlineStr"/>
      <c r="Y279" s="51" t="n"/>
      <c r="AB279" s="57" t="n"/>
      <c r="AC279" s="90" t="n"/>
      <c r="AD279" s="90" t="n"/>
      <c r="AE279" s="88" t="n"/>
      <c r="AF279" s="91" t="n"/>
      <c r="AG279" s="91" t="n"/>
      <c r="AH279" s="88" t="n"/>
      <c r="AI279" s="88" t="n"/>
      <c r="AJ279" s="90" t="n"/>
      <c r="AK279" s="88" t="n"/>
      <c r="AL279" s="91" t="n"/>
      <c r="AM279" s="88" t="n"/>
      <c r="AN279" s="95" t="n"/>
      <c r="AO279" s="90" t="n"/>
      <c r="AP279" s="90" t="n"/>
    </row>
    <row r="280" ht="14.25" customHeight="1" s="84">
      <c r="A280" s="51" t="n"/>
      <c r="B280" s="47" t="n"/>
      <c r="C280" s="51" t="n"/>
      <c r="D280" s="51" t="n"/>
      <c r="E280" s="51" t="n"/>
      <c r="F280" s="51" t="n"/>
      <c r="G280" s="47" t="n"/>
      <c r="H280" s="51" t="n"/>
      <c r="I280" s="51" t="n"/>
      <c r="J280" s="51" t="n"/>
      <c r="K280" s="51" t="n"/>
      <c r="L280" s="51" t="n"/>
      <c r="N280" s="51" t="n"/>
      <c r="Q280" s="51" t="n"/>
      <c r="S280" s="51" t="n"/>
      <c r="T280" s="51" t="n"/>
      <c r="U280" s="51" t="inlineStr"/>
      <c r="V280" s="55" t="n"/>
      <c r="W280" s="51" t="inlineStr"/>
      <c r="X280" s="51" t="inlineStr"/>
      <c r="Y280" s="51" t="n"/>
      <c r="AB280" s="57" t="n"/>
      <c r="AC280" s="90" t="n"/>
      <c r="AD280" s="90" t="n"/>
      <c r="AE280" s="88" t="n"/>
      <c r="AF280" s="91" t="n"/>
      <c r="AG280" s="91" t="n"/>
      <c r="AH280" s="88" t="n"/>
      <c r="AI280" s="88" t="n"/>
      <c r="AJ280" s="90" t="n"/>
      <c r="AK280" s="88" t="n"/>
      <c r="AL280" s="91" t="n"/>
      <c r="AM280" s="88" t="n"/>
      <c r="AN280" s="95" t="n"/>
      <c r="AO280" s="90" t="n"/>
      <c r="AP280" s="90" t="n"/>
    </row>
    <row r="281" ht="14.25" customHeight="1" s="84">
      <c r="A281" s="51" t="n"/>
      <c r="B281" s="47" t="n"/>
      <c r="C281" s="51" t="n"/>
      <c r="D281" s="51" t="n"/>
      <c r="E281" s="51" t="n"/>
      <c r="F281" s="51" t="n"/>
      <c r="G281" s="47" t="n"/>
      <c r="H281" s="51" t="n"/>
      <c r="I281" s="51" t="n"/>
      <c r="J281" s="51" t="n"/>
      <c r="K281" s="51" t="n"/>
      <c r="L281" s="51" t="n"/>
      <c r="N281" s="51" t="n"/>
      <c r="Q281" s="51" t="n"/>
      <c r="S281" s="51" t="n"/>
      <c r="T281" s="51" t="n"/>
      <c r="U281" s="51" t="inlineStr"/>
      <c r="V281" s="55" t="n"/>
      <c r="W281" s="51" t="inlineStr"/>
      <c r="X281" s="51" t="inlineStr"/>
      <c r="Y281" s="51" t="n"/>
      <c r="AB281" s="57" t="n"/>
      <c r="AC281" s="90" t="n"/>
      <c r="AD281" s="90" t="n"/>
      <c r="AE281" s="88" t="n"/>
      <c r="AF281" s="91" t="n"/>
      <c r="AG281" s="91" t="n"/>
      <c r="AH281" s="88" t="n"/>
      <c r="AI281" s="88" t="n"/>
      <c r="AJ281" s="90" t="n"/>
      <c r="AK281" s="88" t="n"/>
      <c r="AL281" s="91" t="n"/>
      <c r="AM281" s="88" t="n"/>
      <c r="AN281" s="95" t="n"/>
      <c r="AO281" s="90" t="n"/>
      <c r="AP281" s="90" t="n"/>
    </row>
    <row r="282" ht="14.25" customHeight="1" s="84">
      <c r="A282" s="51" t="n"/>
      <c r="B282" s="47" t="n"/>
      <c r="C282" s="51" t="n"/>
      <c r="D282" s="51" t="n"/>
      <c r="E282" s="51" t="n"/>
      <c r="F282" s="51" t="n"/>
      <c r="G282" s="47" t="n"/>
      <c r="H282" s="51" t="n"/>
      <c r="I282" s="51" t="n"/>
      <c r="J282" s="51" t="n"/>
      <c r="K282" s="51" t="n"/>
      <c r="L282" s="51" t="n"/>
      <c r="N282" s="51" t="n"/>
      <c r="Q282" s="51" t="n"/>
      <c r="S282" s="51" t="n"/>
      <c r="T282" s="51" t="n"/>
      <c r="U282" s="51" t="inlineStr"/>
      <c r="V282" s="55" t="n"/>
      <c r="W282" s="51" t="inlineStr"/>
      <c r="X282" s="51" t="inlineStr"/>
      <c r="Y282" s="51" t="n"/>
      <c r="AB282" s="57" t="n"/>
      <c r="AC282" s="90" t="n"/>
      <c r="AD282" s="90" t="n"/>
      <c r="AE282" s="88" t="n"/>
      <c r="AF282" s="91" t="n"/>
      <c r="AG282" s="91" t="n"/>
      <c r="AH282" s="88" t="n"/>
      <c r="AI282" s="88" t="n"/>
      <c r="AJ282" s="90" t="n"/>
      <c r="AK282" s="88" t="n"/>
      <c r="AL282" s="91" t="n"/>
      <c r="AM282" s="88" t="n"/>
      <c r="AN282" s="95" t="n"/>
      <c r="AO282" s="90" t="n"/>
      <c r="AP282" s="90" t="n"/>
    </row>
    <row r="283" ht="14.25" customHeight="1" s="84">
      <c r="A283" s="51" t="n"/>
      <c r="B283" s="47" t="n"/>
      <c r="C283" s="51" t="n"/>
      <c r="D283" s="51" t="n"/>
      <c r="E283" s="51" t="n"/>
      <c r="F283" s="51" t="n"/>
      <c r="G283" s="47" t="n"/>
      <c r="H283" s="51" t="n"/>
      <c r="I283" s="51" t="n"/>
      <c r="J283" s="51" t="n"/>
      <c r="K283" s="51" t="n"/>
      <c r="L283" s="51" t="n"/>
      <c r="N283" s="51" t="n"/>
      <c r="Q283" s="51" t="n"/>
      <c r="S283" s="51" t="n"/>
      <c r="T283" s="51" t="n"/>
      <c r="U283" s="51" t="inlineStr"/>
      <c r="V283" s="55" t="n"/>
      <c r="W283" s="51" t="inlineStr"/>
      <c r="X283" s="51" t="inlineStr"/>
      <c r="Y283" s="51" t="n"/>
      <c r="AB283" s="57" t="n"/>
      <c r="AC283" s="90" t="n"/>
      <c r="AD283" s="90" t="n"/>
      <c r="AE283" s="88" t="n"/>
      <c r="AF283" s="91" t="n"/>
      <c r="AG283" s="91" t="n"/>
      <c r="AH283" s="88" t="n"/>
      <c r="AI283" s="88" t="n"/>
      <c r="AJ283" s="90" t="n"/>
      <c r="AK283" s="88" t="n"/>
      <c r="AL283" s="91" t="n"/>
      <c r="AM283" s="88" t="n"/>
      <c r="AN283" s="95" t="n"/>
      <c r="AO283" s="90" t="n"/>
      <c r="AP283" s="90" t="n"/>
    </row>
    <row r="284" ht="14.25" customHeight="1" s="84">
      <c r="A284" s="51" t="n"/>
      <c r="B284" s="47" t="n"/>
      <c r="C284" s="51" t="n"/>
      <c r="D284" s="51" t="n"/>
      <c r="E284" s="51" t="n"/>
      <c r="F284" s="51" t="n"/>
      <c r="G284" s="47" t="n"/>
      <c r="H284" s="51" t="n"/>
      <c r="I284" s="51" t="n"/>
      <c r="J284" s="51" t="n"/>
      <c r="K284" s="51" t="n"/>
      <c r="L284" s="51" t="n"/>
      <c r="N284" s="51" t="n"/>
      <c r="Q284" s="51" t="n"/>
      <c r="S284" s="51" t="n"/>
      <c r="T284" s="51" t="n"/>
      <c r="U284" s="51" t="inlineStr"/>
      <c r="V284" s="55" t="n"/>
      <c r="W284" s="51" t="inlineStr"/>
      <c r="X284" s="51" t="inlineStr"/>
      <c r="Y284" s="51" t="n"/>
      <c r="AB284" s="57" t="n"/>
      <c r="AC284" s="90" t="n"/>
      <c r="AD284" s="90" t="n"/>
      <c r="AE284" s="88" t="n"/>
      <c r="AF284" s="91" t="n"/>
      <c r="AG284" s="91" t="n"/>
      <c r="AH284" s="88" t="n"/>
      <c r="AI284" s="88" t="n"/>
      <c r="AJ284" s="90" t="n"/>
      <c r="AK284" s="88" t="n"/>
      <c r="AL284" s="91" t="n"/>
      <c r="AM284" s="88" t="n"/>
      <c r="AN284" s="95" t="n"/>
      <c r="AO284" s="90" t="n"/>
      <c r="AP284" s="90" t="n"/>
    </row>
    <row r="285" ht="14.25" customHeight="1" s="84">
      <c r="A285" s="51" t="n"/>
      <c r="B285" s="47" t="n"/>
      <c r="C285" s="51" t="n"/>
      <c r="D285" s="51" t="n"/>
      <c r="E285" s="51" t="n"/>
      <c r="F285" s="51" t="n"/>
      <c r="G285" s="47" t="n"/>
      <c r="H285" s="51" t="n"/>
      <c r="I285" s="51" t="n"/>
      <c r="J285" s="51" t="n"/>
      <c r="K285" s="51" t="n"/>
      <c r="L285" s="51" t="n"/>
      <c r="N285" s="51" t="n"/>
      <c r="Q285" s="51" t="n"/>
      <c r="S285" s="51" t="n"/>
      <c r="T285" s="51" t="n"/>
      <c r="U285" s="51" t="inlineStr"/>
      <c r="V285" s="55" t="n"/>
      <c r="W285" s="51" t="inlineStr"/>
      <c r="X285" s="51" t="inlineStr"/>
      <c r="Y285" s="51" t="n"/>
      <c r="AB285" s="57" t="n"/>
      <c r="AC285" s="90" t="n"/>
      <c r="AD285" s="90" t="n"/>
      <c r="AE285" s="88" t="n"/>
      <c r="AF285" s="91" t="n"/>
      <c r="AG285" s="91" t="n"/>
      <c r="AH285" s="88" t="n"/>
      <c r="AI285" s="88" t="n"/>
      <c r="AJ285" s="90" t="n"/>
      <c r="AK285" s="88" t="n"/>
      <c r="AL285" s="91" t="n"/>
      <c r="AM285" s="88" t="n"/>
      <c r="AN285" s="95" t="n"/>
      <c r="AO285" s="90" t="n"/>
      <c r="AP285" s="90" t="n"/>
    </row>
    <row r="286" ht="14.25" customHeight="1" s="84">
      <c r="A286" s="51" t="n"/>
      <c r="B286" s="47" t="n"/>
      <c r="C286" s="51" t="n"/>
      <c r="D286" s="51" t="n"/>
      <c r="E286" s="51" t="n"/>
      <c r="F286" s="51" t="n"/>
      <c r="G286" s="47" t="n"/>
      <c r="H286" s="51" t="n"/>
      <c r="I286" s="51" t="n"/>
      <c r="J286" s="51" t="n"/>
      <c r="K286" s="51" t="n"/>
      <c r="L286" s="51" t="n"/>
      <c r="N286" s="51" t="n"/>
      <c r="Q286" s="51" t="n"/>
      <c r="S286" s="51" t="n"/>
      <c r="T286" s="51" t="n"/>
      <c r="U286" s="51" t="inlineStr"/>
      <c r="V286" s="55" t="n"/>
      <c r="W286" s="51" t="inlineStr"/>
      <c r="X286" s="51" t="inlineStr"/>
      <c r="Y286" s="51" t="n"/>
      <c r="AB286" s="57" t="n"/>
      <c r="AC286" s="90" t="n"/>
      <c r="AD286" s="90" t="n"/>
      <c r="AE286" s="88" t="n"/>
      <c r="AF286" s="91" t="n"/>
      <c r="AG286" s="91" t="n"/>
      <c r="AH286" s="88" t="n"/>
      <c r="AI286" s="88" t="n"/>
      <c r="AJ286" s="90" t="n"/>
      <c r="AK286" s="88" t="n"/>
      <c r="AL286" s="91" t="n"/>
      <c r="AM286" s="88" t="n"/>
      <c r="AN286" s="95" t="n"/>
      <c r="AO286" s="90" t="n"/>
      <c r="AP286" s="90" t="n"/>
    </row>
    <row r="287" ht="14.25" customHeight="1" s="84">
      <c r="A287" s="51" t="n"/>
      <c r="B287" s="47" t="n"/>
      <c r="C287" s="51" t="n"/>
      <c r="D287" s="51" t="n"/>
      <c r="E287" s="51" t="n"/>
      <c r="F287" s="51" t="n"/>
      <c r="G287" s="47" t="n"/>
      <c r="H287" s="51" t="n"/>
      <c r="I287" s="51" t="n"/>
      <c r="J287" s="51" t="n"/>
      <c r="K287" s="51" t="n"/>
      <c r="L287" s="51" t="n"/>
      <c r="N287" s="51" t="n"/>
      <c r="Q287" s="51" t="n"/>
      <c r="S287" s="51" t="n"/>
      <c r="T287" s="51" t="n"/>
      <c r="U287" s="51" t="inlineStr"/>
      <c r="V287" s="55" t="n"/>
      <c r="W287" s="51" t="inlineStr"/>
      <c r="X287" s="51" t="inlineStr"/>
      <c r="Y287" s="51" t="n"/>
      <c r="AB287" s="57" t="n"/>
      <c r="AC287" s="90" t="n"/>
      <c r="AD287" s="90" t="n"/>
      <c r="AE287" s="88" t="n"/>
      <c r="AF287" s="91" t="n"/>
      <c r="AG287" s="91" t="n"/>
      <c r="AH287" s="88" t="n"/>
      <c r="AI287" s="88" t="n"/>
      <c r="AJ287" s="90" t="n"/>
      <c r="AK287" s="88" t="n"/>
      <c r="AL287" s="91" t="n"/>
      <c r="AM287" s="88" t="n"/>
      <c r="AN287" s="95" t="n"/>
      <c r="AO287" s="90" t="n"/>
      <c r="AP287" s="90" t="n"/>
    </row>
    <row r="288" ht="14.25" customHeight="1" s="84">
      <c r="A288" s="51" t="n"/>
      <c r="B288" s="47" t="n"/>
      <c r="C288" s="51" t="n"/>
      <c r="D288" s="51" t="n"/>
      <c r="E288" s="51" t="n"/>
      <c r="F288" s="51" t="n"/>
      <c r="G288" s="47" t="n"/>
      <c r="H288" s="51" t="n"/>
      <c r="I288" s="51" t="n"/>
      <c r="J288" s="51" t="n"/>
      <c r="K288" s="51" t="n"/>
      <c r="L288" s="51" t="n"/>
      <c r="N288" s="51" t="n"/>
      <c r="Q288" s="51" t="n"/>
      <c r="S288" s="51" t="n"/>
      <c r="T288" s="51" t="n"/>
      <c r="U288" s="51" t="inlineStr"/>
      <c r="V288" s="55" t="n"/>
      <c r="W288" s="51" t="inlineStr"/>
      <c r="X288" s="51" t="inlineStr"/>
      <c r="Y288" s="51" t="n"/>
      <c r="AB288" s="57" t="n"/>
      <c r="AC288" s="90" t="n"/>
      <c r="AD288" s="90" t="n"/>
      <c r="AE288" s="88" t="n"/>
      <c r="AF288" s="91" t="n"/>
      <c r="AG288" s="91" t="n"/>
      <c r="AH288" s="88" t="n"/>
      <c r="AI288" s="88" t="n"/>
      <c r="AJ288" s="90" t="n"/>
      <c r="AK288" s="88" t="n"/>
      <c r="AL288" s="91" t="n"/>
      <c r="AM288" s="88" t="n"/>
      <c r="AN288" s="95" t="n"/>
      <c r="AO288" s="90" t="n"/>
      <c r="AP288" s="90" t="n"/>
    </row>
    <row r="289" ht="14.25" customHeight="1" s="84">
      <c r="A289" s="51" t="n"/>
      <c r="B289" s="47" t="n"/>
      <c r="C289" s="51" t="n"/>
      <c r="D289" s="51" t="n"/>
      <c r="E289" s="51" t="n"/>
      <c r="F289" s="51" t="n"/>
      <c r="G289" s="47" t="n"/>
      <c r="H289" s="51" t="n"/>
      <c r="I289" s="51" t="n"/>
      <c r="J289" s="51" t="n"/>
      <c r="K289" s="51" t="n"/>
      <c r="L289" s="51" t="n"/>
      <c r="N289" s="51" t="n"/>
      <c r="Q289" s="51" t="n"/>
      <c r="S289" s="51" t="n"/>
      <c r="T289" s="51" t="n"/>
      <c r="U289" s="51" t="inlineStr"/>
      <c r="V289" s="55" t="n"/>
      <c r="W289" s="51" t="inlineStr"/>
      <c r="X289" s="51" t="inlineStr"/>
      <c r="Y289" s="51" t="n"/>
      <c r="AB289" s="57" t="n"/>
      <c r="AC289" s="90" t="n"/>
      <c r="AD289" s="90" t="n"/>
      <c r="AE289" s="88" t="n"/>
      <c r="AF289" s="91" t="n"/>
      <c r="AG289" s="91" t="n"/>
      <c r="AH289" s="88" t="n"/>
      <c r="AI289" s="88" t="n"/>
      <c r="AJ289" s="90" t="n"/>
      <c r="AK289" s="88" t="n"/>
      <c r="AL289" s="91" t="n"/>
      <c r="AM289" s="88" t="n"/>
      <c r="AN289" s="95" t="n"/>
      <c r="AO289" s="90" t="n"/>
      <c r="AP289" s="90" t="n"/>
    </row>
    <row r="290" ht="14.25" customHeight="1" s="84">
      <c r="A290" s="51" t="n"/>
      <c r="B290" s="47" t="n"/>
      <c r="C290" s="51" t="n"/>
      <c r="D290" s="51" t="n"/>
      <c r="E290" s="51" t="n"/>
      <c r="F290" s="51" t="n"/>
      <c r="G290" s="47" t="n"/>
      <c r="H290" s="51" t="n"/>
      <c r="I290" s="51" t="n"/>
      <c r="J290" s="51" t="n"/>
      <c r="K290" s="51" t="n"/>
      <c r="L290" s="51" t="n"/>
      <c r="N290" s="51" t="n"/>
      <c r="Q290" s="51" t="n"/>
      <c r="S290" s="51" t="n"/>
      <c r="T290" s="51" t="n"/>
      <c r="U290" s="51" t="inlineStr"/>
      <c r="V290" s="55" t="n"/>
      <c r="W290" s="51" t="inlineStr"/>
      <c r="X290" s="51" t="inlineStr"/>
      <c r="Y290" s="51" t="n"/>
      <c r="AB290" s="57" t="n"/>
      <c r="AC290" s="90" t="n"/>
      <c r="AD290" s="90" t="n"/>
      <c r="AE290" s="88" t="n"/>
      <c r="AF290" s="91" t="n"/>
      <c r="AG290" s="91" t="n"/>
      <c r="AH290" s="88" t="n"/>
      <c r="AI290" s="88" t="n"/>
      <c r="AJ290" s="90" t="n"/>
      <c r="AK290" s="88" t="n"/>
      <c r="AL290" s="91" t="n"/>
      <c r="AM290" s="88" t="n"/>
      <c r="AN290" s="95" t="n"/>
      <c r="AO290" s="90" t="n"/>
      <c r="AP290" s="90" t="n"/>
    </row>
    <row r="291" ht="14.25" customHeight="1" s="84">
      <c r="A291" s="51" t="n"/>
      <c r="B291" s="47" t="n"/>
      <c r="C291" s="51" t="n"/>
      <c r="D291" s="51" t="n"/>
      <c r="E291" s="51" t="n"/>
      <c r="F291" s="51" t="n"/>
      <c r="G291" s="47" t="n"/>
      <c r="H291" s="51" t="n"/>
      <c r="I291" s="51" t="n"/>
      <c r="J291" s="51" t="n"/>
      <c r="K291" s="51" t="n"/>
      <c r="L291" s="51" t="n"/>
      <c r="N291" s="51" t="n"/>
      <c r="Q291" s="51" t="n"/>
      <c r="S291" s="51" t="n"/>
      <c r="T291" s="51" t="n"/>
      <c r="U291" s="51" t="inlineStr"/>
      <c r="V291" s="55" t="n"/>
      <c r="W291" s="51" t="inlineStr"/>
      <c r="X291" s="51" t="inlineStr"/>
      <c r="Y291" s="51" t="n"/>
      <c r="AB291" s="57" t="n"/>
      <c r="AC291" s="90" t="n"/>
      <c r="AD291" s="90" t="n"/>
      <c r="AE291" s="88" t="n"/>
      <c r="AF291" s="91" t="n"/>
      <c r="AG291" s="91" t="n"/>
      <c r="AH291" s="88" t="n"/>
      <c r="AI291" s="88" t="n"/>
      <c r="AJ291" s="90" t="n"/>
      <c r="AK291" s="88" t="n"/>
      <c r="AL291" s="91" t="n"/>
      <c r="AM291" s="88" t="n"/>
      <c r="AN291" s="95" t="n"/>
      <c r="AO291" s="90" t="n"/>
      <c r="AP291" s="90" t="n"/>
    </row>
    <row r="292" ht="14.25" customHeight="1" s="84">
      <c r="A292" s="51" t="n"/>
      <c r="B292" s="47" t="n"/>
      <c r="C292" s="51" t="n"/>
      <c r="D292" s="51" t="n"/>
      <c r="E292" s="51" t="n"/>
      <c r="F292" s="51" t="n"/>
      <c r="G292" s="47" t="n"/>
      <c r="H292" s="51" t="n"/>
      <c r="I292" s="51" t="n"/>
      <c r="J292" s="51" t="n"/>
      <c r="K292" s="51" t="n"/>
      <c r="L292" s="51" t="n"/>
      <c r="N292" s="51" t="n"/>
      <c r="Q292" s="51" t="n"/>
      <c r="S292" s="51" t="n"/>
      <c r="T292" s="51" t="n"/>
      <c r="U292" s="51" t="inlineStr"/>
      <c r="V292" s="55" t="n"/>
      <c r="W292" s="51" t="inlineStr"/>
      <c r="X292" s="51" t="inlineStr"/>
      <c r="Y292" s="51" t="n"/>
      <c r="AB292" s="57" t="n"/>
      <c r="AC292" s="90" t="n"/>
      <c r="AD292" s="90" t="n"/>
      <c r="AE292" s="88" t="n"/>
      <c r="AF292" s="91" t="n"/>
      <c r="AG292" s="91" t="n"/>
      <c r="AH292" s="88" t="n"/>
      <c r="AI292" s="88" t="n"/>
      <c r="AJ292" s="90" t="n"/>
      <c r="AK292" s="88" t="n"/>
      <c r="AL292" s="91" t="n"/>
      <c r="AM292" s="88" t="n"/>
      <c r="AN292" s="95" t="n"/>
      <c r="AO292" s="90" t="n"/>
      <c r="AP292" s="90" t="n"/>
    </row>
    <row r="293" ht="14.25" customHeight="1" s="84">
      <c r="A293" s="51" t="n"/>
      <c r="B293" s="47" t="n"/>
      <c r="C293" s="51" t="n"/>
      <c r="D293" s="51" t="n"/>
      <c r="E293" s="51" t="n"/>
      <c r="F293" s="51" t="n"/>
      <c r="G293" s="47" t="n"/>
      <c r="H293" s="51" t="n"/>
      <c r="I293" s="51" t="n"/>
      <c r="J293" s="51" t="n"/>
      <c r="K293" s="51" t="n"/>
      <c r="L293" s="51" t="n"/>
      <c r="N293" s="51" t="n"/>
      <c r="Q293" s="51" t="n"/>
      <c r="S293" s="51" t="n"/>
      <c r="T293" s="51" t="n"/>
      <c r="U293" s="51" t="inlineStr"/>
      <c r="V293" s="55" t="n"/>
      <c r="W293" s="51" t="inlineStr"/>
      <c r="X293" s="51" t="inlineStr"/>
      <c r="Y293" s="51" t="n"/>
      <c r="AB293" s="57" t="n"/>
      <c r="AC293" s="90" t="n"/>
      <c r="AD293" s="90" t="n"/>
      <c r="AE293" s="88" t="n"/>
      <c r="AF293" s="91" t="n"/>
      <c r="AG293" s="91" t="n"/>
      <c r="AH293" s="88" t="n"/>
      <c r="AI293" s="88" t="n"/>
      <c r="AJ293" s="90" t="n"/>
      <c r="AK293" s="88" t="n"/>
      <c r="AL293" s="91" t="n"/>
      <c r="AM293" s="88" t="n"/>
      <c r="AN293" s="95" t="n"/>
      <c r="AO293" s="90" t="n"/>
      <c r="AP293" s="90" t="n"/>
    </row>
    <row r="294" ht="14.25" customHeight="1" s="84">
      <c r="A294" s="51" t="n"/>
      <c r="B294" s="47" t="n"/>
      <c r="C294" s="51" t="n"/>
      <c r="D294" s="51" t="n"/>
      <c r="E294" s="51" t="n"/>
      <c r="F294" s="51" t="n"/>
      <c r="G294" s="47" t="n"/>
      <c r="H294" s="51" t="n"/>
      <c r="I294" s="51" t="n"/>
      <c r="J294" s="51" t="n"/>
      <c r="K294" s="51" t="n"/>
      <c r="L294" s="51" t="n"/>
      <c r="N294" s="51" t="n"/>
      <c r="Q294" s="51" t="n"/>
      <c r="S294" s="51" t="n"/>
      <c r="T294" s="51" t="n"/>
      <c r="U294" s="51" t="inlineStr"/>
      <c r="V294" s="55" t="n"/>
      <c r="W294" s="51" t="inlineStr"/>
      <c r="X294" s="51" t="inlineStr"/>
      <c r="Y294" s="51" t="n"/>
      <c r="AB294" s="57" t="n"/>
      <c r="AC294" s="90" t="n"/>
      <c r="AD294" s="90" t="n"/>
      <c r="AE294" s="88" t="n"/>
      <c r="AF294" s="91" t="n"/>
      <c r="AG294" s="91" t="n"/>
      <c r="AH294" s="88" t="n"/>
      <c r="AI294" s="88" t="n"/>
      <c r="AJ294" s="90" t="n"/>
      <c r="AK294" s="88" t="n"/>
      <c r="AL294" s="91" t="n"/>
      <c r="AM294" s="88" t="n"/>
      <c r="AN294" s="95" t="n"/>
      <c r="AO294" s="90" t="n"/>
      <c r="AP294" s="90" t="n"/>
    </row>
    <row r="295" ht="14.25" customHeight="1" s="84">
      <c r="A295" s="51" t="n"/>
      <c r="B295" s="47" t="n"/>
      <c r="C295" s="51" t="n"/>
      <c r="D295" s="51" t="n"/>
      <c r="E295" s="51" t="n"/>
      <c r="F295" s="51" t="n"/>
      <c r="G295" s="47" t="n"/>
      <c r="H295" s="51" t="n"/>
      <c r="I295" s="51" t="n"/>
      <c r="J295" s="51" t="n"/>
      <c r="K295" s="51" t="n"/>
      <c r="L295" s="51" t="n"/>
      <c r="N295" s="51" t="n"/>
      <c r="Q295" s="51" t="n"/>
      <c r="S295" s="51" t="n"/>
      <c r="T295" s="51" t="n"/>
      <c r="U295" s="51" t="inlineStr"/>
      <c r="V295" s="55" t="n"/>
      <c r="W295" s="51" t="inlineStr"/>
      <c r="X295" s="51" t="inlineStr"/>
      <c r="Y295" s="51" t="n"/>
      <c r="AB295" s="57" t="n"/>
      <c r="AC295" s="90" t="n"/>
      <c r="AD295" s="90" t="n"/>
      <c r="AE295" s="88" t="n"/>
      <c r="AF295" s="91" t="n"/>
      <c r="AG295" s="91" t="n"/>
      <c r="AH295" s="88" t="n"/>
      <c r="AI295" s="88" t="n"/>
      <c r="AJ295" s="90" t="n"/>
      <c r="AK295" s="88" t="n"/>
      <c r="AL295" s="91" t="n"/>
      <c r="AM295" s="88" t="n"/>
      <c r="AN295" s="95" t="n"/>
      <c r="AO295" s="90" t="n"/>
      <c r="AP295" s="90" t="n"/>
    </row>
    <row r="296" ht="14.25" customHeight="1" s="84">
      <c r="A296" s="51" t="n"/>
      <c r="B296" s="47" t="n"/>
      <c r="C296" s="51" t="n"/>
      <c r="D296" s="51" t="n"/>
      <c r="E296" s="51" t="n"/>
      <c r="F296" s="51" t="n"/>
      <c r="G296" s="47" t="n"/>
      <c r="H296" s="51" t="n"/>
      <c r="I296" s="51" t="n"/>
      <c r="J296" s="51" t="n"/>
      <c r="K296" s="51" t="n"/>
      <c r="L296" s="51" t="n"/>
      <c r="N296" s="51" t="n"/>
      <c r="Q296" s="51" t="n"/>
      <c r="S296" s="51" t="n"/>
      <c r="T296" s="51" t="n"/>
      <c r="U296" s="51" t="inlineStr"/>
      <c r="V296" s="55" t="n"/>
      <c r="W296" s="51" t="inlineStr"/>
      <c r="X296" s="51" t="inlineStr"/>
      <c r="Y296" s="51" t="n"/>
      <c r="AB296" s="57" t="n"/>
      <c r="AC296" s="90" t="n"/>
      <c r="AD296" s="90" t="n"/>
      <c r="AE296" s="88" t="n"/>
      <c r="AF296" s="91" t="n"/>
      <c r="AG296" s="91" t="n"/>
      <c r="AH296" s="88" t="n"/>
      <c r="AI296" s="88" t="n"/>
      <c r="AJ296" s="90" t="n"/>
      <c r="AK296" s="88" t="n"/>
      <c r="AL296" s="91" t="n"/>
      <c r="AM296" s="88" t="n"/>
      <c r="AN296" s="95" t="n"/>
      <c r="AO296" s="90" t="n"/>
      <c r="AP296" s="90" t="n"/>
    </row>
    <row r="297" ht="14.25" customHeight="1" s="84">
      <c r="A297" s="51" t="n"/>
      <c r="B297" s="47" t="n"/>
      <c r="C297" s="51" t="n"/>
      <c r="D297" s="51" t="n"/>
      <c r="E297" s="51" t="n"/>
      <c r="F297" s="51" t="n"/>
      <c r="G297" s="47" t="n"/>
      <c r="H297" s="51" t="n"/>
      <c r="I297" s="51" t="n"/>
      <c r="J297" s="51" t="n"/>
      <c r="K297" s="51" t="n"/>
      <c r="L297" s="51" t="n"/>
      <c r="N297" s="51" t="n"/>
      <c r="Q297" s="51" t="n"/>
      <c r="S297" s="51" t="n"/>
      <c r="T297" s="51" t="n"/>
      <c r="U297" s="51" t="inlineStr"/>
      <c r="V297" s="55" t="n"/>
      <c r="W297" s="51" t="inlineStr"/>
      <c r="X297" s="51" t="inlineStr"/>
      <c r="Y297" s="51" t="n"/>
      <c r="AB297" s="57" t="n"/>
      <c r="AC297" s="90" t="n"/>
      <c r="AD297" s="90" t="n"/>
      <c r="AE297" s="88" t="n"/>
      <c r="AF297" s="91" t="n"/>
      <c r="AG297" s="91" t="n"/>
      <c r="AH297" s="88" t="n"/>
      <c r="AI297" s="88" t="n"/>
      <c r="AJ297" s="90" t="n"/>
      <c r="AK297" s="88" t="n"/>
      <c r="AL297" s="91" t="n"/>
      <c r="AM297" s="88" t="n"/>
      <c r="AN297" s="95" t="n"/>
      <c r="AO297" s="90" t="n"/>
      <c r="AP297" s="90" t="n"/>
    </row>
    <row r="298" ht="14.25" customHeight="1" s="84">
      <c r="A298" s="51" t="n"/>
      <c r="B298" s="47" t="n"/>
      <c r="C298" s="51" t="n"/>
      <c r="D298" s="51" t="n"/>
      <c r="E298" s="51" t="n"/>
      <c r="F298" s="51" t="n"/>
      <c r="G298" s="47" t="n"/>
      <c r="H298" s="51" t="n"/>
      <c r="I298" s="51" t="n"/>
      <c r="J298" s="51" t="n"/>
      <c r="K298" s="51" t="n"/>
      <c r="L298" s="51" t="n"/>
      <c r="N298" s="51" t="n"/>
      <c r="Q298" s="51" t="n"/>
      <c r="S298" s="51" t="n"/>
      <c r="T298" s="51" t="n"/>
      <c r="U298" s="51" t="inlineStr"/>
      <c r="V298" s="55" t="n"/>
      <c r="W298" s="51" t="inlineStr"/>
      <c r="X298" s="51" t="inlineStr"/>
      <c r="Y298" s="51" t="n"/>
      <c r="AB298" s="57" t="n"/>
      <c r="AC298" s="90" t="n"/>
      <c r="AD298" s="90" t="n"/>
      <c r="AE298" s="88" t="n"/>
      <c r="AF298" s="91" t="n"/>
      <c r="AG298" s="91" t="n"/>
      <c r="AH298" s="88" t="n"/>
      <c r="AI298" s="88" t="n"/>
      <c r="AJ298" s="90" t="n"/>
      <c r="AK298" s="88" t="n"/>
      <c r="AL298" s="91" t="n"/>
      <c r="AM298" s="88" t="n"/>
      <c r="AN298" s="95" t="n"/>
      <c r="AO298" s="90" t="n"/>
      <c r="AP298" s="90" t="n"/>
    </row>
    <row r="299" ht="14.25" customHeight="1" s="84">
      <c r="A299" s="51" t="n"/>
      <c r="B299" s="47" t="n"/>
      <c r="C299" s="51" t="n"/>
      <c r="D299" s="51" t="n"/>
      <c r="E299" s="51" t="n"/>
      <c r="F299" s="51" t="n"/>
      <c r="G299" s="47" t="n"/>
      <c r="H299" s="51" t="n"/>
      <c r="I299" s="51" t="n"/>
      <c r="J299" s="51" t="n"/>
      <c r="K299" s="51" t="n"/>
      <c r="L299" s="51" t="n"/>
      <c r="N299" s="51" t="n"/>
      <c r="Q299" s="51" t="n"/>
      <c r="S299" s="51" t="n"/>
      <c r="T299" s="51" t="n"/>
      <c r="U299" s="51" t="inlineStr"/>
      <c r="V299" s="55" t="n"/>
      <c r="W299" s="51" t="inlineStr"/>
      <c r="X299" s="51" t="inlineStr"/>
      <c r="Y299" s="51" t="n"/>
      <c r="AB299" s="57" t="n"/>
      <c r="AC299" s="90" t="n"/>
      <c r="AD299" s="90" t="n"/>
      <c r="AE299" s="88" t="n"/>
      <c r="AF299" s="91" t="n"/>
      <c r="AG299" s="91" t="n"/>
      <c r="AH299" s="88" t="n"/>
      <c r="AI299" s="88" t="n"/>
      <c r="AJ299" s="90" t="n"/>
      <c r="AK299" s="88" t="n"/>
      <c r="AL299" s="91" t="n"/>
      <c r="AM299" s="88" t="n"/>
      <c r="AN299" s="95" t="n"/>
      <c r="AO299" s="90" t="n"/>
      <c r="AP299" s="90" t="n"/>
    </row>
    <row r="300" ht="14.25" customHeight="1" s="84">
      <c r="A300" s="51" t="n"/>
      <c r="B300" s="47" t="n"/>
      <c r="C300" s="51" t="n"/>
      <c r="D300" s="51" t="n"/>
      <c r="E300" s="51" t="n"/>
      <c r="F300" s="51" t="n"/>
      <c r="G300" s="47" t="n"/>
      <c r="H300" s="51" t="n"/>
      <c r="I300" s="51" t="n"/>
      <c r="J300" s="51" t="n"/>
      <c r="K300" s="51" t="n"/>
      <c r="L300" s="51" t="n"/>
      <c r="N300" s="51" t="n"/>
      <c r="Q300" s="51" t="n"/>
      <c r="S300" s="51" t="n"/>
      <c r="T300" s="51" t="n"/>
      <c r="U300" s="51" t="inlineStr"/>
      <c r="V300" s="55" t="n"/>
      <c r="W300" s="51" t="inlineStr"/>
      <c r="X300" s="51" t="inlineStr"/>
      <c r="Y300" s="51" t="n"/>
      <c r="AB300" s="57" t="n"/>
      <c r="AC300" s="90" t="n"/>
      <c r="AD300" s="90" t="n"/>
      <c r="AE300" s="88" t="n"/>
      <c r="AF300" s="91" t="n"/>
      <c r="AG300" s="91" t="n"/>
      <c r="AH300" s="88" t="n"/>
      <c r="AI300" s="88" t="n"/>
      <c r="AJ300" s="90" t="n"/>
      <c r="AK300" s="88" t="n"/>
      <c r="AL300" s="91" t="n"/>
      <c r="AM300" s="88" t="n"/>
      <c r="AN300" s="95" t="n"/>
      <c r="AO300" s="90" t="n"/>
      <c r="AP300" s="90" t="n"/>
    </row>
    <row r="301" ht="14.25" customHeight="1" s="84">
      <c r="A301" s="51" t="n"/>
      <c r="B301" s="47" t="n"/>
      <c r="C301" s="51" t="n"/>
      <c r="D301" s="51" t="n"/>
      <c r="E301" s="51" t="n"/>
      <c r="F301" s="51" t="n"/>
      <c r="G301" s="47" t="n"/>
      <c r="H301" s="51" t="n"/>
      <c r="I301" s="51" t="n"/>
      <c r="J301" s="51" t="n"/>
      <c r="K301" s="51" t="n"/>
      <c r="L301" s="51" t="n"/>
      <c r="N301" s="51" t="n"/>
      <c r="Q301" s="51" t="n"/>
      <c r="S301" s="51" t="n"/>
      <c r="T301" s="51" t="n"/>
      <c r="U301" s="51" t="inlineStr"/>
      <c r="V301" s="55" t="n"/>
      <c r="W301" s="51" t="inlineStr"/>
      <c r="X301" s="51" t="inlineStr"/>
      <c r="Y301" s="51" t="n"/>
      <c r="AB301" s="57" t="n"/>
      <c r="AC301" s="90" t="n"/>
      <c r="AD301" s="90" t="n"/>
      <c r="AE301" s="88" t="n"/>
      <c r="AF301" s="91" t="n"/>
      <c r="AG301" s="91" t="n"/>
      <c r="AH301" s="88" t="n"/>
      <c r="AI301" s="88" t="n"/>
      <c r="AJ301" s="90" t="n"/>
      <c r="AK301" s="88" t="n"/>
      <c r="AL301" s="91" t="n"/>
      <c r="AM301" s="88" t="n"/>
      <c r="AN301" s="95" t="n"/>
      <c r="AO301" s="90" t="n"/>
      <c r="AP301" s="90" t="n"/>
    </row>
    <row r="302" ht="14.25" customHeight="1" s="84">
      <c r="A302" s="51" t="n"/>
      <c r="B302" s="47" t="n"/>
      <c r="C302" s="51" t="n"/>
      <c r="D302" s="51" t="n"/>
      <c r="E302" s="51" t="n"/>
      <c r="F302" s="51" t="n"/>
      <c r="G302" s="47" t="n"/>
      <c r="H302" s="51" t="n"/>
      <c r="I302" s="51" t="n"/>
      <c r="J302" s="51" t="n"/>
      <c r="K302" s="51" t="n"/>
      <c r="L302" s="51" t="n"/>
      <c r="N302" s="51" t="n"/>
      <c r="Q302" s="51" t="n"/>
      <c r="S302" s="51" t="n"/>
      <c r="T302" s="51" t="n"/>
      <c r="U302" s="51" t="inlineStr"/>
      <c r="V302" s="55" t="n"/>
      <c r="W302" s="51" t="inlineStr"/>
      <c r="X302" s="51" t="inlineStr"/>
      <c r="Y302" s="51" t="n"/>
      <c r="AB302" s="57" t="n"/>
      <c r="AC302" s="90" t="n"/>
      <c r="AD302" s="90" t="n"/>
      <c r="AE302" s="88" t="n"/>
      <c r="AF302" s="91" t="n"/>
      <c r="AG302" s="91" t="n"/>
      <c r="AH302" s="88" t="n"/>
      <c r="AI302" s="88" t="n"/>
      <c r="AJ302" s="90" t="n"/>
      <c r="AK302" s="88" t="n"/>
      <c r="AL302" s="91" t="n"/>
      <c r="AM302" s="88" t="n"/>
      <c r="AN302" s="95" t="n"/>
      <c r="AO302" s="90" t="n"/>
      <c r="AP302" s="90" t="n"/>
    </row>
    <row r="303" ht="14.25" customHeight="1" s="84">
      <c r="A303" s="51" t="n"/>
      <c r="B303" s="47" t="n"/>
      <c r="C303" s="51" t="n"/>
      <c r="D303" s="51" t="n"/>
      <c r="E303" s="51" t="n"/>
      <c r="F303" s="51" t="n"/>
      <c r="G303" s="47" t="n"/>
      <c r="H303" s="51" t="n"/>
      <c r="I303" s="51" t="n"/>
      <c r="J303" s="51" t="n"/>
      <c r="K303" s="51" t="n"/>
      <c r="L303" s="51" t="n"/>
      <c r="N303" s="51" t="n"/>
      <c r="Q303" s="51" t="n"/>
      <c r="S303" s="51" t="n"/>
      <c r="T303" s="51" t="n"/>
      <c r="U303" s="51" t="inlineStr"/>
      <c r="V303" s="55" t="n"/>
      <c r="W303" s="51" t="inlineStr"/>
      <c r="X303" s="51" t="inlineStr"/>
      <c r="Y303" s="51" t="n"/>
      <c r="AB303" s="57" t="n"/>
      <c r="AC303" s="90" t="n"/>
      <c r="AD303" s="90" t="n"/>
      <c r="AE303" s="88" t="n"/>
      <c r="AF303" s="91" t="n"/>
      <c r="AG303" s="91" t="n"/>
      <c r="AH303" s="88" t="n"/>
      <c r="AI303" s="88" t="n"/>
      <c r="AJ303" s="90" t="n"/>
      <c r="AK303" s="88" t="n"/>
      <c r="AL303" s="91" t="n"/>
      <c r="AM303" s="88" t="n"/>
      <c r="AN303" s="95" t="n"/>
      <c r="AO303" s="90" t="n"/>
      <c r="AP303" s="90" t="n"/>
    </row>
    <row r="304" ht="14.25" customHeight="1" s="84">
      <c r="A304" s="51" t="n"/>
      <c r="B304" s="47" t="n"/>
      <c r="C304" s="51" t="n"/>
      <c r="D304" s="51" t="n"/>
      <c r="E304" s="51" t="n"/>
      <c r="F304" s="51" t="n"/>
      <c r="G304" s="47" t="n"/>
      <c r="H304" s="51" t="n"/>
      <c r="I304" s="51" t="n"/>
      <c r="J304" s="51" t="n"/>
      <c r="K304" s="51" t="n"/>
      <c r="L304" s="51" t="n"/>
      <c r="N304" s="51" t="n"/>
      <c r="Q304" s="51" t="n"/>
      <c r="S304" s="51" t="n"/>
      <c r="T304" s="51" t="n"/>
      <c r="U304" s="51" t="inlineStr"/>
      <c r="V304" s="55" t="n"/>
      <c r="W304" s="51" t="inlineStr"/>
      <c r="X304" s="51" t="inlineStr"/>
      <c r="Y304" s="51" t="n"/>
      <c r="AB304" s="57" t="n"/>
      <c r="AC304" s="90" t="n"/>
      <c r="AD304" s="90" t="n"/>
      <c r="AE304" s="88" t="n"/>
      <c r="AF304" s="91" t="n"/>
      <c r="AG304" s="91" t="n"/>
      <c r="AH304" s="88" t="n"/>
      <c r="AI304" s="88" t="n"/>
      <c r="AJ304" s="90" t="n"/>
      <c r="AK304" s="88" t="n"/>
      <c r="AL304" s="91" t="n"/>
      <c r="AM304" s="88" t="n"/>
      <c r="AN304" s="95" t="n"/>
      <c r="AO304" s="90" t="n"/>
      <c r="AP304" s="90" t="n"/>
    </row>
    <row r="305" ht="14.25" customHeight="1" s="84">
      <c r="A305" s="51" t="n"/>
      <c r="B305" s="47" t="n"/>
      <c r="C305" s="51" t="n"/>
      <c r="D305" s="51" t="n"/>
      <c r="E305" s="51" t="n"/>
      <c r="F305" s="51" t="n"/>
      <c r="G305" s="47" t="n"/>
      <c r="H305" s="51" t="n"/>
      <c r="I305" s="51" t="n"/>
      <c r="J305" s="51" t="n"/>
      <c r="K305" s="51" t="n"/>
      <c r="L305" s="51" t="n"/>
      <c r="N305" s="51" t="n"/>
      <c r="Q305" s="51" t="n"/>
      <c r="S305" s="51" t="n"/>
      <c r="T305" s="51" t="n"/>
      <c r="U305" s="51" t="inlineStr"/>
      <c r="V305" s="55" t="n"/>
      <c r="W305" s="51" t="inlineStr"/>
      <c r="X305" s="51" t="inlineStr"/>
      <c r="Y305" s="51" t="n"/>
      <c r="AB305" s="57" t="n"/>
      <c r="AC305" s="90" t="n"/>
      <c r="AD305" s="90" t="n"/>
      <c r="AE305" s="88" t="n"/>
      <c r="AF305" s="91" t="n"/>
      <c r="AG305" s="91" t="n"/>
      <c r="AH305" s="88" t="n"/>
      <c r="AI305" s="88" t="n"/>
      <c r="AJ305" s="90" t="n"/>
      <c r="AK305" s="88" t="n"/>
      <c r="AL305" s="91" t="n"/>
      <c r="AM305" s="88" t="n"/>
      <c r="AN305" s="95" t="n"/>
      <c r="AO305" s="90" t="n"/>
      <c r="AP305" s="90" t="n"/>
    </row>
    <row r="306" ht="14.25" customHeight="1" s="84">
      <c r="A306" s="51" t="n"/>
      <c r="B306" s="47" t="n"/>
      <c r="C306" s="51" t="n"/>
      <c r="D306" s="51" t="n"/>
      <c r="E306" s="51" t="n"/>
      <c r="F306" s="51" t="n"/>
      <c r="G306" s="47" t="n"/>
      <c r="H306" s="51" t="n"/>
      <c r="I306" s="51" t="n"/>
      <c r="J306" s="51" t="n"/>
      <c r="K306" s="51" t="n"/>
      <c r="L306" s="51" t="n"/>
      <c r="N306" s="51" t="n"/>
      <c r="Q306" s="51" t="n"/>
      <c r="S306" s="51" t="n"/>
      <c r="T306" s="51" t="n"/>
      <c r="U306" s="51" t="inlineStr"/>
      <c r="V306" s="55" t="n"/>
      <c r="W306" s="51" t="inlineStr"/>
      <c r="X306" s="51" t="inlineStr"/>
      <c r="Y306" s="51" t="n"/>
      <c r="AB306" s="57" t="n"/>
      <c r="AC306" s="90" t="n"/>
      <c r="AD306" s="90" t="n"/>
      <c r="AE306" s="88" t="n"/>
      <c r="AF306" s="91" t="n"/>
      <c r="AG306" s="91" t="n"/>
      <c r="AH306" s="88" t="n"/>
      <c r="AI306" s="88" t="n"/>
      <c r="AJ306" s="90" t="n"/>
      <c r="AK306" s="88" t="n"/>
      <c r="AL306" s="91" t="n"/>
      <c r="AM306" s="88" t="n"/>
      <c r="AN306" s="95" t="n"/>
      <c r="AO306" s="90" t="n"/>
      <c r="AP306" s="90" t="n"/>
    </row>
    <row r="307" ht="14.25" customHeight="1" s="84">
      <c r="A307" s="51" t="n"/>
      <c r="B307" s="47" t="n"/>
      <c r="C307" s="51" t="n"/>
      <c r="D307" s="51" t="n"/>
      <c r="E307" s="51" t="n"/>
      <c r="F307" s="51" t="n"/>
      <c r="G307" s="47" t="n"/>
      <c r="H307" s="51" t="n"/>
      <c r="I307" s="51" t="n"/>
      <c r="J307" s="51" t="n"/>
      <c r="K307" s="51" t="n"/>
      <c r="L307" s="51" t="n"/>
      <c r="N307" s="51" t="n"/>
      <c r="Q307" s="51" t="n"/>
      <c r="S307" s="51" t="n"/>
      <c r="T307" s="51" t="n"/>
      <c r="U307" s="51" t="inlineStr"/>
      <c r="V307" s="55" t="n"/>
      <c r="W307" s="51" t="inlineStr"/>
      <c r="X307" s="51" t="inlineStr"/>
      <c r="Y307" s="51" t="n"/>
      <c r="AB307" s="57" t="n"/>
      <c r="AC307" s="90" t="n"/>
      <c r="AD307" s="90" t="n"/>
      <c r="AE307" s="88" t="n"/>
      <c r="AF307" s="91" t="n"/>
      <c r="AG307" s="91" t="n"/>
      <c r="AH307" s="88" t="n"/>
      <c r="AI307" s="88" t="n"/>
      <c r="AJ307" s="90" t="n"/>
      <c r="AK307" s="88" t="n"/>
      <c r="AL307" s="91" t="n"/>
      <c r="AM307" s="88" t="n"/>
      <c r="AN307" s="95" t="n"/>
      <c r="AO307" s="90" t="n"/>
      <c r="AP307" s="90" t="n"/>
    </row>
    <row r="308" ht="14.25" customHeight="1" s="84">
      <c r="A308" s="51" t="n"/>
      <c r="B308" s="47" t="n"/>
      <c r="C308" s="51" t="n"/>
      <c r="D308" s="51" t="n"/>
      <c r="E308" s="51" t="n"/>
      <c r="F308" s="51" t="n"/>
      <c r="G308" s="47" t="n"/>
      <c r="H308" s="51" t="n"/>
      <c r="I308" s="51" t="n"/>
      <c r="J308" s="51" t="n"/>
      <c r="K308" s="51" t="n"/>
      <c r="L308" s="51" t="n"/>
      <c r="N308" s="51" t="n"/>
      <c r="Q308" s="51" t="n"/>
      <c r="S308" s="51" t="n"/>
      <c r="T308" s="51" t="n"/>
      <c r="U308" s="51" t="inlineStr"/>
      <c r="V308" s="55" t="n"/>
      <c r="W308" s="51" t="inlineStr"/>
      <c r="X308" s="51" t="inlineStr"/>
      <c r="Y308" s="51" t="n"/>
      <c r="AB308" s="57" t="n"/>
      <c r="AC308" s="90" t="n"/>
      <c r="AD308" s="90" t="n"/>
      <c r="AE308" s="88" t="n"/>
      <c r="AF308" s="91" t="n"/>
      <c r="AG308" s="91" t="n"/>
      <c r="AH308" s="88" t="n"/>
      <c r="AI308" s="88" t="n"/>
      <c r="AJ308" s="90" t="n"/>
      <c r="AK308" s="88" t="n"/>
      <c r="AL308" s="91" t="n"/>
      <c r="AM308" s="88" t="n"/>
      <c r="AN308" s="95" t="n"/>
      <c r="AO308" s="90" t="n"/>
      <c r="AP308" s="90" t="n"/>
    </row>
    <row r="309" ht="14.25" customHeight="1" s="84">
      <c r="A309" s="51" t="n"/>
      <c r="B309" s="47" t="n"/>
      <c r="C309" s="51" t="n"/>
      <c r="D309" s="51" t="n"/>
      <c r="E309" s="51" t="n"/>
      <c r="F309" s="51" t="n"/>
      <c r="G309" s="47" t="n"/>
      <c r="H309" s="51" t="n"/>
      <c r="I309" s="51" t="n"/>
      <c r="J309" s="51" t="n"/>
      <c r="K309" s="51" t="n"/>
      <c r="L309" s="51" t="n"/>
      <c r="N309" s="51" t="n"/>
      <c r="Q309" s="51" t="n"/>
      <c r="S309" s="51" t="n"/>
      <c r="T309" s="51" t="n"/>
      <c r="U309" s="51" t="inlineStr"/>
      <c r="V309" s="55" t="n"/>
      <c r="W309" s="51" t="inlineStr"/>
      <c r="X309" s="51" t="inlineStr"/>
      <c r="Y309" s="51" t="n"/>
      <c r="AB309" s="57" t="n"/>
      <c r="AC309" s="90" t="n"/>
      <c r="AD309" s="90" t="n"/>
      <c r="AE309" s="88" t="n"/>
      <c r="AF309" s="91" t="n"/>
      <c r="AG309" s="91" t="n"/>
      <c r="AH309" s="88" t="n"/>
      <c r="AI309" s="88" t="n"/>
      <c r="AJ309" s="90" t="n"/>
      <c r="AK309" s="88" t="n"/>
      <c r="AL309" s="91" t="n"/>
      <c r="AM309" s="88" t="n"/>
      <c r="AN309" s="95" t="n"/>
      <c r="AO309" s="90" t="n"/>
      <c r="AP309" s="90" t="n"/>
    </row>
    <row r="310" ht="14.25" customHeight="1" s="84">
      <c r="A310" s="51" t="n"/>
      <c r="B310" s="47" t="n"/>
      <c r="C310" s="51" t="n"/>
      <c r="D310" s="51" t="n"/>
      <c r="E310" s="51" t="n"/>
      <c r="F310" s="51" t="n"/>
      <c r="G310" s="47" t="n"/>
      <c r="H310" s="51" t="n"/>
      <c r="I310" s="51" t="n"/>
      <c r="J310" s="51" t="n"/>
      <c r="K310" s="51" t="n"/>
      <c r="L310" s="51" t="n"/>
      <c r="N310" s="51" t="n"/>
      <c r="Q310" s="51" t="n"/>
      <c r="S310" s="51" t="n"/>
      <c r="T310" s="51" t="n"/>
      <c r="U310" s="51" t="inlineStr"/>
      <c r="V310" s="55" t="n"/>
      <c r="W310" s="51" t="inlineStr"/>
      <c r="X310" s="51" t="inlineStr"/>
      <c r="Y310" s="51" t="n"/>
      <c r="AB310" s="57" t="n"/>
      <c r="AC310" s="90" t="n"/>
      <c r="AD310" s="90" t="n"/>
      <c r="AE310" s="88" t="n"/>
      <c r="AF310" s="91" t="n"/>
      <c r="AG310" s="91" t="n"/>
      <c r="AH310" s="88" t="n"/>
      <c r="AI310" s="88" t="n"/>
      <c r="AJ310" s="90" t="n"/>
      <c r="AK310" s="88" t="n"/>
      <c r="AL310" s="91" t="n"/>
      <c r="AM310" s="88" t="n"/>
      <c r="AN310" s="95" t="n"/>
      <c r="AO310" s="90" t="n"/>
      <c r="AP310" s="90" t="n"/>
    </row>
    <row r="311" ht="14.25" customHeight="1" s="84">
      <c r="A311" s="51" t="n"/>
      <c r="B311" s="47" t="n"/>
      <c r="C311" s="51" t="n"/>
      <c r="D311" s="51" t="n"/>
      <c r="E311" s="51" t="n"/>
      <c r="F311" s="51" t="n"/>
      <c r="G311" s="47" t="n"/>
      <c r="H311" s="51" t="n"/>
      <c r="I311" s="51" t="n"/>
      <c r="J311" s="51" t="n"/>
      <c r="K311" s="51" t="n"/>
      <c r="L311" s="51" t="n"/>
      <c r="N311" s="51" t="n"/>
      <c r="Q311" s="51" t="n"/>
      <c r="S311" s="51" t="n"/>
      <c r="T311" s="51" t="n"/>
      <c r="U311" s="51" t="inlineStr"/>
      <c r="V311" s="55" t="n"/>
      <c r="W311" s="51" t="inlineStr"/>
      <c r="X311" s="51" t="inlineStr"/>
      <c r="Y311" s="51" t="n"/>
      <c r="AB311" s="57" t="n"/>
      <c r="AC311" s="90" t="n"/>
      <c r="AD311" s="90" t="n"/>
      <c r="AE311" s="88" t="n"/>
      <c r="AF311" s="91" t="n"/>
      <c r="AG311" s="91" t="n"/>
      <c r="AH311" s="88" t="n"/>
      <c r="AI311" s="88" t="n"/>
      <c r="AJ311" s="90" t="n"/>
      <c r="AK311" s="88" t="n"/>
      <c r="AL311" s="91" t="n"/>
      <c r="AM311" s="88" t="n"/>
      <c r="AN311" s="95" t="n"/>
      <c r="AO311" s="90" t="n"/>
      <c r="AP311" s="90" t="n"/>
    </row>
    <row r="312" ht="14.25" customHeight="1" s="84">
      <c r="A312" s="51" t="n"/>
      <c r="B312" s="47" t="n"/>
      <c r="C312" s="51" t="n"/>
      <c r="D312" s="51" t="n"/>
      <c r="E312" s="51" t="n"/>
      <c r="F312" s="51" t="n"/>
      <c r="G312" s="47" t="n"/>
      <c r="H312" s="51" t="n"/>
      <c r="I312" s="51" t="n"/>
      <c r="J312" s="51" t="n"/>
      <c r="K312" s="51" t="n"/>
      <c r="L312" s="51" t="n"/>
      <c r="N312" s="51" t="n"/>
      <c r="Q312" s="51" t="n"/>
      <c r="S312" s="51" t="n"/>
      <c r="T312" s="51" t="n"/>
      <c r="U312" s="51" t="inlineStr"/>
      <c r="V312" s="55" t="n"/>
      <c r="W312" s="51" t="inlineStr"/>
      <c r="X312" s="51" t="inlineStr"/>
      <c r="Y312" s="51" t="n"/>
      <c r="AB312" s="57" t="n"/>
      <c r="AC312" s="90" t="n"/>
      <c r="AD312" s="90" t="n"/>
      <c r="AE312" s="88" t="n"/>
      <c r="AF312" s="91" t="n"/>
      <c r="AG312" s="91" t="n"/>
      <c r="AH312" s="88" t="n"/>
      <c r="AI312" s="88" t="n"/>
      <c r="AJ312" s="90" t="n"/>
      <c r="AK312" s="88" t="n"/>
      <c r="AL312" s="91" t="n"/>
      <c r="AM312" s="88" t="n"/>
      <c r="AN312" s="95" t="n"/>
      <c r="AO312" s="90" t="n"/>
      <c r="AP312" s="90" t="n"/>
    </row>
    <row r="313" ht="14.25" customHeight="1" s="84">
      <c r="A313" s="51" t="n"/>
      <c r="B313" s="47" t="n"/>
      <c r="C313" s="51" t="n"/>
      <c r="D313" s="51" t="n"/>
      <c r="E313" s="51" t="n"/>
      <c r="F313" s="51" t="n"/>
      <c r="G313" s="47" t="n"/>
      <c r="H313" s="51" t="n"/>
      <c r="I313" s="51" t="n"/>
      <c r="J313" s="51" t="n"/>
      <c r="K313" s="51" t="n"/>
      <c r="L313" s="51" t="n"/>
      <c r="N313" s="51" t="n"/>
      <c r="Q313" s="51" t="n"/>
      <c r="S313" s="51" t="n"/>
      <c r="T313" s="51" t="n"/>
      <c r="U313" s="51" t="inlineStr"/>
      <c r="V313" s="55" t="n"/>
      <c r="W313" s="51" t="inlineStr"/>
      <c r="X313" s="51" t="inlineStr"/>
      <c r="Y313" s="51" t="n"/>
      <c r="AB313" s="57" t="n"/>
      <c r="AC313" s="90" t="n"/>
      <c r="AD313" s="90" t="n"/>
      <c r="AE313" s="88" t="n"/>
      <c r="AF313" s="91" t="n"/>
      <c r="AG313" s="91" t="n"/>
      <c r="AH313" s="88" t="n"/>
      <c r="AI313" s="88" t="n"/>
      <c r="AJ313" s="90" t="n"/>
      <c r="AK313" s="88" t="n"/>
      <c r="AL313" s="91" t="n"/>
      <c r="AM313" s="88" t="n"/>
      <c r="AN313" s="95" t="n"/>
      <c r="AO313" s="90" t="n"/>
      <c r="AP313" s="90" t="n"/>
    </row>
    <row r="314" ht="14.25" customHeight="1" s="84">
      <c r="A314" s="51" t="n"/>
      <c r="B314" s="47" t="n"/>
      <c r="C314" s="51" t="n"/>
      <c r="D314" s="51" t="n"/>
      <c r="E314" s="51" t="n"/>
      <c r="F314" s="51" t="n"/>
      <c r="G314" s="47" t="n"/>
      <c r="H314" s="51" t="n"/>
      <c r="I314" s="51" t="n"/>
      <c r="J314" s="51" t="n"/>
      <c r="K314" s="51" t="n"/>
      <c r="L314" s="51" t="n"/>
      <c r="N314" s="51" t="n"/>
      <c r="Q314" s="51" t="n"/>
      <c r="S314" s="51" t="n"/>
      <c r="T314" s="51" t="n"/>
      <c r="U314" s="51" t="inlineStr"/>
      <c r="V314" s="55" t="n"/>
      <c r="W314" s="51" t="inlineStr"/>
      <c r="X314" s="51" t="inlineStr"/>
      <c r="Y314" s="51" t="n"/>
      <c r="AB314" s="57" t="n"/>
      <c r="AC314" s="90" t="n"/>
      <c r="AD314" s="90" t="n"/>
      <c r="AE314" s="88" t="n"/>
      <c r="AF314" s="91" t="n"/>
      <c r="AG314" s="91" t="n"/>
      <c r="AH314" s="88" t="n"/>
      <c r="AI314" s="88" t="n"/>
      <c r="AJ314" s="90" t="n"/>
      <c r="AK314" s="88" t="n"/>
      <c r="AL314" s="91" t="n"/>
      <c r="AM314" s="88" t="n"/>
      <c r="AN314" s="95" t="n"/>
      <c r="AO314" s="90" t="n"/>
      <c r="AP314" s="90" t="n"/>
    </row>
    <row r="315" ht="14.25" customHeight="1" s="84">
      <c r="A315" s="51" t="n"/>
      <c r="B315" s="47" t="n"/>
      <c r="C315" s="51" t="n"/>
      <c r="D315" s="51" t="n"/>
      <c r="E315" s="51" t="n"/>
      <c r="F315" s="51" t="n"/>
      <c r="G315" s="47" t="n"/>
      <c r="H315" s="51" t="n"/>
      <c r="I315" s="51" t="n"/>
      <c r="J315" s="51" t="n"/>
      <c r="K315" s="51" t="n"/>
      <c r="L315" s="51" t="n"/>
      <c r="N315" s="51" t="n"/>
      <c r="Q315" s="51" t="n"/>
      <c r="S315" s="51" t="n"/>
      <c r="T315" s="51" t="n"/>
      <c r="U315" s="51" t="inlineStr"/>
      <c r="V315" s="55" t="n"/>
      <c r="W315" s="51" t="inlineStr"/>
      <c r="X315" s="51" t="inlineStr"/>
      <c r="Y315" s="51" t="n"/>
      <c r="AB315" s="57" t="n"/>
      <c r="AC315" s="90" t="n"/>
      <c r="AD315" s="90" t="n"/>
      <c r="AE315" s="88" t="n"/>
      <c r="AF315" s="91" t="n"/>
      <c r="AG315" s="91" t="n"/>
      <c r="AH315" s="88" t="n"/>
      <c r="AI315" s="88" t="n"/>
      <c r="AJ315" s="90" t="n"/>
      <c r="AK315" s="88" t="n"/>
      <c r="AL315" s="91" t="n"/>
      <c r="AM315" s="88" t="n"/>
      <c r="AN315" s="95" t="n"/>
      <c r="AO315" s="90" t="n"/>
      <c r="AP315" s="90" t="n"/>
    </row>
    <row r="316" ht="14.25" customHeight="1" s="84">
      <c r="A316" s="51" t="n"/>
      <c r="B316" s="47" t="n"/>
      <c r="C316" s="51" t="n"/>
      <c r="D316" s="51" t="n"/>
      <c r="E316" s="51" t="n"/>
      <c r="F316" s="51" t="n"/>
      <c r="G316" s="47" t="n"/>
      <c r="H316" s="51" t="n"/>
      <c r="I316" s="51" t="n"/>
      <c r="J316" s="51" t="n"/>
      <c r="K316" s="51" t="n"/>
      <c r="L316" s="51" t="n"/>
      <c r="N316" s="51" t="n"/>
      <c r="Q316" s="51" t="n"/>
      <c r="S316" s="51" t="n"/>
      <c r="T316" s="51" t="n"/>
      <c r="U316" s="51" t="inlineStr"/>
      <c r="V316" s="55" t="n"/>
      <c r="W316" s="51" t="inlineStr"/>
      <c r="X316" s="51" t="inlineStr"/>
      <c r="Y316" s="51" t="n"/>
      <c r="AB316" s="57" t="n"/>
      <c r="AC316" s="90" t="n"/>
      <c r="AD316" s="90" t="n"/>
      <c r="AE316" s="88" t="n"/>
      <c r="AF316" s="91" t="n"/>
      <c r="AG316" s="91" t="n"/>
      <c r="AH316" s="88" t="n"/>
      <c r="AI316" s="88" t="n"/>
      <c r="AJ316" s="90" t="n"/>
      <c r="AK316" s="88" t="n"/>
      <c r="AL316" s="91" t="n"/>
      <c r="AM316" s="88" t="n"/>
      <c r="AN316" s="95" t="n"/>
      <c r="AO316" s="90" t="n"/>
      <c r="AP316" s="90" t="n"/>
    </row>
    <row r="317" ht="14.25" customHeight="1" s="84">
      <c r="A317" s="51" t="n"/>
      <c r="B317" s="47" t="n"/>
      <c r="C317" s="51" t="n"/>
      <c r="D317" s="51" t="n"/>
      <c r="E317" s="51" t="n"/>
      <c r="F317" s="51" t="n"/>
      <c r="G317" s="47" t="n"/>
      <c r="H317" s="51" t="n"/>
      <c r="I317" s="51" t="n"/>
      <c r="J317" s="51" t="n"/>
      <c r="K317" s="51" t="n"/>
      <c r="L317" s="51" t="n"/>
      <c r="N317" s="51" t="n"/>
      <c r="Q317" s="51" t="n"/>
      <c r="S317" s="51" t="n"/>
      <c r="T317" s="51" t="n"/>
      <c r="U317" s="51" t="inlineStr"/>
      <c r="V317" s="55" t="n"/>
      <c r="W317" s="51" t="inlineStr"/>
      <c r="X317" s="51" t="inlineStr"/>
      <c r="Y317" s="51" t="n"/>
      <c r="AB317" s="57" t="n"/>
      <c r="AC317" s="90" t="n"/>
      <c r="AD317" s="90" t="n"/>
      <c r="AE317" s="88" t="n"/>
      <c r="AF317" s="91" t="n"/>
      <c r="AG317" s="91" t="n"/>
      <c r="AH317" s="88" t="n"/>
      <c r="AI317" s="88" t="n"/>
      <c r="AJ317" s="90" t="n"/>
      <c r="AK317" s="88" t="n"/>
      <c r="AL317" s="91" t="n"/>
      <c r="AM317" s="88" t="n"/>
      <c r="AN317" s="95" t="n"/>
      <c r="AO317" s="90" t="n"/>
      <c r="AP317" s="90" t="n"/>
    </row>
    <row r="318" ht="14.25" customHeight="1" s="84">
      <c r="A318" s="51" t="n"/>
      <c r="B318" s="47" t="n"/>
      <c r="C318" s="51" t="n"/>
      <c r="D318" s="51" t="n"/>
      <c r="E318" s="51" t="n"/>
      <c r="F318" s="51" t="n"/>
      <c r="G318" s="47" t="n"/>
      <c r="H318" s="51" t="n"/>
      <c r="I318" s="51" t="n"/>
      <c r="J318" s="51" t="n"/>
      <c r="K318" s="51" t="n"/>
      <c r="L318" s="51" t="n"/>
      <c r="N318" s="51" t="n"/>
      <c r="Q318" s="51" t="n"/>
      <c r="S318" s="51" t="n"/>
      <c r="T318" s="51" t="n"/>
      <c r="U318" s="51" t="inlineStr"/>
      <c r="V318" s="55" t="n"/>
      <c r="W318" s="51" t="inlineStr"/>
      <c r="X318" s="51" t="inlineStr"/>
      <c r="Y318" s="51" t="n"/>
      <c r="AB318" s="57" t="n"/>
      <c r="AC318" s="90" t="n"/>
      <c r="AD318" s="90" t="n"/>
      <c r="AE318" s="88" t="n"/>
      <c r="AF318" s="91" t="n"/>
      <c r="AG318" s="91" t="n"/>
      <c r="AH318" s="88" t="n"/>
      <c r="AI318" s="88" t="n"/>
      <c r="AJ318" s="90" t="n"/>
      <c r="AK318" s="88" t="n"/>
      <c r="AL318" s="91" t="n"/>
      <c r="AM318" s="88" t="n"/>
      <c r="AN318" s="95" t="n"/>
      <c r="AO318" s="90" t="n"/>
      <c r="AP318" s="90" t="n"/>
    </row>
    <row r="319" ht="14.25" customHeight="1" s="84">
      <c r="A319" s="51" t="n"/>
      <c r="B319" s="47" t="n"/>
      <c r="C319" s="51" t="n"/>
      <c r="D319" s="51" t="n"/>
      <c r="E319" s="51" t="n"/>
      <c r="F319" s="51" t="n"/>
      <c r="G319" s="47" t="n"/>
      <c r="H319" s="51" t="n"/>
      <c r="I319" s="51" t="n"/>
      <c r="J319" s="51" t="n"/>
      <c r="K319" s="51" t="n"/>
      <c r="L319" s="51" t="n"/>
      <c r="N319" s="51" t="n"/>
      <c r="Q319" s="51" t="n"/>
      <c r="S319" s="51" t="n"/>
      <c r="T319" s="51" t="n"/>
      <c r="U319" s="51" t="inlineStr"/>
      <c r="V319" s="55" t="n"/>
      <c r="W319" s="51" t="inlineStr"/>
      <c r="X319" s="51" t="inlineStr"/>
      <c r="Y319" s="51" t="n"/>
      <c r="AB319" s="57" t="n"/>
      <c r="AC319" s="90" t="n"/>
      <c r="AD319" s="90" t="n"/>
      <c r="AE319" s="88" t="n"/>
      <c r="AF319" s="91" t="n"/>
      <c r="AG319" s="91" t="n"/>
      <c r="AH319" s="88" t="n"/>
      <c r="AI319" s="88" t="n"/>
      <c r="AJ319" s="90" t="n"/>
      <c r="AK319" s="88" t="n"/>
      <c r="AL319" s="91" t="n"/>
      <c r="AM319" s="88" t="n"/>
      <c r="AN319" s="95" t="n"/>
      <c r="AO319" s="90" t="n"/>
      <c r="AP319" s="90" t="n"/>
    </row>
    <row r="320" ht="14.25" customHeight="1" s="84">
      <c r="A320" s="51" t="n"/>
      <c r="B320" s="47" t="n"/>
      <c r="C320" s="51" t="n"/>
      <c r="D320" s="51" t="n"/>
      <c r="E320" s="51" t="n"/>
      <c r="F320" s="51" t="n"/>
      <c r="G320" s="47" t="n"/>
      <c r="H320" s="51" t="n"/>
      <c r="I320" s="51" t="n"/>
      <c r="J320" s="51" t="n"/>
      <c r="K320" s="51" t="n"/>
      <c r="L320" s="51" t="n"/>
      <c r="N320" s="51" t="n"/>
      <c r="Q320" s="51" t="n"/>
      <c r="S320" s="51" t="n"/>
      <c r="T320" s="51" t="n"/>
      <c r="U320" s="51" t="inlineStr"/>
      <c r="V320" s="55" t="n"/>
      <c r="W320" s="51" t="inlineStr"/>
      <c r="X320" s="51" t="inlineStr"/>
      <c r="Y320" s="51" t="n"/>
      <c r="AB320" s="57" t="n"/>
      <c r="AC320" s="90" t="n"/>
      <c r="AD320" s="90" t="n"/>
      <c r="AE320" s="88" t="n"/>
      <c r="AF320" s="91" t="n"/>
      <c r="AG320" s="91" t="n"/>
      <c r="AH320" s="88" t="n"/>
      <c r="AI320" s="88" t="n"/>
      <c r="AJ320" s="90" t="n"/>
      <c r="AK320" s="88" t="n"/>
      <c r="AL320" s="91" t="n"/>
      <c r="AM320" s="88" t="n"/>
      <c r="AN320" s="95" t="n"/>
      <c r="AO320" s="90" t="n"/>
      <c r="AP320" s="90" t="n"/>
    </row>
    <row r="321" ht="14.25" customHeight="1" s="84">
      <c r="A321" s="51" t="n"/>
      <c r="B321" s="47" t="n"/>
      <c r="C321" s="51" t="n"/>
      <c r="D321" s="51" t="n"/>
      <c r="E321" s="51" t="n"/>
      <c r="F321" s="51" t="n"/>
      <c r="G321" s="47" t="n"/>
      <c r="H321" s="51" t="n"/>
      <c r="I321" s="51" t="n"/>
      <c r="J321" s="51" t="n"/>
      <c r="K321" s="51" t="n"/>
      <c r="L321" s="51" t="n"/>
      <c r="N321" s="51" t="n"/>
      <c r="Q321" s="51" t="n"/>
      <c r="S321" s="51" t="n"/>
      <c r="T321" s="51" t="n"/>
      <c r="U321" s="51" t="inlineStr"/>
      <c r="V321" s="55" t="n"/>
      <c r="W321" s="51" t="inlineStr"/>
      <c r="X321" s="51" t="inlineStr"/>
      <c r="Y321" s="51" t="n"/>
      <c r="AB321" s="57" t="n"/>
      <c r="AC321" s="90" t="n"/>
      <c r="AD321" s="90" t="n"/>
      <c r="AE321" s="88" t="n"/>
      <c r="AF321" s="91" t="n"/>
      <c r="AG321" s="91" t="n"/>
      <c r="AH321" s="88" t="n"/>
      <c r="AI321" s="88" t="n"/>
      <c r="AJ321" s="90" t="n"/>
      <c r="AK321" s="88" t="n"/>
      <c r="AL321" s="91" t="n"/>
      <c r="AM321" s="88" t="n"/>
      <c r="AN321" s="95" t="n"/>
      <c r="AO321" s="90" t="n"/>
      <c r="AP321" s="90" t="n"/>
    </row>
    <row r="322" ht="14.25" customHeight="1" s="84">
      <c r="A322" s="51" t="n"/>
      <c r="B322" s="47" t="n"/>
      <c r="C322" s="51" t="n"/>
      <c r="D322" s="51" t="n"/>
      <c r="E322" s="51" t="n"/>
      <c r="F322" s="51" t="n"/>
      <c r="G322" s="47" t="n"/>
      <c r="H322" s="51" t="n"/>
      <c r="I322" s="51" t="n"/>
      <c r="J322" s="51" t="n"/>
      <c r="K322" s="51" t="n"/>
      <c r="L322" s="51" t="n"/>
      <c r="N322" s="51" t="n"/>
      <c r="Q322" s="51" t="n"/>
      <c r="S322" s="51" t="n"/>
      <c r="T322" s="51" t="n"/>
      <c r="U322" s="51" t="inlineStr"/>
      <c r="V322" s="55" t="n"/>
      <c r="W322" s="51" t="inlineStr"/>
      <c r="X322" s="51" t="inlineStr"/>
      <c r="Y322" s="51" t="n"/>
      <c r="AB322" s="57" t="n"/>
      <c r="AC322" s="90" t="n"/>
      <c r="AD322" s="90" t="n"/>
      <c r="AE322" s="88" t="n"/>
      <c r="AF322" s="91" t="n"/>
      <c r="AG322" s="91" t="n"/>
      <c r="AH322" s="88" t="n"/>
      <c r="AI322" s="88" t="n"/>
      <c r="AJ322" s="90" t="n"/>
      <c r="AK322" s="88" t="n"/>
      <c r="AL322" s="91" t="n"/>
      <c r="AM322" s="88" t="n"/>
      <c r="AN322" s="95" t="n"/>
      <c r="AO322" s="90" t="n"/>
      <c r="AP322" s="90" t="n"/>
    </row>
    <row r="323" ht="14.25" customHeight="1" s="84">
      <c r="A323" s="51" t="n"/>
      <c r="B323" s="47" t="n"/>
      <c r="C323" s="51" t="n"/>
      <c r="D323" s="51" t="n"/>
      <c r="E323" s="51" t="n"/>
      <c r="F323" s="51" t="n"/>
      <c r="G323" s="47" t="n"/>
      <c r="H323" s="51" t="n"/>
      <c r="I323" s="51" t="n"/>
      <c r="J323" s="51" t="n"/>
      <c r="K323" s="51" t="n"/>
      <c r="L323" s="51" t="n"/>
      <c r="N323" s="51" t="n"/>
      <c r="Q323" s="51" t="n"/>
      <c r="S323" s="51" t="n"/>
      <c r="T323" s="51" t="n"/>
      <c r="U323" s="51" t="inlineStr"/>
      <c r="V323" s="55" t="n"/>
      <c r="W323" s="51" t="inlineStr"/>
      <c r="X323" s="51" t="inlineStr"/>
      <c r="Y323" s="51" t="n"/>
      <c r="AB323" s="57" t="n"/>
      <c r="AC323" s="90" t="n"/>
      <c r="AD323" s="90" t="n"/>
      <c r="AE323" s="88" t="n"/>
      <c r="AF323" s="91" t="n"/>
      <c r="AG323" s="91" t="n"/>
      <c r="AH323" s="88" t="n"/>
      <c r="AI323" s="88" t="n"/>
      <c r="AJ323" s="90" t="n"/>
      <c r="AK323" s="88" t="n"/>
      <c r="AL323" s="91" t="n"/>
      <c r="AM323" s="88" t="n"/>
      <c r="AN323" s="95" t="n"/>
      <c r="AO323" s="90" t="n"/>
      <c r="AP323" s="90" t="n"/>
    </row>
    <row r="324" ht="14.25" customHeight="1" s="84">
      <c r="A324" s="51" t="n"/>
      <c r="B324" s="47" t="n"/>
      <c r="C324" s="51" t="n"/>
      <c r="D324" s="51" t="n"/>
      <c r="E324" s="51" t="n"/>
      <c r="F324" s="51" t="n"/>
      <c r="G324" s="47" t="n"/>
      <c r="H324" s="51" t="n"/>
      <c r="I324" s="51" t="n"/>
      <c r="J324" s="51" t="n"/>
      <c r="K324" s="51" t="n"/>
      <c r="L324" s="51" t="n"/>
      <c r="N324" s="51" t="n"/>
      <c r="Q324" s="51" t="n"/>
      <c r="S324" s="51" t="n"/>
      <c r="T324" s="51" t="n"/>
      <c r="U324" s="51" t="inlineStr"/>
      <c r="V324" s="55" t="n"/>
      <c r="W324" s="51" t="inlineStr"/>
      <c r="X324" s="51" t="inlineStr"/>
      <c r="Y324" s="51" t="n"/>
      <c r="AB324" s="57" t="n"/>
      <c r="AC324" s="90" t="n"/>
      <c r="AD324" s="90" t="n"/>
      <c r="AE324" s="88" t="n"/>
      <c r="AF324" s="91" t="n"/>
      <c r="AG324" s="91" t="n"/>
      <c r="AH324" s="88" t="n"/>
      <c r="AI324" s="88" t="n"/>
      <c r="AJ324" s="90" t="n"/>
      <c r="AK324" s="88" t="n"/>
      <c r="AL324" s="91" t="n"/>
      <c r="AM324" s="88" t="n"/>
      <c r="AN324" s="95" t="n"/>
      <c r="AO324" s="90" t="n"/>
      <c r="AP324" s="90" t="n"/>
    </row>
    <row r="325" ht="14.25" customHeight="1" s="84">
      <c r="A325" s="51" t="n"/>
      <c r="B325" s="47" t="n"/>
      <c r="C325" s="51" t="n"/>
      <c r="D325" s="51" t="n"/>
      <c r="E325" s="51" t="n"/>
      <c r="F325" s="51" t="n"/>
      <c r="G325" s="47" t="n"/>
      <c r="H325" s="51" t="n"/>
      <c r="I325" s="51" t="n"/>
      <c r="J325" s="51" t="n"/>
      <c r="K325" s="51" t="n"/>
      <c r="L325" s="51" t="n"/>
      <c r="N325" s="51" t="n"/>
      <c r="Q325" s="51" t="n"/>
      <c r="S325" s="51" t="n"/>
      <c r="T325" s="51" t="n"/>
      <c r="U325" s="51" t="inlineStr"/>
      <c r="V325" s="55" t="n"/>
      <c r="W325" s="51" t="inlineStr"/>
      <c r="X325" s="51" t="inlineStr"/>
      <c r="Y325" s="51" t="n"/>
      <c r="AB325" s="57" t="n"/>
      <c r="AC325" s="90" t="n"/>
      <c r="AD325" s="90" t="n"/>
      <c r="AE325" s="88" t="n"/>
      <c r="AF325" s="91" t="n"/>
      <c r="AG325" s="91" t="n"/>
      <c r="AH325" s="88" t="n"/>
      <c r="AI325" s="88" t="n"/>
      <c r="AJ325" s="90" t="n"/>
      <c r="AK325" s="88" t="n"/>
      <c r="AL325" s="91" t="n"/>
      <c r="AM325" s="88" t="n"/>
      <c r="AN325" s="95" t="n"/>
      <c r="AO325" s="90" t="n"/>
      <c r="AP325" s="90" t="n"/>
    </row>
    <row r="326" ht="14.25" customHeight="1" s="84">
      <c r="A326" s="51" t="n"/>
      <c r="B326" s="47" t="n"/>
      <c r="C326" s="51" t="n"/>
      <c r="D326" s="51" t="n"/>
      <c r="E326" s="51" t="n"/>
      <c r="F326" s="51" t="n"/>
      <c r="G326" s="47" t="n"/>
      <c r="H326" s="51" t="n"/>
      <c r="I326" s="51" t="n"/>
      <c r="J326" s="51" t="n"/>
      <c r="K326" s="51" t="n"/>
      <c r="L326" s="51" t="n"/>
      <c r="N326" s="51" t="n"/>
      <c r="Q326" s="51" t="n"/>
      <c r="S326" s="51" t="n"/>
      <c r="T326" s="51" t="n"/>
      <c r="U326" s="51" t="inlineStr"/>
      <c r="V326" s="55" t="n"/>
      <c r="W326" s="51" t="inlineStr"/>
      <c r="X326" s="51" t="inlineStr"/>
      <c r="Y326" s="51" t="n"/>
      <c r="AB326" s="57" t="n"/>
      <c r="AC326" s="90" t="n"/>
      <c r="AD326" s="90" t="n"/>
      <c r="AE326" s="88" t="n"/>
      <c r="AF326" s="91" t="n"/>
      <c r="AG326" s="91" t="n"/>
      <c r="AH326" s="88" t="n"/>
      <c r="AI326" s="88" t="n"/>
      <c r="AJ326" s="90" t="n"/>
      <c r="AK326" s="88" t="n"/>
      <c r="AL326" s="91" t="n"/>
      <c r="AM326" s="88" t="n"/>
      <c r="AN326" s="95" t="n"/>
      <c r="AO326" s="90" t="n"/>
      <c r="AP326" s="90" t="n"/>
    </row>
    <row r="327" ht="14.25" customHeight="1" s="84">
      <c r="A327" s="51" t="n"/>
      <c r="B327" s="47" t="n"/>
      <c r="C327" s="51" t="n"/>
      <c r="D327" s="51" t="n"/>
      <c r="E327" s="51" t="n"/>
      <c r="F327" s="51" t="n"/>
      <c r="G327" s="47" t="n"/>
      <c r="H327" s="51" t="n"/>
      <c r="I327" s="51" t="n"/>
      <c r="J327" s="51" t="n"/>
      <c r="K327" s="51" t="n"/>
      <c r="L327" s="51" t="n"/>
      <c r="N327" s="51" t="n"/>
      <c r="Q327" s="51" t="n"/>
      <c r="S327" s="51" t="n"/>
      <c r="T327" s="51" t="n"/>
      <c r="U327" s="51" t="inlineStr"/>
      <c r="V327" s="55" t="n"/>
      <c r="W327" s="51" t="inlineStr"/>
      <c r="X327" s="51" t="inlineStr"/>
      <c r="Y327" s="51" t="n"/>
      <c r="AB327" s="57" t="n"/>
      <c r="AC327" s="90" t="n"/>
      <c r="AD327" s="90" t="n"/>
      <c r="AE327" s="88" t="n"/>
      <c r="AF327" s="91" t="n"/>
      <c r="AG327" s="91" t="n"/>
      <c r="AH327" s="88" t="n"/>
      <c r="AI327" s="88" t="n"/>
      <c r="AJ327" s="90" t="n"/>
      <c r="AK327" s="88" t="n"/>
      <c r="AL327" s="91" t="n"/>
      <c r="AM327" s="88" t="n"/>
      <c r="AN327" s="95" t="n"/>
      <c r="AO327" s="90" t="n"/>
      <c r="AP327" s="90" t="n"/>
    </row>
    <row r="328" ht="14.25" customHeight="1" s="84">
      <c r="A328" s="51" t="n"/>
      <c r="B328" s="47" t="n"/>
      <c r="C328" s="51" t="n"/>
      <c r="D328" s="51" t="n"/>
      <c r="E328" s="51" t="n"/>
      <c r="F328" s="51" t="n"/>
      <c r="G328" s="47" t="n"/>
      <c r="H328" s="51" t="n"/>
      <c r="I328" s="51" t="n"/>
      <c r="J328" s="51" t="n"/>
      <c r="K328" s="51" t="n"/>
      <c r="L328" s="51" t="n"/>
      <c r="N328" s="51" t="n"/>
      <c r="Q328" s="51" t="n"/>
      <c r="S328" s="51" t="n"/>
      <c r="T328" s="51" t="n"/>
      <c r="U328" s="51" t="inlineStr"/>
      <c r="V328" s="55" t="n"/>
      <c r="W328" s="51" t="inlineStr"/>
      <c r="X328" s="51" t="inlineStr"/>
      <c r="Y328" s="51" t="n"/>
      <c r="AB328" s="57" t="n"/>
      <c r="AC328" s="90" t="n"/>
      <c r="AD328" s="90" t="n"/>
      <c r="AE328" s="88" t="n"/>
      <c r="AF328" s="91" t="n"/>
      <c r="AG328" s="91" t="n"/>
      <c r="AH328" s="88" t="n"/>
      <c r="AI328" s="88" t="n"/>
      <c r="AJ328" s="90" t="n"/>
      <c r="AK328" s="88" t="n"/>
      <c r="AL328" s="91" t="n"/>
      <c r="AM328" s="88" t="n"/>
      <c r="AN328" s="95" t="n"/>
      <c r="AO328" s="90" t="n"/>
      <c r="AP328" s="90" t="n"/>
    </row>
    <row r="329" ht="14.25" customHeight="1" s="84">
      <c r="A329" s="51" t="n"/>
      <c r="B329" s="47" t="n"/>
      <c r="C329" s="51" t="n"/>
      <c r="D329" s="51" t="n"/>
      <c r="E329" s="51" t="n"/>
      <c r="F329" s="51" t="n"/>
      <c r="G329" s="47" t="n"/>
      <c r="H329" s="51" t="n"/>
      <c r="I329" s="51" t="n"/>
      <c r="J329" s="51" t="n"/>
      <c r="K329" s="51" t="n"/>
      <c r="L329" s="51" t="n"/>
      <c r="N329" s="51" t="n"/>
      <c r="Q329" s="51" t="n"/>
      <c r="S329" s="51" t="n"/>
      <c r="T329" s="51" t="n"/>
      <c r="U329" s="51" t="inlineStr"/>
      <c r="V329" s="55" t="n"/>
      <c r="W329" s="51" t="inlineStr"/>
      <c r="X329" s="51" t="inlineStr"/>
      <c r="Y329" s="51" t="n"/>
      <c r="AB329" s="57" t="n"/>
      <c r="AC329" s="90" t="n"/>
      <c r="AD329" s="90" t="n"/>
      <c r="AE329" s="88" t="n"/>
      <c r="AF329" s="91" t="n"/>
      <c r="AG329" s="91" t="n"/>
      <c r="AH329" s="88" t="n"/>
      <c r="AI329" s="88" t="n"/>
      <c r="AJ329" s="90" t="n"/>
      <c r="AK329" s="88" t="n"/>
      <c r="AL329" s="91" t="n"/>
      <c r="AM329" s="88" t="n"/>
      <c r="AN329" s="95" t="n"/>
      <c r="AO329" s="90" t="n"/>
      <c r="AP329" s="90" t="n"/>
    </row>
    <row r="330" ht="14.25" customHeight="1" s="84">
      <c r="A330" s="51" t="n"/>
      <c r="B330" s="47" t="n"/>
      <c r="C330" s="51" t="n"/>
      <c r="D330" s="51" t="n"/>
      <c r="E330" s="51" t="n"/>
      <c r="F330" s="51" t="n"/>
      <c r="G330" s="47" t="n"/>
      <c r="H330" s="51" t="n"/>
      <c r="I330" s="51" t="n"/>
      <c r="J330" s="51" t="n"/>
      <c r="K330" s="51" t="n"/>
      <c r="L330" s="51" t="n"/>
      <c r="N330" s="51" t="n"/>
      <c r="Q330" s="51" t="n"/>
      <c r="S330" s="51" t="n"/>
      <c r="T330" s="51" t="n"/>
      <c r="U330" s="51" t="inlineStr"/>
      <c r="V330" s="55" t="n"/>
      <c r="W330" s="51" t="inlineStr"/>
      <c r="X330" s="51" t="inlineStr"/>
      <c r="Y330" s="51" t="n"/>
      <c r="AB330" s="57" t="n"/>
      <c r="AC330" s="90" t="n"/>
      <c r="AD330" s="90" t="n"/>
      <c r="AE330" s="88" t="n"/>
      <c r="AF330" s="91" t="n"/>
      <c r="AG330" s="91" t="n"/>
      <c r="AH330" s="88" t="n"/>
      <c r="AI330" s="88" t="n"/>
      <c r="AJ330" s="90" t="n"/>
      <c r="AK330" s="88" t="n"/>
      <c r="AL330" s="91" t="n"/>
      <c r="AM330" s="88" t="n"/>
      <c r="AN330" s="95" t="n"/>
      <c r="AO330" s="90" t="n"/>
      <c r="AP330" s="90" t="n"/>
    </row>
    <row r="331" ht="14.25" customHeight="1" s="84">
      <c r="A331" s="51" t="n"/>
      <c r="B331" s="47" t="n"/>
      <c r="C331" s="51" t="n"/>
      <c r="D331" s="51" t="n"/>
      <c r="E331" s="51" t="n"/>
      <c r="F331" s="51" t="n"/>
      <c r="G331" s="47" t="n"/>
      <c r="H331" s="51" t="n"/>
      <c r="I331" s="51" t="n"/>
      <c r="J331" s="51" t="n"/>
      <c r="K331" s="51" t="n"/>
      <c r="L331" s="51" t="n"/>
      <c r="N331" s="51" t="n"/>
      <c r="Q331" s="51" t="n"/>
      <c r="S331" s="51" t="n"/>
      <c r="T331" s="51" t="n"/>
      <c r="U331" s="51" t="inlineStr"/>
      <c r="V331" s="55" t="n"/>
      <c r="W331" s="51" t="inlineStr"/>
      <c r="X331" s="51" t="inlineStr"/>
      <c r="Y331" s="51" t="n"/>
      <c r="AB331" s="57" t="n"/>
      <c r="AC331" s="90" t="n"/>
      <c r="AD331" s="90" t="n"/>
      <c r="AE331" s="88" t="n"/>
      <c r="AF331" s="91" t="n"/>
      <c r="AG331" s="91" t="n"/>
      <c r="AH331" s="88" t="n"/>
      <c r="AI331" s="88" t="n"/>
      <c r="AJ331" s="90" t="n"/>
      <c r="AK331" s="88" t="n"/>
      <c r="AL331" s="91" t="n"/>
      <c r="AM331" s="88" t="n"/>
      <c r="AN331" s="95" t="n"/>
      <c r="AO331" s="90" t="n"/>
      <c r="AP331" s="90" t="n"/>
    </row>
    <row r="332" ht="14.25" customHeight="1" s="84">
      <c r="A332" s="51" t="n"/>
      <c r="B332" s="47" t="n"/>
      <c r="C332" s="51" t="n"/>
      <c r="D332" s="51" t="n"/>
      <c r="E332" s="51" t="n"/>
      <c r="F332" s="51" t="n"/>
      <c r="G332" s="47" t="n"/>
      <c r="H332" s="51" t="n"/>
      <c r="I332" s="51" t="n"/>
      <c r="J332" s="51" t="n"/>
      <c r="K332" s="51" t="n"/>
      <c r="L332" s="51" t="n"/>
      <c r="N332" s="51" t="n"/>
      <c r="Q332" s="51" t="n"/>
      <c r="S332" s="51" t="n"/>
      <c r="T332" s="51" t="n"/>
      <c r="U332" s="51" t="inlineStr"/>
      <c r="V332" s="55" t="n"/>
      <c r="W332" s="51" t="inlineStr"/>
      <c r="X332" s="51" t="inlineStr"/>
      <c r="Y332" s="51" t="n"/>
      <c r="AB332" s="57" t="n"/>
      <c r="AC332" s="90" t="n"/>
      <c r="AD332" s="90" t="n"/>
      <c r="AE332" s="88" t="n"/>
      <c r="AF332" s="91" t="n"/>
      <c r="AG332" s="91" t="n"/>
      <c r="AH332" s="88" t="n"/>
      <c r="AI332" s="88" t="n"/>
      <c r="AJ332" s="90" t="n"/>
      <c r="AK332" s="88" t="n"/>
      <c r="AL332" s="91" t="n"/>
      <c r="AM332" s="88" t="n"/>
      <c r="AN332" s="95" t="n"/>
      <c r="AO332" s="90" t="n"/>
      <c r="AP332" s="90" t="n"/>
    </row>
    <row r="333" ht="14.25" customHeight="1" s="84">
      <c r="A333" s="51" t="n"/>
      <c r="B333" s="47" t="n"/>
      <c r="C333" s="51" t="n"/>
      <c r="D333" s="51" t="n"/>
      <c r="E333" s="51" t="n"/>
      <c r="F333" s="51" t="n"/>
      <c r="G333" s="47" t="n"/>
      <c r="H333" s="51" t="n"/>
      <c r="I333" s="51" t="n"/>
      <c r="J333" s="51" t="n"/>
      <c r="K333" s="51" t="n"/>
      <c r="L333" s="51" t="n"/>
      <c r="N333" s="51" t="n"/>
      <c r="Q333" s="51" t="n"/>
      <c r="S333" s="51" t="n"/>
      <c r="T333" s="51" t="n"/>
      <c r="U333" s="51" t="inlineStr"/>
      <c r="V333" s="55" t="n"/>
      <c r="W333" s="51" t="inlineStr"/>
      <c r="X333" s="51" t="inlineStr"/>
      <c r="Y333" s="51" t="n"/>
      <c r="AB333" s="57" t="n"/>
      <c r="AC333" s="90" t="n"/>
      <c r="AD333" s="90" t="n"/>
      <c r="AE333" s="88" t="n"/>
      <c r="AF333" s="91" t="n"/>
      <c r="AG333" s="91" t="n"/>
      <c r="AH333" s="88" t="n"/>
      <c r="AI333" s="88" t="n"/>
      <c r="AJ333" s="90" t="n"/>
      <c r="AK333" s="88" t="n"/>
      <c r="AL333" s="91" t="n"/>
      <c r="AM333" s="88" t="n"/>
      <c r="AN333" s="95" t="n"/>
      <c r="AO333" s="90" t="n"/>
      <c r="AP333" s="90" t="n"/>
    </row>
    <row r="334" ht="14.25" customHeight="1" s="84">
      <c r="A334" s="51" t="n"/>
      <c r="B334" s="47" t="n"/>
      <c r="C334" s="51" t="n"/>
      <c r="D334" s="51" t="n"/>
      <c r="E334" s="51" t="n"/>
      <c r="F334" s="51" t="n"/>
      <c r="G334" s="47" t="n"/>
      <c r="H334" s="51" t="n"/>
      <c r="I334" s="51" t="n"/>
      <c r="J334" s="51" t="n"/>
      <c r="K334" s="51" t="n"/>
      <c r="L334" s="51" t="n"/>
      <c r="N334" s="51" t="n"/>
      <c r="Q334" s="51" t="n"/>
      <c r="S334" s="51" t="n"/>
      <c r="T334" s="51" t="n"/>
      <c r="U334" s="51" t="inlineStr"/>
      <c r="V334" s="55" t="n"/>
      <c r="W334" s="51" t="inlineStr"/>
      <c r="X334" s="51" t="inlineStr"/>
      <c r="Y334" s="51" t="n"/>
      <c r="AB334" s="57" t="n"/>
      <c r="AC334" s="90" t="n"/>
      <c r="AD334" s="90" t="n"/>
      <c r="AE334" s="88" t="n"/>
      <c r="AF334" s="91" t="n"/>
      <c r="AG334" s="91" t="n"/>
      <c r="AH334" s="88" t="n"/>
      <c r="AI334" s="88" t="n"/>
      <c r="AJ334" s="90" t="n"/>
      <c r="AK334" s="88" t="n"/>
      <c r="AL334" s="91" t="n"/>
      <c r="AM334" s="88" t="n"/>
      <c r="AN334" s="95" t="n"/>
      <c r="AO334" s="90" t="n"/>
      <c r="AP334" s="90" t="n"/>
    </row>
    <row r="335" ht="14.25" customHeight="1" s="84">
      <c r="A335" s="51" t="n"/>
      <c r="B335" s="47" t="n"/>
      <c r="C335" s="51" t="n"/>
      <c r="D335" s="51" t="n"/>
      <c r="E335" s="51" t="n"/>
      <c r="F335" s="51" t="n"/>
      <c r="G335" s="47" t="n"/>
      <c r="H335" s="51" t="n"/>
      <c r="I335" s="51" t="n"/>
      <c r="J335" s="51" t="n"/>
      <c r="K335" s="51" t="n"/>
      <c r="L335" s="51" t="n"/>
      <c r="N335" s="51" t="n"/>
      <c r="Q335" s="51" t="n"/>
      <c r="S335" s="51" t="n"/>
      <c r="T335" s="51" t="n"/>
      <c r="U335" s="51" t="inlineStr"/>
      <c r="V335" s="55" t="n"/>
      <c r="W335" s="51" t="inlineStr"/>
      <c r="X335" s="51" t="inlineStr"/>
      <c r="Y335" s="51" t="n"/>
      <c r="AB335" s="57" t="n"/>
      <c r="AC335" s="90" t="n"/>
      <c r="AD335" s="90" t="n"/>
      <c r="AE335" s="88" t="n"/>
      <c r="AF335" s="91" t="n"/>
      <c r="AG335" s="91" t="n"/>
      <c r="AH335" s="88" t="n"/>
      <c r="AI335" s="88" t="n"/>
      <c r="AJ335" s="90" t="n"/>
      <c r="AK335" s="88" t="n"/>
      <c r="AL335" s="91" t="n"/>
      <c r="AM335" s="88" t="n"/>
      <c r="AN335" s="95" t="n"/>
      <c r="AO335" s="90" t="n"/>
      <c r="AP335" s="90" t="n"/>
    </row>
    <row r="336" ht="14.25" customHeight="1" s="84">
      <c r="A336" s="51" t="n"/>
      <c r="B336" s="47" t="n"/>
      <c r="C336" s="51" t="n"/>
      <c r="D336" s="51" t="n"/>
      <c r="E336" s="51" t="n"/>
      <c r="F336" s="51" t="n"/>
      <c r="G336" s="47" t="n"/>
      <c r="H336" s="51" t="n"/>
      <c r="I336" s="51" t="n"/>
      <c r="J336" s="51" t="n"/>
      <c r="K336" s="51" t="n"/>
      <c r="L336" s="51" t="n"/>
      <c r="N336" s="51" t="n"/>
      <c r="Q336" s="51" t="n"/>
      <c r="S336" s="51" t="n"/>
      <c r="T336" s="51" t="n"/>
      <c r="U336" s="51" t="inlineStr"/>
      <c r="V336" s="55" t="n"/>
      <c r="W336" s="51" t="inlineStr"/>
      <c r="X336" s="51" t="inlineStr"/>
      <c r="Y336" s="51" t="n"/>
      <c r="AB336" s="57" t="n"/>
      <c r="AC336" s="90" t="n"/>
      <c r="AD336" s="90" t="n"/>
      <c r="AE336" s="88" t="n"/>
      <c r="AF336" s="91" t="n"/>
      <c r="AG336" s="91" t="n"/>
      <c r="AH336" s="88" t="n"/>
      <c r="AI336" s="88" t="n"/>
      <c r="AJ336" s="90" t="n"/>
      <c r="AK336" s="88" t="n"/>
      <c r="AL336" s="91" t="n"/>
      <c r="AM336" s="88" t="n"/>
      <c r="AN336" s="95" t="n"/>
      <c r="AO336" s="90" t="n"/>
      <c r="AP336" s="90" t="n"/>
    </row>
    <row r="337" ht="14.25" customHeight="1" s="84">
      <c r="A337" s="51" t="n"/>
      <c r="B337" s="47" t="n"/>
      <c r="C337" s="51" t="n"/>
      <c r="D337" s="51" t="n"/>
      <c r="E337" s="51" t="n"/>
      <c r="F337" s="51" t="n"/>
      <c r="G337" s="47" t="n"/>
      <c r="H337" s="51" t="n"/>
      <c r="I337" s="51" t="n"/>
      <c r="J337" s="51" t="n"/>
      <c r="K337" s="51" t="n"/>
      <c r="L337" s="51" t="n"/>
      <c r="N337" s="51" t="n"/>
      <c r="Q337" s="51" t="n"/>
      <c r="S337" s="51" t="n"/>
      <c r="T337" s="51" t="n"/>
      <c r="U337" s="51" t="inlineStr"/>
      <c r="V337" s="55" t="n"/>
      <c r="W337" s="51" t="inlineStr"/>
      <c r="X337" s="51" t="inlineStr"/>
      <c r="Y337" s="51" t="n"/>
      <c r="AB337" s="57" t="n"/>
      <c r="AC337" s="90" t="n"/>
      <c r="AD337" s="90" t="n"/>
      <c r="AE337" s="88" t="n"/>
      <c r="AF337" s="91" t="n"/>
      <c r="AG337" s="91" t="n"/>
      <c r="AH337" s="88" t="n"/>
      <c r="AI337" s="88" t="n"/>
      <c r="AJ337" s="90" t="n"/>
      <c r="AK337" s="88" t="n"/>
      <c r="AL337" s="91" t="n"/>
      <c r="AM337" s="88" t="n"/>
      <c r="AN337" s="95" t="n"/>
      <c r="AO337" s="90" t="n"/>
      <c r="AP337" s="90" t="n"/>
    </row>
    <row r="338" ht="14.25" customHeight="1" s="84">
      <c r="A338" s="51" t="n"/>
      <c r="B338" s="47" t="n"/>
      <c r="C338" s="51" t="n"/>
      <c r="D338" s="51" t="n"/>
      <c r="E338" s="51" t="n"/>
      <c r="F338" s="51" t="n"/>
      <c r="G338" s="47" t="n"/>
      <c r="H338" s="51" t="n"/>
      <c r="I338" s="51" t="n"/>
      <c r="J338" s="51" t="n"/>
      <c r="K338" s="51" t="n"/>
      <c r="L338" s="51" t="n"/>
      <c r="N338" s="51" t="n"/>
      <c r="Q338" s="51" t="n"/>
      <c r="S338" s="51" t="n"/>
      <c r="T338" s="51" t="n"/>
      <c r="U338" s="51" t="inlineStr"/>
      <c r="V338" s="55" t="n"/>
      <c r="W338" s="51" t="inlineStr"/>
      <c r="X338" s="51" t="inlineStr"/>
      <c r="Y338" s="51" t="n"/>
      <c r="AB338" s="57" t="n"/>
      <c r="AC338" s="90" t="n"/>
      <c r="AD338" s="90" t="n"/>
      <c r="AE338" s="88" t="n"/>
      <c r="AF338" s="91" t="n"/>
      <c r="AG338" s="91" t="n"/>
      <c r="AH338" s="88" t="n"/>
      <c r="AI338" s="88" t="n"/>
      <c r="AJ338" s="90" t="n"/>
      <c r="AK338" s="88" t="n"/>
      <c r="AL338" s="91" t="n"/>
      <c r="AM338" s="88" t="n"/>
      <c r="AN338" s="95" t="n"/>
      <c r="AO338" s="90" t="n"/>
      <c r="AP338" s="90" t="n"/>
    </row>
    <row r="339" ht="14.25" customHeight="1" s="84">
      <c r="A339" s="51" t="n"/>
      <c r="B339" s="47" t="n"/>
      <c r="C339" s="51" t="n"/>
      <c r="D339" s="51" t="n"/>
      <c r="E339" s="51" t="n"/>
      <c r="F339" s="51" t="n"/>
      <c r="G339" s="47" t="n"/>
      <c r="H339" s="51" t="n"/>
      <c r="I339" s="51" t="n"/>
      <c r="J339" s="51" t="n"/>
      <c r="K339" s="51" t="n"/>
      <c r="L339" s="51" t="n"/>
      <c r="N339" s="51" t="n"/>
      <c r="Q339" s="51" t="n"/>
      <c r="S339" s="51" t="n"/>
      <c r="T339" s="51" t="n"/>
      <c r="U339" s="51" t="inlineStr"/>
      <c r="V339" s="55" t="n"/>
      <c r="W339" s="51" t="inlineStr"/>
      <c r="X339" s="51" t="inlineStr"/>
      <c r="Y339" s="51" t="n"/>
      <c r="AB339" s="57" t="n"/>
      <c r="AC339" s="90" t="n"/>
      <c r="AD339" s="90" t="n"/>
      <c r="AE339" s="88" t="n"/>
      <c r="AF339" s="91" t="n"/>
      <c r="AG339" s="91" t="n"/>
      <c r="AH339" s="88" t="n"/>
      <c r="AI339" s="88" t="n"/>
      <c r="AJ339" s="90" t="n"/>
      <c r="AK339" s="88" t="n"/>
      <c r="AL339" s="91" t="n"/>
      <c r="AM339" s="88" t="n"/>
      <c r="AN339" s="95" t="n"/>
      <c r="AO339" s="90" t="n"/>
      <c r="AP339" s="90" t="n"/>
    </row>
    <row r="340" ht="14.25" customHeight="1" s="84">
      <c r="A340" s="51" t="n"/>
      <c r="B340" s="47" t="n"/>
      <c r="C340" s="51" t="n"/>
      <c r="D340" s="51" t="n"/>
      <c r="E340" s="51" t="n"/>
      <c r="F340" s="51" t="n"/>
      <c r="G340" s="47" t="n"/>
      <c r="H340" s="51" t="n"/>
      <c r="I340" s="51" t="n"/>
      <c r="J340" s="51" t="n"/>
      <c r="K340" s="51" t="n"/>
      <c r="L340" s="51" t="n"/>
      <c r="N340" s="51" t="n"/>
      <c r="Q340" s="51" t="n"/>
      <c r="S340" s="51" t="n"/>
      <c r="T340" s="51" t="n"/>
      <c r="U340" s="51" t="inlineStr"/>
      <c r="V340" s="55" t="n"/>
      <c r="W340" s="51" t="inlineStr"/>
      <c r="X340" s="51" t="inlineStr"/>
      <c r="Y340" s="51" t="n"/>
      <c r="AB340" s="57" t="n"/>
      <c r="AC340" s="90" t="n"/>
      <c r="AD340" s="90" t="n"/>
      <c r="AE340" s="88" t="n"/>
      <c r="AF340" s="91" t="n"/>
      <c r="AG340" s="91" t="n"/>
      <c r="AH340" s="88" t="n"/>
      <c r="AI340" s="88" t="n"/>
      <c r="AJ340" s="90" t="n"/>
      <c r="AK340" s="88" t="n"/>
      <c r="AL340" s="91" t="n"/>
      <c r="AM340" s="88" t="n"/>
      <c r="AN340" s="95" t="n"/>
      <c r="AO340" s="90" t="n"/>
      <c r="AP340" s="90" t="n"/>
    </row>
    <row r="341" ht="14.25" customHeight="1" s="84">
      <c r="A341" s="51" t="n"/>
      <c r="B341" s="47" t="n"/>
      <c r="C341" s="51" t="n"/>
      <c r="D341" s="51" t="n"/>
      <c r="E341" s="51" t="n"/>
      <c r="F341" s="51" t="n"/>
      <c r="G341" s="47" t="n"/>
      <c r="H341" s="51" t="n"/>
      <c r="I341" s="51" t="n"/>
      <c r="J341" s="51" t="n"/>
      <c r="K341" s="51" t="n"/>
      <c r="L341" s="51" t="n"/>
      <c r="N341" s="51" t="n"/>
      <c r="Q341" s="51" t="n"/>
      <c r="S341" s="51" t="n"/>
      <c r="T341" s="51" t="n"/>
      <c r="U341" s="51" t="inlineStr"/>
      <c r="V341" s="55" t="n"/>
      <c r="W341" s="51" t="inlineStr"/>
      <c r="X341" s="51" t="inlineStr"/>
      <c r="Y341" s="51" t="n"/>
      <c r="AB341" s="57" t="n"/>
      <c r="AC341" s="90" t="n"/>
      <c r="AD341" s="90" t="n"/>
      <c r="AE341" s="88" t="n"/>
      <c r="AF341" s="91" t="n"/>
      <c r="AG341" s="91" t="n"/>
      <c r="AH341" s="88" t="n"/>
      <c r="AI341" s="88" t="n"/>
      <c r="AJ341" s="90" t="n"/>
      <c r="AK341" s="88" t="n"/>
      <c r="AL341" s="91" t="n"/>
      <c r="AM341" s="88" t="n"/>
      <c r="AN341" s="95" t="n"/>
      <c r="AO341" s="90" t="n"/>
      <c r="AP341" s="90" t="n"/>
    </row>
    <row r="342" ht="14.25" customHeight="1" s="84">
      <c r="A342" s="51" t="n"/>
      <c r="B342" s="47" t="n"/>
      <c r="C342" s="51" t="n"/>
      <c r="D342" s="51" t="n"/>
      <c r="E342" s="51" t="n"/>
      <c r="F342" s="51" t="n"/>
      <c r="G342" s="47" t="n"/>
      <c r="H342" s="51" t="n"/>
      <c r="I342" s="51" t="n"/>
      <c r="J342" s="51" t="n"/>
      <c r="K342" s="51" t="n"/>
      <c r="L342" s="51" t="n"/>
      <c r="N342" s="51" t="n"/>
      <c r="Q342" s="51" t="n"/>
      <c r="S342" s="51" t="n"/>
      <c r="T342" s="51" t="n"/>
      <c r="U342" s="51" t="inlineStr"/>
      <c r="V342" s="55" t="n"/>
      <c r="W342" s="51" t="inlineStr"/>
      <c r="X342" s="51" t="inlineStr"/>
      <c r="Y342" s="51" t="n"/>
      <c r="AB342" s="57" t="n"/>
      <c r="AC342" s="90" t="n"/>
      <c r="AD342" s="90" t="n"/>
      <c r="AE342" s="88" t="n"/>
      <c r="AF342" s="91" t="n"/>
      <c r="AG342" s="91" t="n"/>
      <c r="AH342" s="88" t="n"/>
      <c r="AI342" s="88" t="n"/>
      <c r="AJ342" s="90" t="n"/>
      <c r="AK342" s="88" t="n"/>
      <c r="AL342" s="91" t="n"/>
      <c r="AM342" s="88" t="n"/>
      <c r="AN342" s="95" t="n"/>
      <c r="AO342" s="90" t="n"/>
      <c r="AP342" s="90" t="n"/>
    </row>
    <row r="343" ht="14.25" customHeight="1" s="84">
      <c r="A343" s="51" t="n"/>
      <c r="B343" s="47" t="n"/>
      <c r="C343" s="51" t="n"/>
      <c r="D343" s="51" t="n"/>
      <c r="E343" s="51" t="n"/>
      <c r="F343" s="51" t="n"/>
      <c r="G343" s="47" t="n"/>
      <c r="H343" s="51" t="n"/>
      <c r="I343" s="51" t="n"/>
      <c r="J343" s="51" t="n"/>
      <c r="K343" s="51" t="n"/>
      <c r="L343" s="51" t="n"/>
      <c r="N343" s="51" t="n"/>
      <c r="Q343" s="51" t="n"/>
      <c r="S343" s="51" t="n"/>
      <c r="T343" s="51" t="n"/>
      <c r="U343" s="51" t="inlineStr"/>
      <c r="V343" s="55" t="n"/>
      <c r="W343" s="51" t="inlineStr"/>
      <c r="X343" s="51" t="inlineStr"/>
      <c r="Y343" s="51" t="n"/>
      <c r="AB343" s="57" t="n"/>
      <c r="AC343" s="90" t="n"/>
      <c r="AD343" s="90" t="n"/>
      <c r="AE343" s="88" t="n"/>
      <c r="AF343" s="91" t="n"/>
      <c r="AG343" s="91" t="n"/>
      <c r="AH343" s="88" t="n"/>
      <c r="AI343" s="88" t="n"/>
      <c r="AJ343" s="90" t="n"/>
      <c r="AK343" s="88" t="n"/>
      <c r="AL343" s="91" t="n"/>
      <c r="AM343" s="88" t="n"/>
      <c r="AN343" s="95" t="n"/>
      <c r="AO343" s="90" t="n"/>
      <c r="AP343" s="90" t="n"/>
    </row>
    <row r="344" ht="14.25" customHeight="1" s="84">
      <c r="A344" s="51" t="n"/>
      <c r="B344" s="47" t="n"/>
      <c r="C344" s="51" t="n"/>
      <c r="D344" s="51" t="n"/>
      <c r="E344" s="51" t="n"/>
      <c r="F344" s="51" t="n"/>
      <c r="G344" s="47" t="n"/>
      <c r="H344" s="51" t="n"/>
      <c r="I344" s="51" t="n"/>
      <c r="J344" s="51" t="n"/>
      <c r="K344" s="51" t="n"/>
      <c r="L344" s="51" t="n"/>
      <c r="N344" s="51" t="n"/>
      <c r="Q344" s="51" t="n"/>
      <c r="S344" s="51" t="n"/>
      <c r="T344" s="51" t="n"/>
      <c r="U344" s="51" t="inlineStr"/>
      <c r="V344" s="55" t="n"/>
      <c r="W344" s="51" t="inlineStr"/>
      <c r="X344" s="51" t="inlineStr"/>
      <c r="Y344" s="51" t="n"/>
      <c r="AB344" s="57" t="n"/>
      <c r="AC344" s="90" t="n"/>
      <c r="AD344" s="90" t="n"/>
      <c r="AE344" s="88" t="n"/>
      <c r="AF344" s="91" t="n"/>
      <c r="AG344" s="91" t="n"/>
      <c r="AH344" s="88" t="n"/>
      <c r="AI344" s="88" t="n"/>
      <c r="AJ344" s="90" t="n"/>
      <c r="AK344" s="88" t="n"/>
      <c r="AL344" s="91" t="n"/>
      <c r="AM344" s="88" t="n"/>
      <c r="AN344" s="95" t="n"/>
      <c r="AO344" s="90" t="n"/>
      <c r="AP344" s="90" t="n"/>
    </row>
    <row r="345" ht="14.25" customHeight="1" s="84">
      <c r="A345" s="51" t="n"/>
      <c r="B345" s="47" t="n"/>
      <c r="C345" s="51" t="n"/>
      <c r="D345" s="51" t="n"/>
      <c r="E345" s="51" t="n"/>
      <c r="F345" s="51" t="n"/>
      <c r="G345" s="47" t="n"/>
      <c r="H345" s="51" t="n"/>
      <c r="I345" s="51" t="n"/>
      <c r="J345" s="51" t="n"/>
      <c r="K345" s="51" t="n"/>
      <c r="L345" s="51" t="n"/>
      <c r="N345" s="51" t="n"/>
      <c r="Q345" s="51" t="n"/>
      <c r="S345" s="51" t="n"/>
      <c r="T345" s="51" t="n"/>
      <c r="U345" s="51" t="inlineStr"/>
      <c r="V345" s="55" t="n"/>
      <c r="W345" s="51" t="inlineStr"/>
      <c r="X345" s="51" t="inlineStr"/>
      <c r="Y345" s="51" t="n"/>
      <c r="AB345" s="57" t="n"/>
      <c r="AC345" s="90" t="n"/>
      <c r="AD345" s="90" t="n"/>
      <c r="AE345" s="88" t="n"/>
      <c r="AF345" s="91" t="n"/>
      <c r="AG345" s="91" t="n"/>
      <c r="AH345" s="88" t="n"/>
      <c r="AI345" s="88" t="n"/>
      <c r="AJ345" s="90" t="n"/>
      <c r="AK345" s="88" t="n"/>
      <c r="AL345" s="91" t="n"/>
      <c r="AM345" s="88" t="n"/>
      <c r="AN345" s="95" t="n"/>
      <c r="AO345" s="90" t="n"/>
      <c r="AP345" s="90" t="n"/>
    </row>
    <row r="346" ht="14.25" customHeight="1" s="84">
      <c r="A346" s="51" t="n"/>
      <c r="B346" s="47" t="n"/>
      <c r="C346" s="51" t="n"/>
      <c r="D346" s="51" t="n"/>
      <c r="E346" s="51" t="n"/>
      <c r="F346" s="51" t="n"/>
      <c r="G346" s="47" t="n"/>
      <c r="H346" s="51" t="n"/>
      <c r="I346" s="51" t="n"/>
      <c r="J346" s="51" t="n"/>
      <c r="K346" s="51" t="n"/>
      <c r="L346" s="51" t="n"/>
      <c r="N346" s="51" t="n"/>
      <c r="Q346" s="51" t="n"/>
      <c r="S346" s="51" t="n"/>
      <c r="T346" s="51" t="n"/>
      <c r="U346" s="51" t="inlineStr"/>
      <c r="V346" s="55" t="n"/>
      <c r="W346" s="51" t="inlineStr"/>
      <c r="X346" s="51" t="inlineStr"/>
      <c r="Y346" s="51" t="n"/>
      <c r="AB346" s="57" t="n"/>
      <c r="AC346" s="90" t="n"/>
      <c r="AD346" s="90" t="n"/>
      <c r="AE346" s="88" t="n"/>
      <c r="AF346" s="91" t="n"/>
      <c r="AG346" s="91" t="n"/>
      <c r="AH346" s="88" t="n"/>
      <c r="AI346" s="88" t="n"/>
      <c r="AJ346" s="90" t="n"/>
      <c r="AK346" s="88" t="n"/>
      <c r="AL346" s="91" t="n"/>
      <c r="AM346" s="88" t="n"/>
      <c r="AN346" s="95" t="n"/>
      <c r="AO346" s="90" t="n"/>
      <c r="AP346" s="90" t="n"/>
    </row>
    <row r="347" ht="14.25" customHeight="1" s="84">
      <c r="A347" s="51" t="n"/>
      <c r="B347" s="47" t="n"/>
      <c r="C347" s="51" t="n"/>
      <c r="D347" s="51" t="n"/>
      <c r="E347" s="51" t="n"/>
      <c r="F347" s="51" t="n"/>
      <c r="G347" s="47" t="n"/>
      <c r="H347" s="51" t="n"/>
      <c r="I347" s="51" t="n"/>
      <c r="J347" s="51" t="n"/>
      <c r="K347" s="51" t="n"/>
      <c r="L347" s="51" t="n"/>
      <c r="N347" s="51" t="n"/>
      <c r="Q347" s="51" t="n"/>
      <c r="S347" s="51" t="n"/>
      <c r="T347" s="51" t="n"/>
      <c r="U347" s="51" t="inlineStr"/>
      <c r="V347" s="55" t="n"/>
      <c r="W347" s="51" t="inlineStr"/>
      <c r="X347" s="51" t="inlineStr"/>
      <c r="Y347" s="51" t="n"/>
      <c r="AB347" s="57" t="n"/>
      <c r="AC347" s="90" t="n"/>
      <c r="AD347" s="90" t="n"/>
      <c r="AE347" s="88" t="n"/>
      <c r="AF347" s="91" t="n"/>
      <c r="AG347" s="91" t="n"/>
      <c r="AH347" s="88" t="n"/>
      <c r="AI347" s="88" t="n"/>
      <c r="AJ347" s="90" t="n"/>
      <c r="AK347" s="88" t="n"/>
      <c r="AL347" s="91" t="n"/>
      <c r="AM347" s="88" t="n"/>
      <c r="AN347" s="95" t="n"/>
      <c r="AO347" s="90" t="n"/>
      <c r="AP347" s="90" t="n"/>
    </row>
    <row r="348" ht="14.25" customHeight="1" s="84">
      <c r="A348" s="51" t="n"/>
      <c r="B348" s="47" t="n"/>
      <c r="C348" s="51" t="n"/>
      <c r="D348" s="51" t="n"/>
      <c r="E348" s="51" t="n"/>
      <c r="F348" s="51" t="n"/>
      <c r="G348" s="47" t="n"/>
      <c r="H348" s="51" t="n"/>
      <c r="I348" s="51" t="n"/>
      <c r="J348" s="51" t="n"/>
      <c r="K348" s="51" t="n"/>
      <c r="L348" s="51" t="n"/>
      <c r="N348" s="51" t="n"/>
      <c r="Q348" s="51" t="n"/>
      <c r="S348" s="51" t="n"/>
      <c r="T348" s="51" t="n"/>
      <c r="U348" s="51" t="inlineStr"/>
      <c r="V348" s="55" t="n"/>
      <c r="W348" s="51" t="inlineStr"/>
      <c r="X348" s="51" t="inlineStr"/>
      <c r="Y348" s="51" t="n"/>
      <c r="AB348" s="57" t="n"/>
      <c r="AC348" s="90" t="n"/>
      <c r="AD348" s="90" t="n"/>
      <c r="AE348" s="88" t="n"/>
      <c r="AF348" s="91" t="n"/>
      <c r="AG348" s="91" t="n"/>
      <c r="AH348" s="88" t="n"/>
      <c r="AI348" s="88" t="n"/>
      <c r="AJ348" s="90" t="n"/>
      <c r="AK348" s="88" t="n"/>
      <c r="AL348" s="91" t="n"/>
      <c r="AM348" s="88" t="n"/>
      <c r="AN348" s="95" t="n"/>
      <c r="AO348" s="90" t="n"/>
      <c r="AP348" s="90" t="n"/>
    </row>
    <row r="349" ht="14.25" customHeight="1" s="84">
      <c r="A349" s="51" t="n"/>
      <c r="B349" s="47" t="n"/>
      <c r="C349" s="51" t="n"/>
      <c r="D349" s="51" t="n"/>
      <c r="E349" s="51" t="n"/>
      <c r="F349" s="51" t="n"/>
      <c r="G349" s="47" t="n"/>
      <c r="H349" s="51" t="n"/>
      <c r="I349" s="51" t="n"/>
      <c r="J349" s="51" t="n"/>
      <c r="K349" s="51" t="n"/>
      <c r="L349" s="51" t="n"/>
      <c r="N349" s="51" t="n"/>
      <c r="Q349" s="51" t="n"/>
      <c r="S349" s="51" t="n"/>
      <c r="T349" s="51" t="n"/>
      <c r="U349" s="51" t="inlineStr"/>
      <c r="V349" s="55" t="n"/>
      <c r="W349" s="51" t="inlineStr"/>
      <c r="X349" s="51" t="inlineStr"/>
      <c r="Y349" s="51" t="n"/>
      <c r="AB349" s="57" t="n"/>
      <c r="AC349" s="90" t="n"/>
      <c r="AD349" s="90" t="n"/>
      <c r="AE349" s="88" t="n"/>
      <c r="AF349" s="91" t="n"/>
      <c r="AG349" s="91" t="n"/>
      <c r="AH349" s="88" t="n"/>
      <c r="AI349" s="88" t="n"/>
      <c r="AJ349" s="90" t="n"/>
      <c r="AK349" s="88" t="n"/>
      <c r="AL349" s="91" t="n"/>
      <c r="AM349" s="88" t="n"/>
      <c r="AN349" s="95" t="n"/>
      <c r="AO349" s="90" t="n"/>
      <c r="AP349" s="90" t="n"/>
    </row>
    <row r="350" ht="14.25" customHeight="1" s="84">
      <c r="A350" s="51" t="n"/>
      <c r="B350" s="47" t="n"/>
      <c r="C350" s="51" t="n"/>
      <c r="D350" s="51" t="n"/>
      <c r="E350" s="51" t="n"/>
      <c r="F350" s="51" t="n"/>
      <c r="G350" s="47" t="n"/>
      <c r="H350" s="51" t="n"/>
      <c r="I350" s="51" t="n"/>
      <c r="J350" s="51" t="n"/>
      <c r="K350" s="51" t="n"/>
      <c r="L350" s="51" t="n"/>
      <c r="N350" s="51" t="n"/>
      <c r="Q350" s="51" t="n"/>
      <c r="S350" s="51" t="n"/>
      <c r="T350" s="51" t="n"/>
      <c r="U350" s="51" t="inlineStr"/>
      <c r="V350" s="55" t="n"/>
      <c r="W350" s="51" t="inlineStr"/>
      <c r="X350" s="51" t="inlineStr"/>
      <c r="Y350" s="51" t="n"/>
      <c r="AB350" s="57" t="n"/>
      <c r="AC350" s="90" t="n"/>
      <c r="AD350" s="90" t="n"/>
      <c r="AE350" s="88" t="n"/>
      <c r="AF350" s="91" t="n"/>
      <c r="AG350" s="91" t="n"/>
      <c r="AH350" s="88" t="n"/>
      <c r="AI350" s="88" t="n"/>
      <c r="AJ350" s="90" t="n"/>
      <c r="AK350" s="88" t="n"/>
      <c r="AL350" s="91" t="n"/>
      <c r="AM350" s="88" t="n"/>
      <c r="AN350" s="95" t="n"/>
      <c r="AO350" s="90" t="n"/>
      <c r="AP350" s="90" t="n"/>
    </row>
    <row r="351" ht="14.25" customHeight="1" s="84">
      <c r="A351" s="51" t="n"/>
      <c r="B351" s="47" t="n"/>
      <c r="C351" s="51" t="n"/>
      <c r="D351" s="51" t="n"/>
      <c r="E351" s="51" t="n"/>
      <c r="F351" s="51" t="n"/>
      <c r="G351" s="47" t="n"/>
      <c r="H351" s="51" t="n"/>
      <c r="I351" s="51" t="n"/>
      <c r="J351" s="51" t="n"/>
      <c r="K351" s="51" t="n"/>
      <c r="L351" s="51" t="n"/>
      <c r="N351" s="51" t="n"/>
      <c r="Q351" s="51" t="n"/>
      <c r="S351" s="51" t="n"/>
      <c r="T351" s="51" t="n"/>
      <c r="U351" s="51" t="inlineStr"/>
      <c r="V351" s="55" t="n"/>
      <c r="W351" s="51" t="inlineStr"/>
      <c r="X351" s="51" t="inlineStr"/>
      <c r="Y351" s="51" t="n"/>
      <c r="AB351" s="57" t="n"/>
      <c r="AC351" s="90" t="n"/>
      <c r="AD351" s="90" t="n"/>
      <c r="AE351" s="88" t="n"/>
      <c r="AF351" s="91" t="n"/>
      <c r="AG351" s="91" t="n"/>
      <c r="AH351" s="88" t="n"/>
      <c r="AI351" s="88" t="n"/>
      <c r="AJ351" s="90" t="n"/>
      <c r="AK351" s="88" t="n"/>
      <c r="AL351" s="91" t="n"/>
      <c r="AM351" s="88" t="n"/>
      <c r="AN351" s="95" t="n"/>
      <c r="AO351" s="90" t="n"/>
      <c r="AP351" s="90" t="n"/>
    </row>
    <row r="352" ht="14.25" customHeight="1" s="84">
      <c r="A352" s="51" t="n"/>
      <c r="B352" s="47" t="n"/>
      <c r="C352" s="51" t="n"/>
      <c r="D352" s="51" t="n"/>
      <c r="E352" s="51" t="n"/>
      <c r="F352" s="51" t="n"/>
      <c r="G352" s="47" t="n"/>
      <c r="H352" s="51" t="n"/>
      <c r="I352" s="51" t="n"/>
      <c r="J352" s="51" t="n"/>
      <c r="K352" s="51" t="n"/>
      <c r="L352" s="51" t="n"/>
      <c r="N352" s="51" t="n"/>
      <c r="Q352" s="51" t="n"/>
      <c r="S352" s="51" t="n"/>
      <c r="T352" s="51" t="n"/>
      <c r="U352" s="51" t="inlineStr"/>
      <c r="V352" s="55" t="n"/>
      <c r="W352" s="51" t="inlineStr"/>
      <c r="X352" s="51" t="inlineStr"/>
      <c r="Y352" s="51" t="n"/>
      <c r="AB352" s="57" t="n"/>
      <c r="AC352" s="90" t="n"/>
      <c r="AD352" s="90" t="n"/>
      <c r="AE352" s="88" t="n"/>
      <c r="AF352" s="91" t="n"/>
      <c r="AG352" s="91" t="n"/>
      <c r="AH352" s="88" t="n"/>
      <c r="AI352" s="88" t="n"/>
      <c r="AJ352" s="90" t="n"/>
      <c r="AK352" s="88" t="n"/>
      <c r="AL352" s="91" t="n"/>
      <c r="AM352" s="88" t="n"/>
      <c r="AN352" s="95" t="n"/>
      <c r="AO352" s="90" t="n"/>
      <c r="AP352" s="90" t="n"/>
    </row>
    <row r="353" ht="14.25" customHeight="1" s="84">
      <c r="A353" s="51" t="n"/>
      <c r="B353" s="47" t="n"/>
      <c r="C353" s="51" t="n"/>
      <c r="D353" s="51" t="n"/>
      <c r="E353" s="51" t="n"/>
      <c r="F353" s="51" t="n"/>
      <c r="G353" s="47" t="n"/>
      <c r="H353" s="51" t="n"/>
      <c r="I353" s="51" t="n"/>
      <c r="J353" s="51" t="n"/>
      <c r="K353" s="51" t="n"/>
      <c r="L353" s="51" t="n"/>
      <c r="N353" s="51" t="n"/>
      <c r="Q353" s="51" t="n"/>
      <c r="S353" s="51" t="n"/>
      <c r="T353" s="51" t="n"/>
      <c r="U353" s="51" t="inlineStr"/>
      <c r="V353" s="55" t="n"/>
      <c r="W353" s="51" t="inlineStr"/>
      <c r="X353" s="51" t="inlineStr"/>
      <c r="Y353" s="51" t="n"/>
      <c r="AB353" s="57" t="n"/>
      <c r="AC353" s="90" t="n"/>
      <c r="AD353" s="90" t="n"/>
      <c r="AE353" s="88" t="n"/>
      <c r="AF353" s="91" t="n"/>
      <c r="AG353" s="91" t="n"/>
      <c r="AH353" s="88" t="n"/>
      <c r="AI353" s="88" t="n"/>
      <c r="AJ353" s="90" t="n"/>
      <c r="AK353" s="88" t="n"/>
      <c r="AL353" s="91" t="n"/>
      <c r="AM353" s="88" t="n"/>
      <c r="AN353" s="95" t="n"/>
      <c r="AO353" s="90" t="n"/>
      <c r="AP353" s="90" t="n"/>
    </row>
    <row r="354" ht="14.25" customHeight="1" s="84">
      <c r="A354" s="51" t="n"/>
      <c r="B354" s="47" t="n"/>
      <c r="C354" s="51" t="n"/>
      <c r="D354" s="51" t="n"/>
      <c r="E354" s="51" t="n"/>
      <c r="F354" s="51" t="n"/>
      <c r="G354" s="47" t="n"/>
      <c r="H354" s="51" t="n"/>
      <c r="I354" s="51" t="n"/>
      <c r="J354" s="51" t="n"/>
      <c r="K354" s="51" t="n"/>
      <c r="L354" s="51" t="n"/>
      <c r="N354" s="51" t="n"/>
      <c r="Q354" s="51" t="n"/>
      <c r="S354" s="51" t="n"/>
      <c r="T354" s="51" t="n"/>
      <c r="U354" s="51" t="inlineStr"/>
      <c r="V354" s="55" t="n"/>
      <c r="W354" s="51" t="inlineStr"/>
      <c r="X354" s="51" t="inlineStr"/>
      <c r="Y354" s="51" t="n"/>
      <c r="AB354" s="57" t="n"/>
      <c r="AC354" s="90" t="n"/>
      <c r="AD354" s="90" t="n"/>
      <c r="AE354" s="88" t="n"/>
      <c r="AF354" s="91" t="n"/>
      <c r="AG354" s="91" t="n"/>
      <c r="AH354" s="88" t="n"/>
      <c r="AI354" s="88" t="n"/>
      <c r="AJ354" s="90" t="n"/>
      <c r="AK354" s="88" t="n"/>
      <c r="AL354" s="91" t="n"/>
      <c r="AM354" s="88" t="n"/>
      <c r="AN354" s="95" t="n"/>
      <c r="AO354" s="90" t="n"/>
      <c r="AP354" s="90" t="n"/>
    </row>
    <row r="355" ht="14.25" customHeight="1" s="84">
      <c r="A355" s="51" t="n"/>
      <c r="B355" s="47" t="n"/>
      <c r="C355" s="51" t="n"/>
      <c r="D355" s="51" t="n"/>
      <c r="E355" s="51" t="n"/>
      <c r="F355" s="51" t="n"/>
      <c r="G355" s="47" t="n"/>
      <c r="H355" s="51" t="n"/>
      <c r="I355" s="51" t="n"/>
      <c r="J355" s="51" t="n"/>
      <c r="K355" s="51" t="n"/>
      <c r="L355" s="51" t="n"/>
      <c r="N355" s="51" t="n"/>
      <c r="Q355" s="51" t="n"/>
      <c r="S355" s="51" t="n"/>
      <c r="T355" s="51" t="n"/>
      <c r="U355" s="51" t="inlineStr"/>
      <c r="V355" s="55" t="n"/>
      <c r="W355" s="51" t="inlineStr"/>
      <c r="X355" s="51" t="inlineStr"/>
      <c r="Y355" s="51" t="n"/>
      <c r="AB355" s="57" t="n"/>
      <c r="AC355" s="90" t="n"/>
      <c r="AD355" s="90" t="n"/>
      <c r="AE355" s="88" t="n"/>
      <c r="AF355" s="91" t="n"/>
      <c r="AG355" s="91" t="n"/>
      <c r="AH355" s="88" t="n"/>
      <c r="AI355" s="88" t="n"/>
      <c r="AJ355" s="90" t="n"/>
      <c r="AK355" s="88" t="n"/>
      <c r="AL355" s="91" t="n"/>
      <c r="AM355" s="88" t="n"/>
      <c r="AN355" s="95" t="n"/>
      <c r="AO355" s="90" t="n"/>
      <c r="AP355" s="90" t="n"/>
    </row>
    <row r="356" ht="14.25" customHeight="1" s="84">
      <c r="A356" s="51" t="n"/>
      <c r="B356" s="47" t="n"/>
      <c r="C356" s="51" t="n"/>
      <c r="D356" s="51" t="n"/>
      <c r="E356" s="51" t="n"/>
      <c r="F356" s="51" t="n"/>
      <c r="G356" s="47" t="n"/>
      <c r="H356" s="51" t="n"/>
      <c r="I356" s="51" t="n"/>
      <c r="J356" s="51" t="n"/>
      <c r="K356" s="51" t="n"/>
      <c r="L356" s="51" t="n"/>
      <c r="N356" s="51" t="n"/>
      <c r="Q356" s="51" t="n"/>
      <c r="S356" s="51" t="n"/>
      <c r="T356" s="51" t="n"/>
      <c r="U356" s="51" t="inlineStr"/>
      <c r="V356" s="55" t="n"/>
      <c r="W356" s="51" t="inlineStr"/>
      <c r="X356" s="51" t="inlineStr"/>
      <c r="Y356" s="51" t="n"/>
      <c r="AB356" s="57" t="n"/>
      <c r="AC356" s="90" t="n"/>
      <c r="AD356" s="90" t="n"/>
      <c r="AE356" s="88" t="n"/>
      <c r="AF356" s="91" t="n"/>
      <c r="AG356" s="91" t="n"/>
      <c r="AH356" s="88" t="n"/>
      <c r="AI356" s="88" t="n"/>
      <c r="AJ356" s="90" t="n"/>
      <c r="AK356" s="88" t="n"/>
      <c r="AL356" s="91" t="n"/>
      <c r="AM356" s="88" t="n"/>
      <c r="AN356" s="95" t="n"/>
      <c r="AO356" s="90" t="n"/>
      <c r="AP356" s="90" t="n"/>
    </row>
    <row r="357" ht="14.25" customHeight="1" s="84">
      <c r="A357" s="51" t="n"/>
      <c r="B357" s="47" t="n"/>
      <c r="C357" s="51" t="n"/>
      <c r="D357" s="51" t="n"/>
      <c r="E357" s="51" t="n"/>
      <c r="F357" s="51" t="n"/>
      <c r="G357" s="47" t="n"/>
      <c r="H357" s="51" t="n"/>
      <c r="I357" s="51" t="n"/>
      <c r="J357" s="51" t="n"/>
      <c r="K357" s="51" t="n"/>
      <c r="L357" s="51" t="n"/>
      <c r="N357" s="51" t="n"/>
      <c r="Q357" s="51" t="n"/>
      <c r="S357" s="51" t="n"/>
      <c r="T357" s="51" t="n"/>
      <c r="U357" s="51" t="inlineStr"/>
      <c r="V357" s="55" t="n"/>
      <c r="W357" s="51" t="inlineStr"/>
      <c r="X357" s="51" t="inlineStr"/>
      <c r="Y357" s="51" t="n"/>
      <c r="AB357" s="57" t="n"/>
      <c r="AC357" s="90" t="n"/>
      <c r="AD357" s="90" t="n"/>
      <c r="AE357" s="88" t="n"/>
      <c r="AF357" s="91" t="n"/>
      <c r="AG357" s="91" t="n"/>
      <c r="AH357" s="88" t="n"/>
      <c r="AI357" s="88" t="n"/>
      <c r="AJ357" s="90" t="n"/>
      <c r="AK357" s="88" t="n"/>
      <c r="AL357" s="91" t="n"/>
      <c r="AM357" s="88" t="n"/>
      <c r="AN357" s="95" t="n"/>
      <c r="AO357" s="90" t="n"/>
      <c r="AP357" s="90" t="n"/>
    </row>
    <row r="358" ht="14.25" customHeight="1" s="84">
      <c r="A358" s="51" t="n"/>
      <c r="B358" s="47" t="n"/>
      <c r="C358" s="51" t="n"/>
      <c r="D358" s="51" t="n"/>
      <c r="E358" s="51" t="n"/>
      <c r="F358" s="51" t="n"/>
      <c r="G358" s="47" t="n"/>
      <c r="H358" s="51" t="n"/>
      <c r="I358" s="51" t="n"/>
      <c r="J358" s="51" t="n"/>
      <c r="K358" s="51" t="n"/>
      <c r="L358" s="51" t="n"/>
      <c r="N358" s="51" t="n"/>
      <c r="Q358" s="51" t="n"/>
      <c r="S358" s="51" t="n"/>
      <c r="T358" s="51" t="n"/>
      <c r="U358" s="51" t="inlineStr"/>
      <c r="V358" s="55" t="n"/>
      <c r="W358" s="51" t="inlineStr"/>
      <c r="X358" s="51" t="inlineStr"/>
      <c r="Y358" s="51" t="n"/>
      <c r="AB358" s="57" t="n"/>
      <c r="AC358" s="90" t="n"/>
      <c r="AD358" s="90" t="n"/>
      <c r="AE358" s="88" t="n"/>
      <c r="AF358" s="91" t="n"/>
      <c r="AG358" s="91" t="n"/>
      <c r="AH358" s="88" t="n"/>
      <c r="AI358" s="88" t="n"/>
      <c r="AJ358" s="90" t="n"/>
      <c r="AK358" s="88" t="n"/>
      <c r="AL358" s="91" t="n"/>
      <c r="AM358" s="88" t="n"/>
      <c r="AN358" s="95" t="n"/>
      <c r="AO358" s="90" t="n"/>
      <c r="AP358" s="90" t="n"/>
    </row>
    <row r="359" ht="14.25" customHeight="1" s="84">
      <c r="A359" s="51" t="n"/>
      <c r="B359" s="47" t="n"/>
      <c r="C359" s="51" t="n"/>
      <c r="D359" s="51" t="n"/>
      <c r="E359" s="51" t="n"/>
      <c r="F359" s="51" t="n"/>
      <c r="G359" s="47" t="n"/>
      <c r="H359" s="51" t="n"/>
      <c r="I359" s="51" t="n"/>
      <c r="J359" s="51" t="n"/>
      <c r="K359" s="51" t="n"/>
      <c r="L359" s="51" t="n"/>
      <c r="N359" s="51" t="n"/>
      <c r="Q359" s="51" t="n"/>
      <c r="S359" s="51" t="n"/>
      <c r="T359" s="51" t="n"/>
      <c r="U359" s="51" t="inlineStr"/>
      <c r="V359" s="55" t="n"/>
      <c r="W359" s="51" t="inlineStr"/>
      <c r="X359" s="51" t="inlineStr"/>
      <c r="Y359" s="51" t="n"/>
      <c r="AB359" s="57" t="n"/>
      <c r="AC359" s="90" t="n"/>
      <c r="AD359" s="90" t="n"/>
      <c r="AE359" s="88" t="n"/>
      <c r="AF359" s="91" t="n"/>
      <c r="AG359" s="91" t="n"/>
      <c r="AH359" s="88" t="n"/>
      <c r="AI359" s="88" t="n"/>
      <c r="AJ359" s="90" t="n"/>
      <c r="AK359" s="88" t="n"/>
      <c r="AL359" s="91" t="n"/>
      <c r="AM359" s="88" t="n"/>
      <c r="AN359" s="95" t="n"/>
      <c r="AO359" s="90" t="n"/>
      <c r="AP359" s="90" t="n"/>
    </row>
    <row r="360" ht="14.25" customHeight="1" s="84">
      <c r="A360" s="51" t="n"/>
      <c r="B360" s="47" t="n"/>
      <c r="C360" s="51" t="n"/>
      <c r="D360" s="51" t="n"/>
      <c r="E360" s="51" t="n"/>
      <c r="F360" s="51" t="n"/>
      <c r="G360" s="47" t="n"/>
      <c r="H360" s="51" t="n"/>
      <c r="I360" s="51" t="n"/>
      <c r="J360" s="51" t="n"/>
      <c r="K360" s="51" t="n"/>
      <c r="L360" s="51" t="n"/>
      <c r="N360" s="51" t="n"/>
      <c r="Q360" s="51" t="n"/>
      <c r="S360" s="51" t="n"/>
      <c r="T360" s="51" t="n"/>
      <c r="U360" s="51" t="inlineStr"/>
      <c r="V360" s="55" t="n"/>
      <c r="W360" s="51" t="inlineStr"/>
      <c r="X360" s="51" t="inlineStr"/>
      <c r="Y360" s="51" t="n"/>
      <c r="AB360" s="57" t="n"/>
      <c r="AC360" s="90" t="n"/>
      <c r="AD360" s="90" t="n"/>
      <c r="AE360" s="88" t="n"/>
      <c r="AF360" s="91" t="n"/>
      <c r="AG360" s="91" t="n"/>
      <c r="AH360" s="88" t="n"/>
      <c r="AI360" s="88" t="n"/>
      <c r="AJ360" s="90" t="n"/>
      <c r="AK360" s="88" t="n"/>
      <c r="AL360" s="91" t="n"/>
      <c r="AM360" s="88" t="n"/>
      <c r="AN360" s="95" t="n"/>
      <c r="AO360" s="90" t="n"/>
      <c r="AP360" s="90" t="n"/>
    </row>
    <row r="361" ht="14.25" customHeight="1" s="84">
      <c r="A361" s="51" t="n"/>
      <c r="B361" s="47" t="n"/>
      <c r="C361" s="51" t="n"/>
      <c r="D361" s="51" t="n"/>
      <c r="E361" s="51" t="n"/>
      <c r="F361" s="51" t="n"/>
      <c r="G361" s="47" t="n"/>
      <c r="H361" s="51" t="n"/>
      <c r="I361" s="51" t="n"/>
      <c r="J361" s="51" t="n"/>
      <c r="K361" s="51" t="n"/>
      <c r="L361" s="51" t="n"/>
      <c r="N361" s="51" t="n"/>
      <c r="Q361" s="51" t="n"/>
      <c r="S361" s="51" t="n"/>
      <c r="T361" s="51" t="n"/>
      <c r="U361" s="51" t="inlineStr"/>
      <c r="V361" s="55" t="n"/>
      <c r="W361" s="51" t="inlineStr"/>
      <c r="X361" s="51" t="inlineStr"/>
      <c r="Y361" s="51" t="n"/>
      <c r="AB361" s="57" t="n"/>
      <c r="AC361" s="90" t="n"/>
      <c r="AD361" s="90" t="n"/>
      <c r="AE361" s="88" t="n"/>
      <c r="AF361" s="91" t="n"/>
      <c r="AG361" s="91" t="n"/>
      <c r="AH361" s="88" t="n"/>
      <c r="AI361" s="88" t="n"/>
      <c r="AJ361" s="90" t="n"/>
      <c r="AK361" s="88" t="n"/>
      <c r="AL361" s="91" t="n"/>
      <c r="AM361" s="88" t="n"/>
      <c r="AN361" s="95" t="n"/>
      <c r="AO361" s="90" t="n"/>
      <c r="AP361" s="90" t="n"/>
    </row>
    <row r="362" ht="14.25" customHeight="1" s="84">
      <c r="A362" s="51" t="n"/>
      <c r="B362" s="47" t="n"/>
      <c r="C362" s="51" t="n"/>
      <c r="D362" s="51" t="n"/>
      <c r="E362" s="51" t="n"/>
      <c r="F362" s="51" t="n"/>
      <c r="G362" s="47" t="n"/>
      <c r="H362" s="51" t="n"/>
      <c r="I362" s="51" t="n"/>
      <c r="J362" s="51" t="n"/>
      <c r="K362" s="51" t="n"/>
      <c r="L362" s="51" t="n"/>
      <c r="N362" s="51" t="n"/>
      <c r="Q362" s="51" t="n"/>
      <c r="S362" s="51" t="n"/>
      <c r="T362" s="51" t="n"/>
      <c r="U362" s="51" t="inlineStr"/>
      <c r="V362" s="55" t="n"/>
      <c r="W362" s="51" t="inlineStr"/>
      <c r="X362" s="51" t="inlineStr"/>
      <c r="Y362" s="51" t="n"/>
      <c r="AB362" s="57" t="n"/>
      <c r="AC362" s="90" t="n"/>
      <c r="AD362" s="90" t="n"/>
      <c r="AE362" s="88" t="n"/>
      <c r="AF362" s="91" t="n"/>
      <c r="AG362" s="91" t="n"/>
      <c r="AH362" s="88" t="n"/>
      <c r="AI362" s="88" t="n"/>
      <c r="AJ362" s="90" t="n"/>
      <c r="AK362" s="88" t="n"/>
      <c r="AL362" s="91" t="n"/>
      <c r="AM362" s="88" t="n"/>
      <c r="AN362" s="95" t="n"/>
      <c r="AO362" s="90" t="n"/>
      <c r="AP362" s="90" t="n"/>
    </row>
    <row r="363" ht="14.25" customHeight="1" s="84">
      <c r="A363" s="51" t="n"/>
      <c r="B363" s="47" t="n"/>
      <c r="C363" s="51" t="n"/>
      <c r="D363" s="51" t="n"/>
      <c r="E363" s="51" t="n"/>
      <c r="F363" s="51" t="n"/>
      <c r="G363" s="47" t="n"/>
      <c r="H363" s="51" t="n"/>
      <c r="I363" s="51" t="n"/>
      <c r="J363" s="51" t="n"/>
      <c r="K363" s="51" t="n"/>
      <c r="L363" s="51" t="n"/>
      <c r="N363" s="51" t="n"/>
      <c r="Q363" s="51" t="n"/>
      <c r="S363" s="51" t="n"/>
      <c r="T363" s="51" t="n"/>
      <c r="U363" s="51" t="inlineStr"/>
      <c r="V363" s="55" t="n"/>
      <c r="W363" s="51" t="inlineStr"/>
      <c r="X363" s="51" t="inlineStr"/>
      <c r="Y363" s="51" t="n"/>
      <c r="AB363" s="57" t="n"/>
      <c r="AC363" s="90" t="n"/>
      <c r="AD363" s="90" t="n"/>
      <c r="AE363" s="88" t="n"/>
      <c r="AF363" s="91" t="n"/>
      <c r="AG363" s="91" t="n"/>
      <c r="AH363" s="88" t="n"/>
      <c r="AI363" s="88" t="n"/>
      <c r="AJ363" s="90" t="n"/>
      <c r="AK363" s="88" t="n"/>
      <c r="AL363" s="91" t="n"/>
      <c r="AM363" s="88" t="n"/>
      <c r="AN363" s="95" t="n"/>
      <c r="AO363" s="90" t="n"/>
      <c r="AP363" s="90" t="n"/>
    </row>
    <row r="364" ht="14.25" customHeight="1" s="84">
      <c r="A364" s="51" t="n"/>
      <c r="B364" s="47" t="n"/>
      <c r="C364" s="51" t="n"/>
      <c r="D364" s="51" t="n"/>
      <c r="E364" s="51" t="n"/>
      <c r="F364" s="51" t="n"/>
      <c r="G364" s="47" t="n"/>
      <c r="H364" s="51" t="n"/>
      <c r="I364" s="51" t="n"/>
      <c r="J364" s="51" t="n"/>
      <c r="K364" s="51" t="n"/>
      <c r="L364" s="51" t="n"/>
      <c r="N364" s="51" t="n"/>
      <c r="Q364" s="51" t="n"/>
      <c r="S364" s="51" t="n"/>
      <c r="T364" s="51" t="n"/>
      <c r="U364" s="51" t="inlineStr"/>
      <c r="V364" s="55" t="n"/>
      <c r="W364" s="51" t="inlineStr"/>
      <c r="X364" s="51" t="inlineStr"/>
      <c r="Y364" s="51" t="n"/>
      <c r="AB364" s="57" t="n"/>
      <c r="AC364" s="90" t="n"/>
      <c r="AD364" s="90" t="n"/>
      <c r="AE364" s="88" t="n"/>
      <c r="AF364" s="91" t="n"/>
      <c r="AG364" s="91" t="n"/>
      <c r="AH364" s="88" t="n"/>
      <c r="AI364" s="88" t="n"/>
      <c r="AJ364" s="90" t="n"/>
      <c r="AK364" s="88" t="n"/>
      <c r="AL364" s="91" t="n"/>
      <c r="AM364" s="88" t="n"/>
      <c r="AN364" s="95" t="n"/>
      <c r="AO364" s="90" t="n"/>
      <c r="AP364" s="90" t="n"/>
    </row>
    <row r="365" ht="14.25" customHeight="1" s="84">
      <c r="A365" s="51" t="n"/>
      <c r="B365" s="47" t="n"/>
      <c r="C365" s="51" t="n"/>
      <c r="D365" s="51" t="n"/>
      <c r="E365" s="51" t="n"/>
      <c r="F365" s="51" t="n"/>
      <c r="G365" s="47" t="n"/>
      <c r="H365" s="51" t="n"/>
      <c r="I365" s="51" t="n"/>
      <c r="J365" s="51" t="n"/>
      <c r="K365" s="51" t="n"/>
      <c r="L365" s="51" t="n"/>
      <c r="N365" s="51" t="n"/>
      <c r="Q365" s="51" t="n"/>
      <c r="S365" s="51" t="n"/>
      <c r="T365" s="51" t="n"/>
      <c r="U365" s="51" t="inlineStr"/>
      <c r="V365" s="55" t="n"/>
      <c r="W365" s="51" t="inlineStr"/>
      <c r="X365" s="51" t="inlineStr"/>
      <c r="Y365" s="51" t="n"/>
      <c r="AB365" s="57" t="n"/>
      <c r="AC365" s="90" t="n"/>
      <c r="AD365" s="90" t="n"/>
      <c r="AE365" s="88" t="n"/>
      <c r="AF365" s="91" t="n"/>
      <c r="AG365" s="91" t="n"/>
      <c r="AH365" s="88" t="n"/>
      <c r="AI365" s="88" t="n"/>
      <c r="AJ365" s="90" t="n"/>
      <c r="AK365" s="88" t="n"/>
      <c r="AL365" s="91" t="n"/>
      <c r="AM365" s="88" t="n"/>
      <c r="AN365" s="95" t="n"/>
      <c r="AO365" s="90" t="n"/>
      <c r="AP365" s="90" t="n"/>
    </row>
    <row r="366" ht="14.25" customHeight="1" s="84">
      <c r="A366" s="51" t="n"/>
      <c r="B366" s="47" t="n"/>
      <c r="C366" s="51" t="n"/>
      <c r="D366" s="51" t="n"/>
      <c r="E366" s="51" t="n"/>
      <c r="F366" s="51" t="n"/>
      <c r="G366" s="47" t="n"/>
      <c r="H366" s="51" t="n"/>
      <c r="I366" s="51" t="n"/>
      <c r="J366" s="51" t="n"/>
      <c r="K366" s="51" t="n"/>
      <c r="L366" s="51" t="n"/>
      <c r="N366" s="51" t="n"/>
      <c r="Q366" s="51" t="n"/>
      <c r="S366" s="51" t="n"/>
      <c r="T366" s="51" t="n"/>
      <c r="U366" s="51" t="inlineStr"/>
      <c r="V366" s="55" t="n"/>
      <c r="W366" s="51" t="inlineStr"/>
      <c r="X366" s="51" t="inlineStr"/>
      <c r="Y366" s="51" t="n"/>
      <c r="AB366" s="57" t="n"/>
      <c r="AC366" s="90" t="n"/>
      <c r="AD366" s="90" t="n"/>
      <c r="AE366" s="88" t="n"/>
      <c r="AF366" s="91" t="n"/>
      <c r="AG366" s="91" t="n"/>
      <c r="AH366" s="88" t="n"/>
      <c r="AI366" s="88" t="n"/>
      <c r="AJ366" s="90" t="n"/>
      <c r="AK366" s="88" t="n"/>
      <c r="AL366" s="91" t="n"/>
      <c r="AM366" s="88" t="n"/>
      <c r="AN366" s="95" t="n"/>
      <c r="AO366" s="90" t="n"/>
      <c r="AP366" s="90" t="n"/>
    </row>
    <row r="367" ht="14.25" customHeight="1" s="84">
      <c r="A367" s="51" t="n"/>
      <c r="B367" s="47" t="n"/>
      <c r="C367" s="51" t="n"/>
      <c r="D367" s="51" t="n"/>
      <c r="E367" s="51" t="n"/>
      <c r="F367" s="51" t="n"/>
      <c r="G367" s="47" t="n"/>
      <c r="H367" s="51" t="n"/>
      <c r="I367" s="51" t="n"/>
      <c r="J367" s="51" t="n"/>
      <c r="K367" s="51" t="n"/>
      <c r="L367" s="51" t="n"/>
      <c r="N367" s="51" t="n"/>
      <c r="Q367" s="51" t="n"/>
      <c r="S367" s="51" t="n"/>
      <c r="T367" s="51" t="n"/>
      <c r="U367" s="51" t="inlineStr"/>
      <c r="V367" s="55" t="n"/>
      <c r="W367" s="51" t="inlineStr"/>
      <c r="X367" s="51" t="inlineStr"/>
      <c r="Y367" s="51" t="n"/>
      <c r="AB367" s="57" t="n"/>
      <c r="AC367" s="90" t="n"/>
      <c r="AD367" s="90" t="n"/>
      <c r="AE367" s="88" t="n"/>
      <c r="AF367" s="91" t="n"/>
      <c r="AG367" s="91" t="n"/>
      <c r="AH367" s="88" t="n"/>
      <c r="AI367" s="88" t="n"/>
      <c r="AJ367" s="90" t="n"/>
      <c r="AK367" s="88" t="n"/>
      <c r="AL367" s="91" t="n"/>
      <c r="AM367" s="88" t="n"/>
      <c r="AN367" s="95" t="n"/>
      <c r="AO367" s="90" t="n"/>
      <c r="AP367" s="90" t="n"/>
    </row>
    <row r="368" ht="14.25" customHeight="1" s="84">
      <c r="A368" s="51" t="n"/>
      <c r="B368" s="47" t="n"/>
      <c r="C368" s="51" t="n"/>
      <c r="D368" s="51" t="n"/>
      <c r="E368" s="51" t="n"/>
      <c r="F368" s="51" t="n"/>
      <c r="G368" s="47" t="n"/>
      <c r="H368" s="51" t="n"/>
      <c r="I368" s="51" t="n"/>
      <c r="J368" s="51" t="n"/>
      <c r="K368" s="51" t="n"/>
      <c r="L368" s="51" t="n"/>
      <c r="N368" s="51" t="n"/>
      <c r="Q368" s="51" t="n"/>
      <c r="S368" s="51" t="n"/>
      <c r="T368" s="51" t="n"/>
      <c r="U368" s="51" t="inlineStr"/>
      <c r="V368" s="55" t="n"/>
      <c r="W368" s="51" t="inlineStr"/>
      <c r="X368" s="51" t="inlineStr"/>
      <c r="Y368" s="51" t="n"/>
      <c r="AB368" s="57" t="n"/>
      <c r="AC368" s="90" t="n"/>
      <c r="AD368" s="90" t="n"/>
      <c r="AE368" s="88" t="n"/>
      <c r="AF368" s="91" t="n"/>
      <c r="AG368" s="91" t="n"/>
      <c r="AH368" s="88" t="n"/>
      <c r="AI368" s="88" t="n"/>
      <c r="AJ368" s="90" t="n"/>
      <c r="AK368" s="88" t="n"/>
      <c r="AL368" s="91" t="n"/>
      <c r="AM368" s="88" t="n"/>
      <c r="AN368" s="95" t="n"/>
      <c r="AO368" s="90" t="n"/>
      <c r="AP368" s="90" t="n"/>
    </row>
    <row r="369" ht="14.25" customHeight="1" s="84">
      <c r="A369" s="51" t="n"/>
      <c r="B369" s="47" t="n"/>
      <c r="C369" s="51" t="n"/>
      <c r="D369" s="51" t="n"/>
      <c r="E369" s="51" t="n"/>
      <c r="F369" s="51" t="n"/>
      <c r="G369" s="47" t="n"/>
      <c r="H369" s="51" t="n"/>
      <c r="I369" s="51" t="n"/>
      <c r="J369" s="51" t="n"/>
      <c r="K369" s="51" t="n"/>
      <c r="L369" s="51" t="n"/>
      <c r="N369" s="51" t="n"/>
      <c r="Q369" s="51" t="n"/>
      <c r="S369" s="51" t="n"/>
      <c r="T369" s="51" t="n"/>
      <c r="U369" s="51" t="inlineStr"/>
      <c r="V369" s="55" t="n"/>
      <c r="W369" s="51" t="inlineStr"/>
      <c r="X369" s="51" t="inlineStr"/>
      <c r="Y369" s="51" t="n"/>
      <c r="AB369" s="57" t="n"/>
      <c r="AC369" s="90" t="n"/>
      <c r="AD369" s="90" t="n"/>
      <c r="AE369" s="88" t="n"/>
      <c r="AF369" s="91" t="n"/>
      <c r="AG369" s="91" t="n"/>
      <c r="AH369" s="88" t="n"/>
      <c r="AI369" s="88" t="n"/>
      <c r="AJ369" s="90" t="n"/>
      <c r="AK369" s="88" t="n"/>
      <c r="AL369" s="91" t="n"/>
      <c r="AM369" s="88" t="n"/>
      <c r="AN369" s="95" t="n"/>
      <c r="AO369" s="90" t="n"/>
      <c r="AP369" s="90" t="n"/>
    </row>
    <row r="370" ht="14.25" customHeight="1" s="84">
      <c r="A370" s="51" t="n"/>
      <c r="B370" s="47" t="n"/>
      <c r="C370" s="51" t="n"/>
      <c r="D370" s="51" t="n"/>
      <c r="E370" s="51" t="n"/>
      <c r="F370" s="51" t="n"/>
      <c r="G370" s="47" t="n"/>
      <c r="H370" s="51" t="n"/>
      <c r="I370" s="51" t="n"/>
      <c r="J370" s="51" t="n"/>
      <c r="K370" s="51" t="n"/>
      <c r="L370" s="51" t="n"/>
      <c r="N370" s="51" t="n"/>
      <c r="Q370" s="51" t="n"/>
      <c r="S370" s="51" t="n"/>
      <c r="T370" s="51" t="n"/>
      <c r="U370" s="51" t="inlineStr"/>
      <c r="V370" s="55" t="n"/>
      <c r="W370" s="51" t="inlineStr"/>
      <c r="X370" s="51" t="inlineStr"/>
      <c r="Y370" s="51" t="n"/>
      <c r="AB370" s="57" t="n"/>
      <c r="AC370" s="90" t="n"/>
      <c r="AD370" s="90" t="n"/>
      <c r="AE370" s="88" t="n"/>
      <c r="AF370" s="91" t="n"/>
      <c r="AG370" s="91" t="n"/>
      <c r="AH370" s="88" t="n"/>
      <c r="AI370" s="88" t="n"/>
      <c r="AJ370" s="90" t="n"/>
      <c r="AK370" s="88" t="n"/>
      <c r="AL370" s="91" t="n"/>
      <c r="AM370" s="88" t="n"/>
      <c r="AN370" s="95" t="n"/>
      <c r="AO370" s="90" t="n"/>
      <c r="AP370" s="90" t="n"/>
    </row>
    <row r="371" ht="14.25" customHeight="1" s="84">
      <c r="A371" s="51" t="n"/>
      <c r="B371" s="47" t="n"/>
      <c r="C371" s="51" t="n"/>
      <c r="D371" s="51" t="n"/>
      <c r="E371" s="51" t="n"/>
      <c r="F371" s="51" t="n"/>
      <c r="G371" s="47" t="n"/>
      <c r="H371" s="51" t="n"/>
      <c r="I371" s="51" t="n"/>
      <c r="J371" s="51" t="n"/>
      <c r="K371" s="51" t="n"/>
      <c r="L371" s="51" t="n"/>
      <c r="N371" s="51" t="n"/>
      <c r="Q371" s="51" t="n"/>
      <c r="S371" s="51" t="n"/>
      <c r="T371" s="51" t="n"/>
      <c r="U371" s="51" t="inlineStr"/>
      <c r="V371" s="55" t="n"/>
      <c r="W371" s="51" t="inlineStr"/>
      <c r="X371" s="51" t="inlineStr"/>
      <c r="Y371" s="51" t="n"/>
      <c r="AB371" s="57" t="n"/>
      <c r="AC371" s="90" t="n"/>
      <c r="AD371" s="90" t="n"/>
      <c r="AE371" s="88" t="n"/>
      <c r="AF371" s="91" t="n"/>
      <c r="AG371" s="91" t="n"/>
      <c r="AH371" s="88" t="n"/>
      <c r="AI371" s="88" t="n"/>
      <c r="AJ371" s="90" t="n"/>
      <c r="AK371" s="88" t="n"/>
      <c r="AL371" s="91" t="n"/>
      <c r="AM371" s="88" t="n"/>
      <c r="AN371" s="95" t="n"/>
      <c r="AO371" s="90" t="n"/>
      <c r="AP371" s="90" t="n"/>
    </row>
    <row r="372" ht="14.25" customHeight="1" s="84">
      <c r="A372" s="51" t="n"/>
      <c r="B372" s="47" t="n"/>
      <c r="C372" s="51" t="n"/>
      <c r="D372" s="51" t="n"/>
      <c r="E372" s="51" t="n"/>
      <c r="F372" s="51" t="n"/>
      <c r="G372" s="47" t="n"/>
      <c r="H372" s="51" t="n"/>
      <c r="I372" s="51" t="n"/>
      <c r="J372" s="51" t="n"/>
      <c r="K372" s="51" t="n"/>
      <c r="L372" s="51" t="n"/>
      <c r="N372" s="51" t="n"/>
      <c r="Q372" s="51" t="n"/>
      <c r="S372" s="51" t="n"/>
      <c r="T372" s="51" t="n"/>
      <c r="U372" s="51" t="inlineStr"/>
      <c r="V372" s="55" t="n"/>
      <c r="W372" s="51" t="inlineStr"/>
      <c r="X372" s="51" t="inlineStr"/>
      <c r="Y372" s="51" t="n"/>
      <c r="AB372" s="57" t="n"/>
      <c r="AC372" s="90" t="n"/>
      <c r="AD372" s="90" t="n"/>
      <c r="AE372" s="88" t="n"/>
      <c r="AF372" s="91" t="n"/>
      <c r="AG372" s="91" t="n"/>
      <c r="AH372" s="88" t="n"/>
      <c r="AI372" s="88" t="n"/>
      <c r="AJ372" s="90" t="n"/>
      <c r="AK372" s="88" t="n"/>
      <c r="AL372" s="91" t="n"/>
      <c r="AM372" s="88" t="n"/>
      <c r="AN372" s="95" t="n"/>
      <c r="AO372" s="90" t="n"/>
      <c r="AP372" s="90" t="n"/>
    </row>
    <row r="373" ht="14.25" customHeight="1" s="84">
      <c r="A373" s="51" t="n"/>
      <c r="B373" s="47" t="n"/>
      <c r="C373" s="51" t="n"/>
      <c r="D373" s="51" t="n"/>
      <c r="E373" s="51" t="n"/>
      <c r="F373" s="51" t="n"/>
      <c r="G373" s="47" t="n"/>
      <c r="H373" s="51" t="n"/>
      <c r="I373" s="51" t="n"/>
      <c r="J373" s="51" t="n"/>
      <c r="K373" s="51" t="n"/>
      <c r="L373" s="51" t="n"/>
      <c r="N373" s="51" t="n"/>
      <c r="Q373" s="51" t="n"/>
      <c r="S373" s="51" t="n"/>
      <c r="T373" s="51" t="n"/>
      <c r="U373" s="51" t="inlineStr"/>
      <c r="V373" s="55" t="n"/>
      <c r="W373" s="51" t="inlineStr"/>
      <c r="X373" s="51" t="inlineStr"/>
      <c r="Y373" s="51" t="n"/>
      <c r="AB373" s="57" t="n"/>
      <c r="AC373" s="90" t="n"/>
      <c r="AD373" s="90" t="n"/>
      <c r="AE373" s="88" t="n"/>
      <c r="AF373" s="91" t="n"/>
      <c r="AG373" s="91" t="n"/>
      <c r="AH373" s="88" t="n"/>
      <c r="AI373" s="88" t="n"/>
      <c r="AJ373" s="90" t="n"/>
      <c r="AK373" s="88" t="n"/>
      <c r="AL373" s="91" t="n"/>
      <c r="AM373" s="88" t="n"/>
      <c r="AN373" s="95" t="n"/>
      <c r="AO373" s="90" t="n"/>
      <c r="AP373" s="90" t="n"/>
    </row>
    <row r="374" ht="14.25" customHeight="1" s="84">
      <c r="A374" s="51" t="n"/>
      <c r="B374" s="47" t="n"/>
      <c r="C374" s="51" t="n"/>
      <c r="D374" s="51" t="n"/>
      <c r="E374" s="51" t="n"/>
      <c r="F374" s="51" t="n"/>
      <c r="G374" s="47" t="n"/>
      <c r="H374" s="51" t="n"/>
      <c r="I374" s="51" t="n"/>
      <c r="J374" s="51" t="n"/>
      <c r="K374" s="51" t="n"/>
      <c r="L374" s="51" t="n"/>
      <c r="N374" s="51" t="n"/>
      <c r="Q374" s="51" t="n"/>
      <c r="S374" s="51" t="n"/>
      <c r="T374" s="51" t="n"/>
      <c r="U374" s="51" t="inlineStr"/>
      <c r="V374" s="55" t="n"/>
      <c r="W374" s="51" t="inlineStr"/>
      <c r="X374" s="51" t="inlineStr"/>
      <c r="Y374" s="51" t="n"/>
      <c r="AB374" s="57" t="n"/>
      <c r="AC374" s="90" t="n"/>
      <c r="AD374" s="90" t="n"/>
      <c r="AE374" s="88" t="n"/>
      <c r="AF374" s="91" t="n"/>
      <c r="AG374" s="91" t="n"/>
      <c r="AH374" s="88" t="n"/>
      <c r="AI374" s="88" t="n"/>
      <c r="AJ374" s="90" t="n"/>
      <c r="AK374" s="88" t="n"/>
      <c r="AL374" s="91" t="n"/>
      <c r="AM374" s="88" t="n"/>
      <c r="AN374" s="95" t="n"/>
      <c r="AO374" s="90" t="n"/>
      <c r="AP374" s="90" t="n"/>
    </row>
    <row r="375" ht="14.25" customHeight="1" s="84">
      <c r="A375" s="51" t="n"/>
      <c r="B375" s="47" t="n"/>
      <c r="C375" s="51" t="n"/>
      <c r="D375" s="51" t="n"/>
      <c r="E375" s="51" t="n"/>
      <c r="F375" s="51" t="n"/>
      <c r="G375" s="47" t="n"/>
      <c r="H375" s="51" t="n"/>
      <c r="I375" s="51" t="n"/>
      <c r="J375" s="51" t="n"/>
      <c r="K375" s="51" t="n"/>
      <c r="L375" s="51" t="n"/>
      <c r="N375" s="51" t="n"/>
      <c r="Q375" s="51" t="n"/>
      <c r="S375" s="51" t="n"/>
      <c r="T375" s="51" t="n"/>
      <c r="U375" s="51" t="inlineStr"/>
      <c r="V375" s="55" t="n"/>
      <c r="W375" s="51" t="inlineStr"/>
      <c r="X375" s="51" t="inlineStr"/>
      <c r="Y375" s="51" t="n"/>
      <c r="AB375" s="57" t="n"/>
      <c r="AC375" s="90" t="n"/>
      <c r="AD375" s="90" t="n"/>
      <c r="AE375" s="88" t="n"/>
      <c r="AF375" s="91" t="n"/>
      <c r="AG375" s="91" t="n"/>
      <c r="AH375" s="88" t="n"/>
      <c r="AI375" s="88" t="n"/>
      <c r="AJ375" s="90" t="n"/>
      <c r="AK375" s="88" t="n"/>
      <c r="AL375" s="91" t="n"/>
      <c r="AM375" s="88" t="n"/>
      <c r="AN375" s="95" t="n"/>
      <c r="AO375" s="90" t="n"/>
      <c r="AP375" s="90" t="n"/>
    </row>
    <row r="376" ht="14.25" customHeight="1" s="84">
      <c r="A376" s="51" t="n"/>
      <c r="B376" s="47" t="n"/>
      <c r="C376" s="51" t="n"/>
      <c r="D376" s="51" t="n"/>
      <c r="E376" s="51" t="n"/>
      <c r="F376" s="51" t="n"/>
      <c r="G376" s="47" t="n"/>
      <c r="H376" s="51" t="n"/>
      <c r="I376" s="51" t="n"/>
      <c r="J376" s="51" t="n"/>
      <c r="K376" s="51" t="n"/>
      <c r="L376" s="51" t="n"/>
      <c r="N376" s="51" t="n"/>
      <c r="Q376" s="51" t="n"/>
      <c r="S376" s="51" t="n"/>
      <c r="T376" s="51" t="n"/>
      <c r="U376" s="51" t="inlineStr"/>
      <c r="V376" s="55" t="n"/>
      <c r="W376" s="51" t="inlineStr"/>
      <c r="X376" s="51" t="inlineStr"/>
      <c r="Y376" s="51" t="n"/>
      <c r="AB376" s="57" t="n"/>
      <c r="AC376" s="90" t="n"/>
      <c r="AD376" s="90" t="n"/>
      <c r="AE376" s="88" t="n"/>
      <c r="AF376" s="91" t="n"/>
      <c r="AG376" s="91" t="n"/>
      <c r="AH376" s="88" t="n"/>
      <c r="AI376" s="88" t="n"/>
      <c r="AJ376" s="90" t="n"/>
      <c r="AK376" s="88" t="n"/>
      <c r="AL376" s="91" t="n"/>
      <c r="AM376" s="88" t="n"/>
      <c r="AN376" s="95" t="n"/>
      <c r="AO376" s="90" t="n"/>
      <c r="AP376" s="90" t="n"/>
    </row>
    <row r="377" ht="14.25" customHeight="1" s="84">
      <c r="A377" s="51" t="n"/>
      <c r="B377" s="47" t="n"/>
      <c r="C377" s="51" t="n"/>
      <c r="D377" s="51" t="n"/>
      <c r="E377" s="51" t="n"/>
      <c r="F377" s="51" t="n"/>
      <c r="G377" s="47" t="n"/>
      <c r="H377" s="51" t="n"/>
      <c r="I377" s="51" t="n"/>
      <c r="J377" s="51" t="n"/>
      <c r="K377" s="51" t="n"/>
      <c r="L377" s="51" t="n"/>
      <c r="N377" s="51" t="n"/>
      <c r="Q377" s="51" t="n"/>
      <c r="S377" s="51" t="n"/>
      <c r="T377" s="51" t="n"/>
      <c r="U377" s="51" t="inlineStr"/>
      <c r="V377" s="55" t="n"/>
      <c r="W377" s="51" t="inlineStr"/>
      <c r="X377" s="51" t="inlineStr"/>
      <c r="Y377" s="51" t="n"/>
      <c r="AB377" s="57" t="n"/>
      <c r="AC377" s="90" t="n"/>
      <c r="AD377" s="90" t="n"/>
      <c r="AE377" s="88" t="n"/>
      <c r="AF377" s="91" t="n"/>
      <c r="AG377" s="91" t="n"/>
      <c r="AH377" s="88" t="n"/>
      <c r="AI377" s="88" t="n"/>
      <c r="AJ377" s="90" t="n"/>
      <c r="AK377" s="88" t="n"/>
      <c r="AL377" s="91" t="n"/>
      <c r="AM377" s="88" t="n"/>
      <c r="AN377" s="95" t="n"/>
      <c r="AO377" s="90" t="n"/>
      <c r="AP377" s="90" t="n"/>
    </row>
    <row r="378" ht="14.25" customHeight="1" s="84">
      <c r="A378" s="51" t="n"/>
      <c r="B378" s="47" t="n"/>
      <c r="C378" s="51" t="n"/>
      <c r="D378" s="51" t="n"/>
      <c r="E378" s="51" t="n"/>
      <c r="F378" s="51" t="n"/>
      <c r="G378" s="47" t="n"/>
      <c r="H378" s="51" t="n"/>
      <c r="I378" s="51" t="n"/>
      <c r="J378" s="51" t="n"/>
      <c r="K378" s="51" t="n"/>
      <c r="L378" s="51" t="n"/>
      <c r="N378" s="51" t="n"/>
      <c r="Q378" s="51" t="n"/>
      <c r="S378" s="51" t="n"/>
      <c r="T378" s="51" t="n"/>
      <c r="U378" s="51" t="inlineStr"/>
      <c r="V378" s="55" t="n"/>
      <c r="W378" s="51" t="inlineStr"/>
      <c r="X378" s="51" t="inlineStr"/>
      <c r="Y378" s="51" t="n"/>
      <c r="AB378" s="57" t="n"/>
      <c r="AC378" s="90" t="n"/>
      <c r="AD378" s="90" t="n"/>
      <c r="AE378" s="88" t="n"/>
      <c r="AF378" s="91" t="n"/>
      <c r="AG378" s="91" t="n"/>
      <c r="AH378" s="88" t="n"/>
      <c r="AI378" s="88" t="n"/>
      <c r="AJ378" s="90" t="n"/>
      <c r="AK378" s="88" t="n"/>
      <c r="AL378" s="91" t="n"/>
      <c r="AM378" s="88" t="n"/>
      <c r="AN378" s="95" t="n"/>
      <c r="AO378" s="90" t="n"/>
      <c r="AP378" s="90" t="n"/>
    </row>
    <row r="379" ht="14.25" customHeight="1" s="84">
      <c r="A379" s="51" t="n"/>
      <c r="B379" s="47" t="n"/>
      <c r="C379" s="51" t="n"/>
      <c r="D379" s="51" t="n"/>
      <c r="E379" s="51" t="n"/>
      <c r="F379" s="51" t="n"/>
      <c r="G379" s="47" t="n"/>
      <c r="H379" s="51" t="n"/>
      <c r="I379" s="51" t="n"/>
      <c r="J379" s="51" t="n"/>
      <c r="K379" s="51" t="n"/>
      <c r="L379" s="51" t="n"/>
      <c r="N379" s="51" t="n"/>
      <c r="Q379" s="51" t="n"/>
      <c r="S379" s="51" t="n"/>
      <c r="T379" s="51" t="n"/>
      <c r="U379" s="51" t="inlineStr"/>
      <c r="V379" s="55" t="n"/>
      <c r="W379" s="51" t="inlineStr"/>
      <c r="X379" s="51" t="inlineStr"/>
      <c r="Y379" s="51" t="n"/>
      <c r="AB379" s="57" t="n"/>
      <c r="AC379" s="90" t="n"/>
      <c r="AD379" s="90" t="n"/>
      <c r="AE379" s="88" t="n"/>
      <c r="AF379" s="91" t="n"/>
      <c r="AG379" s="91" t="n"/>
      <c r="AH379" s="88" t="n"/>
      <c r="AI379" s="88" t="n"/>
      <c r="AJ379" s="90" t="n"/>
      <c r="AK379" s="88" t="n"/>
      <c r="AL379" s="91" t="n"/>
      <c r="AM379" s="88" t="n"/>
      <c r="AN379" s="95" t="n"/>
      <c r="AO379" s="90" t="n"/>
      <c r="AP379" s="90" t="n"/>
    </row>
    <row r="380" ht="14.25" customHeight="1" s="84">
      <c r="A380" s="51" t="n"/>
      <c r="B380" s="47" t="n"/>
      <c r="C380" s="51" t="n"/>
      <c r="D380" s="51" t="n"/>
      <c r="E380" s="51" t="n"/>
      <c r="F380" s="51" t="n"/>
      <c r="G380" s="47" t="n"/>
      <c r="H380" s="51" t="n"/>
      <c r="I380" s="51" t="n"/>
      <c r="J380" s="51" t="n"/>
      <c r="K380" s="51" t="n"/>
      <c r="L380" s="51" t="n"/>
      <c r="N380" s="51" t="n"/>
      <c r="Q380" s="51" t="n"/>
      <c r="S380" s="51" t="n"/>
      <c r="T380" s="51" t="n"/>
      <c r="U380" s="51" t="inlineStr"/>
      <c r="V380" s="55" t="n"/>
      <c r="W380" s="51" t="inlineStr"/>
      <c r="X380" s="51" t="inlineStr"/>
      <c r="Y380" s="51" t="n"/>
      <c r="AB380" s="57" t="n"/>
      <c r="AC380" s="90" t="n"/>
      <c r="AD380" s="90" t="n"/>
      <c r="AE380" s="88" t="n"/>
      <c r="AF380" s="91" t="n"/>
      <c r="AG380" s="91" t="n"/>
      <c r="AH380" s="88" t="n"/>
      <c r="AI380" s="88" t="n"/>
      <c r="AJ380" s="90" t="n"/>
      <c r="AK380" s="88" t="n"/>
      <c r="AL380" s="91" t="n"/>
      <c r="AM380" s="88" t="n"/>
      <c r="AN380" s="95" t="n"/>
      <c r="AO380" s="90" t="n"/>
      <c r="AP380" s="90" t="n"/>
    </row>
    <row r="381" ht="14.25" customHeight="1" s="84">
      <c r="A381" s="51" t="n"/>
      <c r="B381" s="47" t="n"/>
      <c r="C381" s="51" t="n"/>
      <c r="D381" s="51" t="n"/>
      <c r="E381" s="51" t="n"/>
      <c r="F381" s="51" t="n"/>
      <c r="G381" s="47" t="n"/>
      <c r="H381" s="51" t="n"/>
      <c r="I381" s="51" t="n"/>
      <c r="J381" s="51" t="n"/>
      <c r="K381" s="51" t="n"/>
      <c r="L381" s="51" t="n"/>
      <c r="N381" s="51" t="n"/>
      <c r="Q381" s="51" t="n"/>
      <c r="S381" s="51" t="n"/>
      <c r="T381" s="51" t="n"/>
      <c r="U381" s="51" t="inlineStr"/>
      <c r="V381" s="55" t="n"/>
      <c r="W381" s="51" t="inlineStr"/>
      <c r="X381" s="51" t="inlineStr"/>
      <c r="Y381" s="51" t="n"/>
      <c r="AB381" s="57" t="n"/>
      <c r="AC381" s="90" t="n"/>
      <c r="AD381" s="90" t="n"/>
      <c r="AE381" s="88" t="n"/>
      <c r="AF381" s="91" t="n"/>
      <c r="AG381" s="91" t="n"/>
      <c r="AH381" s="88" t="n"/>
      <c r="AI381" s="88" t="n"/>
      <c r="AJ381" s="90" t="n"/>
      <c r="AK381" s="88" t="n"/>
      <c r="AL381" s="91" t="n"/>
      <c r="AM381" s="88" t="n"/>
      <c r="AN381" s="95" t="n"/>
      <c r="AO381" s="90" t="n"/>
      <c r="AP381" s="90" t="n"/>
    </row>
    <row r="382" ht="14.25" customHeight="1" s="84">
      <c r="A382" s="51" t="n"/>
      <c r="B382" s="47" t="n"/>
      <c r="C382" s="51" t="n"/>
      <c r="D382" s="51" t="n"/>
      <c r="E382" s="51" t="n"/>
      <c r="F382" s="51" t="n"/>
      <c r="G382" s="47" t="n"/>
      <c r="H382" s="51" t="n"/>
      <c r="I382" s="51" t="n"/>
      <c r="J382" s="51" t="n"/>
      <c r="K382" s="51" t="n"/>
      <c r="L382" s="51" t="n"/>
      <c r="N382" s="51" t="n"/>
      <c r="Q382" s="51" t="n"/>
      <c r="S382" s="51" t="n"/>
      <c r="T382" s="51" t="n"/>
      <c r="U382" s="51" t="inlineStr"/>
      <c r="V382" s="55" t="n"/>
      <c r="W382" s="51" t="inlineStr"/>
      <c r="X382" s="51" t="inlineStr"/>
      <c r="Y382" s="51" t="n"/>
      <c r="AB382" s="57" t="n"/>
      <c r="AC382" s="90" t="n"/>
      <c r="AD382" s="90" t="n"/>
      <c r="AE382" s="88" t="n"/>
      <c r="AF382" s="91" t="n"/>
      <c r="AG382" s="91" t="n"/>
      <c r="AH382" s="88" t="n"/>
      <c r="AI382" s="88" t="n"/>
      <c r="AJ382" s="90" t="n"/>
      <c r="AK382" s="88" t="n"/>
      <c r="AL382" s="91" t="n"/>
      <c r="AM382" s="88" t="n"/>
      <c r="AN382" s="95" t="n"/>
      <c r="AO382" s="90" t="n"/>
      <c r="AP382" s="90" t="n"/>
    </row>
    <row r="383" ht="14.25" customHeight="1" s="84">
      <c r="A383" s="51" t="n"/>
      <c r="B383" s="47" t="n"/>
      <c r="C383" s="51" t="n"/>
      <c r="D383" s="51" t="n"/>
      <c r="E383" s="51" t="n"/>
      <c r="F383" s="51" t="n"/>
      <c r="G383" s="47" t="n"/>
      <c r="H383" s="51" t="n"/>
      <c r="I383" s="51" t="n"/>
      <c r="J383" s="51" t="n"/>
      <c r="K383" s="51" t="n"/>
      <c r="L383" s="51" t="n"/>
      <c r="N383" s="51" t="n"/>
      <c r="Q383" s="51" t="n"/>
      <c r="S383" s="51" t="n"/>
      <c r="T383" s="51" t="n"/>
      <c r="U383" s="51" t="inlineStr"/>
      <c r="V383" s="55" t="n"/>
      <c r="W383" s="51" t="inlineStr"/>
      <c r="X383" s="51" t="inlineStr"/>
      <c r="Y383" s="51" t="n"/>
      <c r="AB383" s="57" t="n"/>
      <c r="AC383" s="90" t="n"/>
      <c r="AD383" s="90" t="n"/>
      <c r="AE383" s="88" t="n"/>
      <c r="AF383" s="91" t="n"/>
      <c r="AG383" s="91" t="n"/>
      <c r="AH383" s="88" t="n"/>
      <c r="AI383" s="88" t="n"/>
      <c r="AJ383" s="90" t="n"/>
      <c r="AK383" s="88" t="n"/>
      <c r="AL383" s="91" t="n"/>
      <c r="AM383" s="88" t="n"/>
      <c r="AN383" s="95" t="n"/>
      <c r="AO383" s="90" t="n"/>
      <c r="AP383" s="90" t="n"/>
    </row>
    <row r="384" ht="14.25" customHeight="1" s="84">
      <c r="A384" s="51" t="n"/>
      <c r="B384" s="47" t="n"/>
      <c r="C384" s="51" t="n"/>
      <c r="D384" s="51" t="n"/>
      <c r="E384" s="51" t="n"/>
      <c r="F384" s="51" t="n"/>
      <c r="G384" s="47" t="n"/>
      <c r="H384" s="51" t="n"/>
      <c r="I384" s="51" t="n"/>
      <c r="J384" s="51" t="n"/>
      <c r="K384" s="51" t="n"/>
      <c r="L384" s="51" t="n"/>
      <c r="N384" s="51" t="n"/>
      <c r="Q384" s="51" t="n"/>
      <c r="S384" s="51" t="n"/>
      <c r="T384" s="51" t="n"/>
      <c r="U384" s="51" t="inlineStr"/>
      <c r="V384" s="55" t="n"/>
      <c r="W384" s="51" t="inlineStr"/>
      <c r="X384" s="51" t="inlineStr"/>
      <c r="Y384" s="51" t="n"/>
      <c r="AB384" s="57" t="n"/>
      <c r="AC384" s="90" t="n"/>
      <c r="AD384" s="90" t="n"/>
      <c r="AE384" s="88" t="n"/>
      <c r="AF384" s="91" t="n"/>
      <c r="AG384" s="91" t="n"/>
      <c r="AH384" s="88" t="n"/>
      <c r="AI384" s="88" t="n"/>
      <c r="AJ384" s="90" t="n"/>
      <c r="AK384" s="88" t="n"/>
      <c r="AL384" s="91" t="n"/>
      <c r="AM384" s="88" t="n"/>
      <c r="AN384" s="95" t="n"/>
      <c r="AO384" s="90" t="n"/>
      <c r="AP384" s="90" t="n"/>
    </row>
    <row r="385" ht="14.25" customHeight="1" s="84">
      <c r="A385" s="51" t="n"/>
      <c r="B385" s="47" t="n"/>
      <c r="C385" s="51" t="n"/>
      <c r="D385" s="51" t="n"/>
      <c r="E385" s="51" t="n"/>
      <c r="F385" s="51" t="n"/>
      <c r="G385" s="47" t="n"/>
      <c r="H385" s="51" t="n"/>
      <c r="I385" s="51" t="n"/>
      <c r="J385" s="51" t="n"/>
      <c r="K385" s="51" t="n"/>
      <c r="L385" s="51" t="n"/>
      <c r="N385" s="51" t="n"/>
      <c r="Q385" s="51" t="n"/>
      <c r="S385" s="51" t="n"/>
      <c r="T385" s="51" t="n"/>
      <c r="U385" s="51" t="inlineStr"/>
      <c r="V385" s="55" t="n"/>
      <c r="W385" s="51" t="inlineStr"/>
      <c r="X385" s="51" t="inlineStr"/>
      <c r="Y385" s="51" t="n"/>
      <c r="AB385" s="57" t="n"/>
      <c r="AC385" s="90" t="n"/>
      <c r="AD385" s="90" t="n"/>
      <c r="AE385" s="88" t="n"/>
      <c r="AF385" s="91" t="n"/>
      <c r="AG385" s="91" t="n"/>
      <c r="AH385" s="88" t="n"/>
      <c r="AI385" s="88" t="n"/>
      <c r="AJ385" s="90" t="n"/>
      <c r="AK385" s="88" t="n"/>
      <c r="AL385" s="91" t="n"/>
      <c r="AM385" s="88" t="n"/>
      <c r="AN385" s="95" t="n"/>
      <c r="AO385" s="90" t="n"/>
      <c r="AP385" s="90" t="n"/>
    </row>
    <row r="386" ht="14.25" customHeight="1" s="84">
      <c r="A386" s="51" t="n"/>
      <c r="B386" s="47" t="n"/>
      <c r="C386" s="51" t="n"/>
      <c r="D386" s="51" t="n"/>
      <c r="E386" s="51" t="n"/>
      <c r="F386" s="51" t="n"/>
      <c r="G386" s="47" t="n"/>
      <c r="H386" s="51" t="n"/>
      <c r="I386" s="51" t="n"/>
      <c r="J386" s="51" t="n"/>
      <c r="K386" s="51" t="n"/>
      <c r="L386" s="51" t="n"/>
      <c r="N386" s="51" t="n"/>
      <c r="Q386" s="51" t="n"/>
      <c r="S386" s="51" t="n"/>
      <c r="T386" s="51" t="n"/>
      <c r="U386" s="51" t="inlineStr"/>
      <c r="V386" s="55" t="n"/>
      <c r="W386" s="51" t="inlineStr"/>
      <c r="X386" s="51" t="inlineStr"/>
      <c r="Y386" s="51" t="n"/>
      <c r="AB386" s="57" t="n"/>
      <c r="AC386" s="90" t="n"/>
      <c r="AD386" s="90" t="n"/>
      <c r="AE386" s="88" t="n"/>
      <c r="AF386" s="91" t="n"/>
      <c r="AG386" s="91" t="n"/>
      <c r="AH386" s="88" t="n"/>
      <c r="AI386" s="88" t="n"/>
      <c r="AJ386" s="90" t="n"/>
      <c r="AK386" s="88" t="n"/>
      <c r="AL386" s="91" t="n"/>
      <c r="AM386" s="88" t="n"/>
      <c r="AN386" s="95" t="n"/>
      <c r="AO386" s="90" t="n"/>
      <c r="AP386" s="90" t="n"/>
    </row>
    <row r="387" ht="14.25" customHeight="1" s="84">
      <c r="A387" s="51" t="n"/>
      <c r="B387" s="47" t="n"/>
      <c r="C387" s="51" t="n"/>
      <c r="D387" s="51" t="n"/>
      <c r="E387" s="51" t="n"/>
      <c r="F387" s="51" t="n"/>
      <c r="G387" s="47" t="n"/>
      <c r="H387" s="51" t="n"/>
      <c r="I387" s="51" t="n"/>
      <c r="J387" s="51" t="n"/>
      <c r="K387" s="51" t="n"/>
      <c r="L387" s="51" t="n"/>
      <c r="N387" s="51" t="n"/>
      <c r="Q387" s="51" t="n"/>
      <c r="S387" s="51" t="n"/>
      <c r="T387" s="51" t="n"/>
      <c r="U387" s="51" t="inlineStr"/>
      <c r="V387" s="55" t="n"/>
      <c r="W387" s="51" t="inlineStr"/>
      <c r="X387" s="51" t="inlineStr"/>
      <c r="Y387" s="51" t="n"/>
      <c r="AB387" s="57" t="n"/>
      <c r="AC387" s="90" t="n"/>
      <c r="AD387" s="90" t="n"/>
      <c r="AE387" s="88" t="n"/>
      <c r="AF387" s="91" t="n"/>
      <c r="AG387" s="91" t="n"/>
      <c r="AH387" s="88" t="n"/>
      <c r="AI387" s="88" t="n"/>
      <c r="AJ387" s="90" t="n"/>
      <c r="AK387" s="88" t="n"/>
      <c r="AL387" s="91" t="n"/>
      <c r="AM387" s="88" t="n"/>
      <c r="AN387" s="95" t="n"/>
      <c r="AO387" s="90" t="n"/>
      <c r="AP387" s="90" t="n"/>
    </row>
    <row r="388" ht="14.25" customHeight="1" s="84">
      <c r="A388" s="51" t="n"/>
      <c r="B388" s="47" t="n"/>
      <c r="C388" s="51" t="n"/>
      <c r="D388" s="51" t="n"/>
      <c r="E388" s="51" t="n"/>
      <c r="F388" s="51" t="n"/>
      <c r="G388" s="47" t="n"/>
      <c r="H388" s="51" t="n"/>
      <c r="I388" s="51" t="n"/>
      <c r="J388" s="51" t="n"/>
      <c r="K388" s="51" t="n"/>
      <c r="L388" s="51" t="n"/>
      <c r="N388" s="51" t="n"/>
      <c r="Q388" s="51" t="n"/>
      <c r="S388" s="51" t="n"/>
      <c r="T388" s="51" t="n"/>
      <c r="U388" s="51" t="inlineStr"/>
      <c r="V388" s="55" t="n"/>
      <c r="W388" s="51" t="inlineStr"/>
      <c r="X388" s="51" t="inlineStr"/>
      <c r="Y388" s="51" t="n"/>
      <c r="AB388" s="57" t="n"/>
      <c r="AC388" s="90" t="n"/>
      <c r="AD388" s="90" t="n"/>
      <c r="AE388" s="88" t="n"/>
      <c r="AF388" s="91" t="n"/>
      <c r="AG388" s="91" t="n"/>
      <c r="AH388" s="88" t="n"/>
      <c r="AI388" s="88" t="n"/>
      <c r="AJ388" s="90" t="n"/>
      <c r="AK388" s="88" t="n"/>
      <c r="AL388" s="91" t="n"/>
      <c r="AM388" s="88" t="n"/>
      <c r="AN388" s="95" t="n"/>
      <c r="AO388" s="90" t="n"/>
      <c r="AP388" s="90" t="n"/>
    </row>
    <row r="389" ht="14.25" customHeight="1" s="84">
      <c r="A389" s="51" t="n"/>
      <c r="B389" s="47" t="n"/>
      <c r="C389" s="51" t="n"/>
      <c r="D389" s="51" t="n"/>
      <c r="E389" s="51" t="n"/>
      <c r="F389" s="51" t="n"/>
      <c r="G389" s="47" t="n"/>
      <c r="H389" s="51" t="n"/>
      <c r="I389" s="51" t="n"/>
      <c r="J389" s="51" t="n"/>
      <c r="K389" s="51" t="n"/>
      <c r="L389" s="51" t="n"/>
      <c r="N389" s="51" t="n"/>
      <c r="Q389" s="51" t="n"/>
      <c r="S389" s="51" t="n"/>
      <c r="T389" s="51" t="n"/>
      <c r="U389" s="51" t="inlineStr"/>
      <c r="V389" s="55" t="n"/>
      <c r="W389" s="51" t="inlineStr"/>
      <c r="X389" s="51" t="inlineStr"/>
      <c r="Y389" s="51" t="n"/>
      <c r="AB389" s="57" t="n"/>
      <c r="AC389" s="90" t="n"/>
      <c r="AD389" s="90" t="n"/>
      <c r="AE389" s="88" t="n"/>
      <c r="AF389" s="91" t="n"/>
      <c r="AG389" s="91" t="n"/>
      <c r="AH389" s="88" t="n"/>
      <c r="AI389" s="88" t="n"/>
      <c r="AJ389" s="90" t="n"/>
      <c r="AK389" s="88" t="n"/>
      <c r="AL389" s="91" t="n"/>
      <c r="AM389" s="88" t="n"/>
      <c r="AN389" s="95" t="n"/>
      <c r="AO389" s="90" t="n"/>
      <c r="AP389" s="90" t="n"/>
    </row>
    <row r="390" ht="14.25" customHeight="1" s="84">
      <c r="A390" s="51" t="n"/>
      <c r="B390" s="47" t="n"/>
      <c r="C390" s="51" t="n"/>
      <c r="D390" s="51" t="n"/>
      <c r="E390" s="51" t="n"/>
      <c r="F390" s="51" t="n"/>
      <c r="G390" s="47" t="n"/>
      <c r="H390" s="51" t="n"/>
      <c r="I390" s="51" t="n"/>
      <c r="J390" s="51" t="n"/>
      <c r="K390" s="51" t="n"/>
      <c r="L390" s="51" t="n"/>
      <c r="N390" s="51" t="n"/>
      <c r="Q390" s="51" t="n"/>
      <c r="S390" s="51" t="n"/>
      <c r="T390" s="51" t="n"/>
      <c r="U390" s="51" t="inlineStr"/>
      <c r="V390" s="55" t="n"/>
      <c r="W390" s="51" t="inlineStr"/>
      <c r="X390" s="51" t="inlineStr"/>
      <c r="Y390" s="51" t="n"/>
      <c r="AB390" s="57" t="n"/>
      <c r="AC390" s="90" t="n"/>
      <c r="AD390" s="90" t="n"/>
      <c r="AE390" s="88" t="n"/>
      <c r="AF390" s="91" t="n"/>
      <c r="AG390" s="91" t="n"/>
      <c r="AH390" s="88" t="n"/>
      <c r="AI390" s="88" t="n"/>
      <c r="AJ390" s="90" t="n"/>
      <c r="AK390" s="88" t="n"/>
      <c r="AL390" s="91" t="n"/>
      <c r="AM390" s="88" t="n"/>
      <c r="AN390" s="95" t="n"/>
      <c r="AO390" s="90" t="n"/>
      <c r="AP390" s="90" t="n"/>
    </row>
    <row r="391" ht="14.25" customHeight="1" s="84">
      <c r="A391" s="51" t="n"/>
      <c r="B391" s="47" t="n"/>
      <c r="C391" s="51" t="n"/>
      <c r="D391" s="51" t="n"/>
      <c r="E391" s="51" t="n"/>
      <c r="F391" s="51" t="n"/>
      <c r="G391" s="47" t="n"/>
      <c r="H391" s="51" t="n"/>
      <c r="I391" s="51" t="n"/>
      <c r="J391" s="51" t="n"/>
      <c r="K391" s="51" t="n"/>
      <c r="L391" s="51" t="n"/>
      <c r="N391" s="51" t="n"/>
      <c r="Q391" s="51" t="n"/>
      <c r="S391" s="51" t="n"/>
      <c r="T391" s="51" t="n"/>
      <c r="U391" s="51" t="inlineStr"/>
      <c r="V391" s="55" t="n"/>
      <c r="W391" s="51" t="inlineStr"/>
      <c r="X391" s="51" t="inlineStr"/>
      <c r="Y391" s="51" t="n"/>
      <c r="AB391" s="57" t="n"/>
      <c r="AC391" s="90" t="n"/>
      <c r="AD391" s="90" t="n"/>
      <c r="AE391" s="88" t="n"/>
      <c r="AF391" s="91" t="n"/>
      <c r="AG391" s="91" t="n"/>
      <c r="AH391" s="88" t="n"/>
      <c r="AI391" s="88" t="n"/>
      <c r="AJ391" s="90" t="n"/>
      <c r="AK391" s="88" t="n"/>
      <c r="AL391" s="91" t="n"/>
      <c r="AM391" s="88" t="n"/>
      <c r="AN391" s="95" t="n"/>
      <c r="AO391" s="90" t="n"/>
      <c r="AP391" s="90" t="n"/>
    </row>
    <row r="392" ht="14.25" customHeight="1" s="84">
      <c r="A392" s="51" t="n"/>
      <c r="B392" s="47" t="n"/>
      <c r="C392" s="51" t="n"/>
      <c r="D392" s="51" t="n"/>
      <c r="E392" s="51" t="n"/>
      <c r="F392" s="51" t="n"/>
      <c r="G392" s="47" t="n"/>
      <c r="H392" s="51" t="n"/>
      <c r="I392" s="51" t="n"/>
      <c r="J392" s="51" t="n"/>
      <c r="K392" s="51" t="n"/>
      <c r="L392" s="51" t="n"/>
      <c r="N392" s="51" t="n"/>
      <c r="Q392" s="51" t="n"/>
      <c r="S392" s="51" t="n"/>
      <c r="T392" s="51" t="n"/>
      <c r="U392" s="51" t="inlineStr"/>
      <c r="V392" s="55" t="n"/>
      <c r="W392" s="51" t="inlineStr"/>
      <c r="X392" s="51" t="inlineStr"/>
      <c r="Y392" s="51" t="n"/>
      <c r="AB392" s="57" t="n"/>
      <c r="AC392" s="90" t="n"/>
      <c r="AD392" s="90" t="n"/>
      <c r="AE392" s="88" t="n"/>
      <c r="AF392" s="91" t="n"/>
      <c r="AG392" s="91" t="n"/>
      <c r="AH392" s="88" t="n"/>
      <c r="AI392" s="88" t="n"/>
      <c r="AJ392" s="90" t="n"/>
      <c r="AK392" s="88" t="n"/>
      <c r="AL392" s="91" t="n"/>
      <c r="AM392" s="88" t="n"/>
      <c r="AN392" s="95" t="n"/>
      <c r="AO392" s="90" t="n"/>
      <c r="AP392" s="90" t="n"/>
    </row>
    <row r="393" ht="14.25" customHeight="1" s="84">
      <c r="A393" s="51" t="n"/>
      <c r="B393" s="47" t="n"/>
      <c r="C393" s="51" t="n"/>
      <c r="D393" s="51" t="n"/>
      <c r="E393" s="51" t="n"/>
      <c r="F393" s="51" t="n"/>
      <c r="G393" s="47" t="n"/>
      <c r="H393" s="51" t="n"/>
      <c r="I393" s="51" t="n"/>
      <c r="J393" s="51" t="n"/>
      <c r="K393" s="51" t="n"/>
      <c r="L393" s="51" t="n"/>
      <c r="N393" s="51" t="n"/>
      <c r="Q393" s="51" t="n"/>
      <c r="S393" s="51" t="n"/>
      <c r="T393" s="51" t="n"/>
      <c r="U393" s="51" t="inlineStr"/>
      <c r="V393" s="55" t="n"/>
      <c r="W393" s="51" t="inlineStr"/>
      <c r="X393" s="51" t="inlineStr"/>
      <c r="Y393" s="51" t="n"/>
      <c r="AB393" s="57" t="n"/>
      <c r="AC393" s="90" t="n"/>
      <c r="AD393" s="90" t="n"/>
      <c r="AE393" s="88" t="n"/>
      <c r="AF393" s="91" t="n"/>
      <c r="AG393" s="91" t="n"/>
      <c r="AH393" s="88" t="n"/>
      <c r="AI393" s="88" t="n"/>
      <c r="AJ393" s="90" t="n"/>
      <c r="AK393" s="88" t="n"/>
      <c r="AL393" s="91" t="n"/>
      <c r="AM393" s="88" t="n"/>
      <c r="AN393" s="95" t="n"/>
      <c r="AO393" s="90" t="n"/>
      <c r="AP393" s="90" t="n"/>
    </row>
    <row r="394" ht="14.25" customHeight="1" s="84">
      <c r="A394" s="51" t="n"/>
      <c r="B394" s="47" t="n"/>
      <c r="C394" s="51" t="n"/>
      <c r="D394" s="51" t="n"/>
      <c r="E394" s="51" t="n"/>
      <c r="F394" s="51" t="n"/>
      <c r="G394" s="47" t="n"/>
      <c r="H394" s="51" t="n"/>
      <c r="I394" s="51" t="n"/>
      <c r="J394" s="51" t="n"/>
      <c r="K394" s="51" t="n"/>
      <c r="L394" s="51" t="n"/>
      <c r="N394" s="51" t="n"/>
      <c r="Q394" s="51" t="n"/>
      <c r="S394" s="51" t="n"/>
      <c r="T394" s="51" t="n"/>
      <c r="U394" s="51" t="inlineStr"/>
      <c r="V394" s="55" t="n"/>
      <c r="W394" s="51" t="inlineStr"/>
      <c r="X394" s="51" t="inlineStr"/>
      <c r="Y394" s="51" t="n"/>
      <c r="AB394" s="57" t="n"/>
      <c r="AC394" s="90" t="n"/>
      <c r="AD394" s="90" t="n"/>
      <c r="AE394" s="88" t="n"/>
      <c r="AF394" s="91" t="n"/>
      <c r="AG394" s="91" t="n"/>
      <c r="AH394" s="88" t="n"/>
      <c r="AI394" s="88" t="n"/>
      <c r="AJ394" s="90" t="n"/>
      <c r="AK394" s="88" t="n"/>
      <c r="AL394" s="91" t="n"/>
      <c r="AM394" s="88" t="n"/>
      <c r="AN394" s="95" t="n"/>
      <c r="AO394" s="90" t="n"/>
      <c r="AP394" s="90" t="n"/>
    </row>
    <row r="395" ht="14.25" customHeight="1" s="84">
      <c r="A395" s="51" t="n"/>
      <c r="B395" s="47" t="n"/>
      <c r="C395" s="51" t="n"/>
      <c r="D395" s="51" t="n"/>
      <c r="E395" s="51" t="n"/>
      <c r="F395" s="51" t="n"/>
      <c r="G395" s="47" t="n"/>
      <c r="H395" s="51" t="n"/>
      <c r="I395" s="51" t="n"/>
      <c r="J395" s="51" t="n"/>
      <c r="K395" s="51" t="n"/>
      <c r="L395" s="51" t="n"/>
      <c r="N395" s="51" t="n"/>
      <c r="Q395" s="51" t="n"/>
      <c r="S395" s="51" t="n"/>
      <c r="T395" s="51" t="n"/>
      <c r="U395" s="51" t="inlineStr"/>
      <c r="V395" s="55" t="n"/>
      <c r="W395" s="51" t="inlineStr"/>
      <c r="X395" s="51" t="inlineStr"/>
      <c r="Y395" s="51" t="n"/>
      <c r="AB395" s="57" t="n"/>
      <c r="AC395" s="90" t="n"/>
      <c r="AD395" s="90" t="n"/>
      <c r="AE395" s="88" t="n"/>
      <c r="AF395" s="91" t="n"/>
      <c r="AG395" s="91" t="n"/>
      <c r="AH395" s="88" t="n"/>
      <c r="AI395" s="88" t="n"/>
      <c r="AJ395" s="90" t="n"/>
      <c r="AK395" s="88" t="n"/>
      <c r="AL395" s="91" t="n"/>
      <c r="AM395" s="88" t="n"/>
      <c r="AN395" s="95" t="n"/>
      <c r="AO395" s="90" t="n"/>
      <c r="AP395" s="90" t="n"/>
    </row>
    <row r="396" ht="14.25" customHeight="1" s="84">
      <c r="A396" s="51" t="n"/>
      <c r="B396" s="47" t="n"/>
      <c r="C396" s="51" t="n"/>
      <c r="D396" s="51" t="n"/>
      <c r="E396" s="51" t="n"/>
      <c r="F396" s="51" t="n"/>
      <c r="G396" s="47" t="n"/>
      <c r="H396" s="51" t="n"/>
      <c r="I396" s="51" t="n"/>
      <c r="J396" s="51" t="n"/>
      <c r="K396" s="51" t="n"/>
      <c r="L396" s="51" t="n"/>
      <c r="N396" s="51" t="n"/>
      <c r="Q396" s="51" t="n"/>
      <c r="S396" s="51" t="n"/>
      <c r="T396" s="51" t="n"/>
      <c r="U396" s="51" t="inlineStr"/>
      <c r="V396" s="55" t="n"/>
      <c r="W396" s="51" t="inlineStr"/>
      <c r="X396" s="51" t="inlineStr"/>
      <c r="Y396" s="51" t="n"/>
      <c r="AB396" s="57" t="n"/>
      <c r="AC396" s="90" t="n"/>
      <c r="AD396" s="90" t="n"/>
      <c r="AE396" s="88" t="n"/>
      <c r="AF396" s="91" t="n"/>
      <c r="AG396" s="91" t="n"/>
      <c r="AH396" s="88" t="n"/>
      <c r="AI396" s="88" t="n"/>
      <c r="AJ396" s="90" t="n"/>
      <c r="AK396" s="88" t="n"/>
      <c r="AL396" s="91" t="n"/>
      <c r="AM396" s="88" t="n"/>
      <c r="AN396" s="95" t="n"/>
      <c r="AO396" s="90" t="n"/>
      <c r="AP396" s="90" t="n"/>
    </row>
    <row r="397" ht="14.25" customHeight="1" s="84">
      <c r="A397" s="51" t="n"/>
      <c r="B397" s="47" t="n"/>
      <c r="C397" s="51" t="n"/>
      <c r="D397" s="51" t="n"/>
      <c r="E397" s="51" t="n"/>
      <c r="F397" s="51" t="n"/>
      <c r="G397" s="47" t="n"/>
      <c r="H397" s="51" t="n"/>
      <c r="I397" s="51" t="n"/>
      <c r="J397" s="51" t="n"/>
      <c r="K397" s="51" t="n"/>
      <c r="L397" s="51" t="n"/>
      <c r="N397" s="51" t="n"/>
      <c r="Q397" s="51" t="n"/>
      <c r="S397" s="51" t="n"/>
      <c r="T397" s="51" t="n"/>
      <c r="U397" s="51" t="inlineStr"/>
      <c r="V397" s="55" t="n"/>
      <c r="W397" s="51" t="inlineStr"/>
      <c r="X397" s="51" t="inlineStr"/>
      <c r="Y397" s="51" t="n"/>
      <c r="AB397" s="57" t="n"/>
      <c r="AC397" s="90" t="n"/>
      <c r="AD397" s="90" t="n"/>
      <c r="AE397" s="88" t="n"/>
      <c r="AF397" s="91" t="n"/>
      <c r="AG397" s="91" t="n"/>
      <c r="AH397" s="88" t="n"/>
      <c r="AI397" s="88" t="n"/>
      <c r="AJ397" s="90" t="n"/>
      <c r="AK397" s="88" t="n"/>
      <c r="AL397" s="91" t="n"/>
      <c r="AM397" s="88" t="n"/>
      <c r="AN397" s="95" t="n"/>
      <c r="AO397" s="90" t="n"/>
      <c r="AP397" s="90" t="n"/>
    </row>
    <row r="398" ht="14.25" customHeight="1" s="84">
      <c r="A398" s="51" t="n"/>
      <c r="B398" s="47" t="n"/>
      <c r="C398" s="51" t="n"/>
      <c r="D398" s="51" t="n"/>
      <c r="E398" s="51" t="n"/>
      <c r="F398" s="51" t="n"/>
      <c r="G398" s="47" t="n"/>
      <c r="H398" s="51" t="n"/>
      <c r="I398" s="51" t="n"/>
      <c r="J398" s="51" t="n"/>
      <c r="K398" s="51" t="n"/>
      <c r="L398" s="51" t="n"/>
      <c r="N398" s="51" t="n"/>
      <c r="Q398" s="51" t="n"/>
      <c r="S398" s="51" t="n"/>
      <c r="T398" s="51" t="n"/>
      <c r="U398" s="51" t="inlineStr"/>
      <c r="V398" s="55" t="n"/>
      <c r="W398" s="51" t="inlineStr"/>
      <c r="X398" s="51" t="inlineStr"/>
      <c r="Y398" s="51" t="n"/>
      <c r="AB398" s="57" t="n"/>
      <c r="AC398" s="90" t="n"/>
      <c r="AD398" s="90" t="n"/>
      <c r="AE398" s="88" t="n"/>
      <c r="AF398" s="91" t="n"/>
      <c r="AG398" s="91" t="n"/>
      <c r="AH398" s="88" t="n"/>
      <c r="AI398" s="88" t="n"/>
      <c r="AJ398" s="90" t="n"/>
      <c r="AK398" s="88" t="n"/>
      <c r="AL398" s="91" t="n"/>
      <c r="AM398" s="88" t="n"/>
      <c r="AN398" s="95" t="n"/>
      <c r="AO398" s="90" t="n"/>
      <c r="AP398" s="90" t="n"/>
    </row>
    <row r="399" ht="14.25" customHeight="1" s="84">
      <c r="A399" s="51" t="n"/>
      <c r="B399" s="47" t="n"/>
      <c r="C399" s="51" t="n"/>
      <c r="D399" s="51" t="n"/>
      <c r="E399" s="51" t="n"/>
      <c r="F399" s="51" t="n"/>
      <c r="G399" s="47" t="n"/>
      <c r="H399" s="51" t="n"/>
      <c r="I399" s="51" t="n"/>
      <c r="J399" s="51" t="n"/>
      <c r="K399" s="51" t="n"/>
      <c r="L399" s="51" t="n"/>
      <c r="N399" s="51" t="n"/>
      <c r="Q399" s="51" t="n"/>
      <c r="S399" s="51" t="n"/>
      <c r="T399" s="51" t="n"/>
      <c r="U399" s="51" t="inlineStr"/>
      <c r="V399" s="55" t="n"/>
      <c r="W399" s="51" t="inlineStr"/>
      <c r="X399" s="51" t="inlineStr"/>
      <c r="Y399" s="51" t="n"/>
      <c r="AB399" s="57" t="n"/>
      <c r="AC399" s="90" t="n"/>
      <c r="AD399" s="90" t="n"/>
      <c r="AE399" s="88" t="n"/>
      <c r="AF399" s="91" t="n"/>
      <c r="AG399" s="91" t="n"/>
      <c r="AH399" s="88" t="n"/>
      <c r="AI399" s="88" t="n"/>
      <c r="AJ399" s="90" t="n"/>
      <c r="AK399" s="88" t="n"/>
      <c r="AL399" s="91" t="n"/>
      <c r="AM399" s="88" t="n"/>
      <c r="AN399" s="95" t="n"/>
      <c r="AO399" s="90" t="n"/>
      <c r="AP399" s="90" t="n"/>
    </row>
    <row r="400" ht="14.25" customHeight="1" s="84">
      <c r="A400" s="51" t="n"/>
      <c r="B400" s="47" t="n"/>
      <c r="C400" s="51" t="n"/>
      <c r="D400" s="51" t="n"/>
      <c r="E400" s="51" t="n"/>
      <c r="F400" s="51" t="n"/>
      <c r="G400" s="47" t="n"/>
      <c r="H400" s="51" t="n"/>
      <c r="I400" s="51" t="n"/>
      <c r="J400" s="51" t="n"/>
      <c r="K400" s="51" t="n"/>
      <c r="L400" s="51" t="n"/>
      <c r="N400" s="51" t="n"/>
      <c r="Q400" s="51" t="n"/>
      <c r="S400" s="51" t="n"/>
      <c r="T400" s="51" t="n"/>
      <c r="U400" s="51" t="inlineStr"/>
      <c r="V400" s="55" t="n"/>
      <c r="W400" s="51" t="inlineStr"/>
      <c r="X400" s="51" t="inlineStr"/>
      <c r="Y400" s="51" t="n"/>
      <c r="AB400" s="57" t="n"/>
      <c r="AC400" s="90" t="n"/>
      <c r="AD400" s="90" t="n"/>
      <c r="AE400" s="88" t="n"/>
      <c r="AF400" s="91" t="n"/>
      <c r="AG400" s="91" t="n"/>
      <c r="AH400" s="88" t="n"/>
      <c r="AI400" s="88" t="n"/>
      <c r="AJ400" s="90" t="n"/>
      <c r="AK400" s="88" t="n"/>
      <c r="AL400" s="91" t="n"/>
      <c r="AM400" s="88" t="n"/>
      <c r="AN400" s="95" t="n"/>
      <c r="AO400" s="90" t="n"/>
      <c r="AP400" s="90" t="n"/>
    </row>
    <row r="401" ht="14.25" customHeight="1" s="84">
      <c r="A401" s="51" t="n"/>
      <c r="B401" s="47" t="n"/>
      <c r="C401" s="51" t="n"/>
      <c r="D401" s="51" t="n"/>
      <c r="E401" s="51" t="n"/>
      <c r="F401" s="51" t="n"/>
      <c r="G401" s="47" t="n"/>
      <c r="H401" s="51" t="n"/>
      <c r="I401" s="51" t="n"/>
      <c r="J401" s="51" t="n"/>
      <c r="K401" s="51" t="n"/>
      <c r="L401" s="51" t="n"/>
      <c r="N401" s="51" t="n"/>
      <c r="Q401" s="51" t="n"/>
      <c r="S401" s="51" t="n"/>
      <c r="T401" s="51" t="n"/>
      <c r="U401" s="51" t="inlineStr"/>
      <c r="V401" s="55" t="n"/>
      <c r="W401" s="51" t="inlineStr"/>
      <c r="X401" s="51" t="inlineStr"/>
      <c r="Y401" s="51" t="n"/>
      <c r="AB401" s="57" t="n"/>
      <c r="AC401" s="90" t="n"/>
      <c r="AD401" s="90" t="n"/>
      <c r="AE401" s="88" t="n"/>
      <c r="AF401" s="91" t="n"/>
      <c r="AG401" s="91" t="n"/>
      <c r="AH401" s="88" t="n"/>
      <c r="AI401" s="88" t="n"/>
      <c r="AJ401" s="90" t="n"/>
      <c r="AK401" s="88" t="n"/>
      <c r="AL401" s="91" t="n"/>
      <c r="AM401" s="88" t="n"/>
      <c r="AN401" s="95" t="n"/>
      <c r="AO401" s="90" t="n"/>
      <c r="AP401" s="90" t="n"/>
    </row>
    <row r="402" ht="14.25" customHeight="1" s="84">
      <c r="A402" s="51" t="n"/>
      <c r="B402" s="47" t="n"/>
      <c r="C402" s="51" t="n"/>
      <c r="D402" s="51" t="n"/>
      <c r="E402" s="51" t="n"/>
      <c r="F402" s="51" t="n"/>
      <c r="G402" s="47" t="n"/>
      <c r="H402" s="51" t="n"/>
      <c r="I402" s="51" t="n"/>
      <c r="J402" s="51" t="n"/>
      <c r="K402" s="51" t="n"/>
      <c r="L402" s="51" t="n"/>
      <c r="N402" s="51" t="n"/>
      <c r="Q402" s="51" t="n"/>
      <c r="S402" s="51" t="n"/>
      <c r="T402" s="51" t="n"/>
      <c r="U402" s="51" t="inlineStr"/>
      <c r="V402" s="55" t="n"/>
      <c r="W402" s="51" t="inlineStr"/>
      <c r="X402" s="51" t="inlineStr"/>
      <c r="Y402" s="51" t="n"/>
      <c r="AB402" s="57" t="n"/>
      <c r="AC402" s="90" t="n"/>
      <c r="AD402" s="90" t="n"/>
      <c r="AE402" s="88" t="n"/>
      <c r="AF402" s="91" t="n"/>
      <c r="AG402" s="91" t="n"/>
      <c r="AH402" s="88" t="n"/>
      <c r="AI402" s="88" t="n"/>
      <c r="AJ402" s="90" t="n"/>
      <c r="AK402" s="88" t="n"/>
      <c r="AL402" s="91" t="n"/>
      <c r="AM402" s="88" t="n"/>
      <c r="AN402" s="95" t="n"/>
      <c r="AO402" s="90" t="n"/>
      <c r="AP402" s="90" t="n"/>
    </row>
    <row r="403" ht="14.25" customHeight="1" s="84">
      <c r="A403" s="51" t="n"/>
      <c r="B403" s="47" t="n"/>
      <c r="C403" s="51" t="n"/>
      <c r="D403" s="51" t="n"/>
      <c r="E403" s="51" t="n"/>
      <c r="F403" s="51" t="n"/>
      <c r="G403" s="47" t="n"/>
      <c r="H403" s="51" t="n"/>
      <c r="I403" s="51" t="n"/>
      <c r="J403" s="51" t="n"/>
      <c r="K403" s="51" t="n"/>
      <c r="L403" s="51" t="n"/>
      <c r="N403" s="51" t="n"/>
      <c r="Q403" s="51" t="n"/>
      <c r="S403" s="51" t="n"/>
      <c r="T403" s="51" t="n"/>
      <c r="U403" s="51" t="inlineStr"/>
      <c r="V403" s="55" t="n"/>
      <c r="W403" s="51" t="inlineStr"/>
      <c r="X403" s="51" t="inlineStr"/>
      <c r="Y403" s="51" t="n"/>
      <c r="AB403" s="57" t="n"/>
      <c r="AC403" s="90" t="n"/>
      <c r="AD403" s="90" t="n"/>
      <c r="AE403" s="88" t="n"/>
      <c r="AF403" s="91" t="n"/>
      <c r="AG403" s="91" t="n"/>
      <c r="AH403" s="88" t="n"/>
      <c r="AI403" s="88" t="n"/>
      <c r="AJ403" s="90" t="n"/>
      <c r="AK403" s="88" t="n"/>
      <c r="AL403" s="91" t="n"/>
      <c r="AM403" s="88" t="n"/>
      <c r="AN403" s="95" t="n"/>
      <c r="AO403" s="90" t="n"/>
      <c r="AP403" s="90" t="n"/>
    </row>
    <row r="404" ht="14.25" customHeight="1" s="84">
      <c r="A404" s="51" t="n"/>
      <c r="B404" s="47" t="n"/>
      <c r="C404" s="51" t="n"/>
      <c r="D404" s="51" t="n"/>
      <c r="E404" s="51" t="n"/>
      <c r="F404" s="51" t="n"/>
      <c r="G404" s="47" t="n"/>
      <c r="H404" s="51" t="n"/>
      <c r="I404" s="51" t="n"/>
      <c r="J404" s="51" t="n"/>
      <c r="K404" s="51" t="n"/>
      <c r="L404" s="51" t="n"/>
      <c r="N404" s="51" t="n"/>
      <c r="Q404" s="51" t="n"/>
      <c r="S404" s="51" t="n"/>
      <c r="T404" s="51" t="n"/>
      <c r="U404" s="51" t="inlineStr"/>
      <c r="V404" s="55" t="n"/>
      <c r="W404" s="51" t="inlineStr"/>
      <c r="X404" s="51" t="inlineStr"/>
      <c r="Y404" s="51" t="n"/>
      <c r="AB404" s="57" t="n"/>
      <c r="AC404" s="90" t="n"/>
      <c r="AD404" s="90" t="n"/>
      <c r="AE404" s="88" t="n"/>
      <c r="AF404" s="91" t="n"/>
      <c r="AG404" s="91" t="n"/>
      <c r="AH404" s="88" t="n"/>
      <c r="AI404" s="88" t="n"/>
      <c r="AJ404" s="90" t="n"/>
      <c r="AK404" s="88" t="n"/>
      <c r="AL404" s="91" t="n"/>
      <c r="AM404" s="88" t="n"/>
      <c r="AN404" s="95" t="n"/>
      <c r="AO404" s="90" t="n"/>
      <c r="AP404" s="90" t="n"/>
    </row>
    <row r="405" ht="14.25" customHeight="1" s="84">
      <c r="A405" s="51" t="n"/>
      <c r="B405" s="47" t="n"/>
      <c r="C405" s="51" t="n"/>
      <c r="D405" s="51" t="n"/>
      <c r="E405" s="51" t="n"/>
      <c r="F405" s="51" t="n"/>
      <c r="G405" s="47" t="n"/>
      <c r="H405" s="51" t="n"/>
      <c r="I405" s="51" t="n"/>
      <c r="J405" s="51" t="n"/>
      <c r="K405" s="51" t="n"/>
      <c r="L405" s="51" t="n"/>
      <c r="N405" s="51" t="n"/>
      <c r="Q405" s="51" t="n"/>
      <c r="S405" s="51" t="n"/>
      <c r="T405" s="51" t="n"/>
      <c r="U405" s="51" t="inlineStr"/>
      <c r="V405" s="55" t="n"/>
      <c r="W405" s="51" t="inlineStr"/>
      <c r="X405" s="51" t="inlineStr"/>
      <c r="Y405" s="51" t="n"/>
      <c r="AB405" s="57" t="n"/>
      <c r="AC405" s="90" t="n"/>
      <c r="AD405" s="90" t="n"/>
      <c r="AE405" s="88" t="n"/>
      <c r="AF405" s="91" t="n"/>
      <c r="AG405" s="91" t="n"/>
      <c r="AH405" s="88" t="n"/>
      <c r="AI405" s="88" t="n"/>
      <c r="AJ405" s="90" t="n"/>
      <c r="AK405" s="88" t="n"/>
      <c r="AL405" s="91" t="n"/>
      <c r="AM405" s="88" t="n"/>
      <c r="AN405" s="95" t="n"/>
      <c r="AO405" s="90" t="n"/>
      <c r="AP405" s="90" t="n"/>
    </row>
    <row r="406" ht="14.25" customHeight="1" s="84">
      <c r="A406" s="51" t="n"/>
      <c r="B406" s="47" t="n"/>
      <c r="C406" s="51" t="n"/>
      <c r="D406" s="51" t="n"/>
      <c r="E406" s="51" t="n"/>
      <c r="F406" s="51" t="n"/>
      <c r="G406" s="47" t="n"/>
      <c r="H406" s="51" t="n"/>
      <c r="I406" s="51" t="n"/>
      <c r="J406" s="51" t="n"/>
      <c r="K406" s="51" t="n"/>
      <c r="L406" s="51" t="n"/>
      <c r="N406" s="51" t="n"/>
      <c r="Q406" s="51" t="n"/>
      <c r="S406" s="51" t="n"/>
      <c r="T406" s="51" t="n"/>
      <c r="U406" s="51" t="inlineStr"/>
      <c r="V406" s="55" t="n"/>
      <c r="W406" s="51" t="inlineStr"/>
      <c r="X406" s="51" t="inlineStr"/>
      <c r="Y406" s="51" t="n"/>
      <c r="AB406" s="57" t="n"/>
      <c r="AC406" s="90" t="n"/>
      <c r="AD406" s="90" t="n"/>
      <c r="AE406" s="88" t="n"/>
      <c r="AF406" s="91" t="n"/>
      <c r="AG406" s="91" t="n"/>
      <c r="AH406" s="88" t="n"/>
      <c r="AI406" s="88" t="n"/>
      <c r="AJ406" s="90" t="n"/>
      <c r="AK406" s="88" t="n"/>
      <c r="AL406" s="91" t="n"/>
      <c r="AM406" s="88" t="n"/>
      <c r="AN406" s="95" t="n"/>
      <c r="AO406" s="90" t="n"/>
      <c r="AP406" s="90" t="n"/>
    </row>
    <row r="407" ht="14.25" customHeight="1" s="84">
      <c r="A407" s="51" t="n"/>
      <c r="B407" s="47" t="n"/>
      <c r="C407" s="51" t="n"/>
      <c r="D407" s="51" t="n"/>
      <c r="E407" s="51" t="n"/>
      <c r="F407" s="51" t="n"/>
      <c r="G407" s="47" t="n"/>
      <c r="H407" s="51" t="n"/>
      <c r="I407" s="51" t="n"/>
      <c r="J407" s="51" t="n"/>
      <c r="K407" s="51" t="n"/>
      <c r="L407" s="51" t="n"/>
      <c r="N407" s="51" t="n"/>
      <c r="Q407" s="51" t="n"/>
      <c r="S407" s="51" t="n"/>
      <c r="T407" s="51" t="n"/>
      <c r="U407" s="51" t="inlineStr"/>
      <c r="V407" s="55" t="n"/>
      <c r="W407" s="51" t="inlineStr"/>
      <c r="X407" s="51" t="inlineStr"/>
      <c r="Y407" s="51" t="n"/>
      <c r="AB407" s="57" t="n"/>
      <c r="AC407" s="90" t="n"/>
      <c r="AD407" s="90" t="n"/>
      <c r="AE407" s="88" t="n"/>
      <c r="AF407" s="91" t="n"/>
      <c r="AG407" s="91" t="n"/>
      <c r="AH407" s="88" t="n"/>
      <c r="AI407" s="88" t="n"/>
      <c r="AJ407" s="90" t="n"/>
      <c r="AK407" s="88" t="n"/>
      <c r="AL407" s="91" t="n"/>
      <c r="AM407" s="88" t="n"/>
      <c r="AN407" s="95" t="n"/>
      <c r="AO407" s="90" t="n"/>
      <c r="AP407" s="90" t="n"/>
    </row>
    <row r="408" ht="14.25" customHeight="1" s="84">
      <c r="A408" s="51" t="n"/>
      <c r="B408" s="47" t="n"/>
      <c r="C408" s="51" t="n"/>
      <c r="D408" s="51" t="n"/>
      <c r="E408" s="51" t="n"/>
      <c r="F408" s="51" t="n"/>
      <c r="G408" s="47" t="n"/>
      <c r="H408" s="51" t="n"/>
      <c r="I408" s="51" t="n"/>
      <c r="J408" s="51" t="n"/>
      <c r="K408" s="51" t="n"/>
      <c r="L408" s="51" t="n"/>
      <c r="N408" s="51" t="n"/>
      <c r="Q408" s="51" t="n"/>
      <c r="S408" s="51" t="n"/>
      <c r="T408" s="51" t="n"/>
      <c r="U408" s="51" t="inlineStr"/>
      <c r="V408" s="55" t="n"/>
      <c r="W408" s="51" t="inlineStr"/>
      <c r="X408" s="51" t="inlineStr"/>
      <c r="Y408" s="51" t="n"/>
      <c r="AB408" s="57" t="n"/>
      <c r="AC408" s="90" t="n"/>
      <c r="AD408" s="90" t="n"/>
      <c r="AE408" s="88" t="n"/>
      <c r="AF408" s="91" t="n"/>
      <c r="AG408" s="91" t="n"/>
      <c r="AH408" s="88" t="n"/>
      <c r="AI408" s="88" t="n"/>
      <c r="AJ408" s="90" t="n"/>
      <c r="AK408" s="88" t="n"/>
      <c r="AL408" s="91" t="n"/>
      <c r="AM408" s="88" t="n"/>
      <c r="AN408" s="95" t="n"/>
      <c r="AO408" s="90" t="n"/>
      <c r="AP408" s="90" t="n"/>
    </row>
    <row r="409" ht="14.25" customHeight="1" s="84">
      <c r="A409" s="51" t="n"/>
      <c r="B409" s="47" t="n"/>
      <c r="C409" s="51" t="n"/>
      <c r="D409" s="51" t="n"/>
      <c r="E409" s="51" t="n"/>
      <c r="F409" s="51" t="n"/>
      <c r="G409" s="47" t="n"/>
      <c r="H409" s="51" t="n"/>
      <c r="I409" s="51" t="n"/>
      <c r="J409" s="51" t="n"/>
      <c r="K409" s="51" t="n"/>
      <c r="L409" s="51" t="n"/>
      <c r="N409" s="51" t="n"/>
      <c r="Q409" s="51" t="n"/>
      <c r="S409" s="51" t="n"/>
      <c r="T409" s="51" t="n"/>
      <c r="U409" s="51" t="inlineStr"/>
      <c r="V409" s="55" t="n"/>
      <c r="W409" s="51" t="inlineStr"/>
      <c r="X409" s="51" t="inlineStr"/>
      <c r="Y409" s="51" t="n"/>
      <c r="AB409" s="57" t="n"/>
      <c r="AC409" s="90" t="n"/>
      <c r="AD409" s="90" t="n"/>
      <c r="AE409" s="88" t="n"/>
      <c r="AF409" s="91" t="n"/>
      <c r="AG409" s="91" t="n"/>
      <c r="AH409" s="88" t="n"/>
      <c r="AI409" s="88" t="n"/>
      <c r="AJ409" s="90" t="n"/>
      <c r="AK409" s="88" t="n"/>
      <c r="AL409" s="91" t="n"/>
      <c r="AM409" s="88" t="n"/>
      <c r="AN409" s="95" t="n"/>
      <c r="AO409" s="90" t="n"/>
      <c r="AP409" s="90" t="n"/>
    </row>
    <row r="410" ht="14.25" customHeight="1" s="84">
      <c r="A410" s="51" t="n"/>
      <c r="B410" s="47" t="n"/>
      <c r="C410" s="51" t="n"/>
      <c r="D410" s="51" t="n"/>
      <c r="E410" s="51" t="n"/>
      <c r="F410" s="51" t="n"/>
      <c r="G410" s="47" t="n"/>
      <c r="H410" s="51" t="n"/>
      <c r="I410" s="51" t="n"/>
      <c r="J410" s="51" t="n"/>
      <c r="K410" s="51" t="n"/>
      <c r="L410" s="51" t="n"/>
      <c r="N410" s="51" t="n"/>
      <c r="Q410" s="51" t="n"/>
      <c r="S410" s="51" t="n"/>
      <c r="T410" s="51" t="n"/>
      <c r="U410" s="51" t="inlineStr"/>
      <c r="V410" s="55" t="n"/>
      <c r="W410" s="51" t="inlineStr"/>
      <c r="X410" s="51" t="inlineStr"/>
      <c r="Y410" s="51" t="n"/>
      <c r="AB410" s="57" t="n"/>
      <c r="AC410" s="90" t="n"/>
      <c r="AD410" s="90" t="n"/>
      <c r="AE410" s="88" t="n"/>
      <c r="AF410" s="91" t="n"/>
      <c r="AG410" s="91" t="n"/>
      <c r="AH410" s="88" t="n"/>
      <c r="AI410" s="88" t="n"/>
      <c r="AJ410" s="90" t="n"/>
      <c r="AK410" s="88" t="n"/>
      <c r="AL410" s="91" t="n"/>
      <c r="AM410" s="88" t="n"/>
      <c r="AN410" s="95" t="n"/>
      <c r="AO410" s="90" t="n"/>
      <c r="AP410" s="90" t="n"/>
    </row>
    <row r="411" ht="14.25" customHeight="1" s="84">
      <c r="A411" s="51" t="n"/>
      <c r="B411" s="47" t="n"/>
      <c r="C411" s="51" t="n"/>
      <c r="D411" s="51" t="n"/>
      <c r="E411" s="51" t="n"/>
      <c r="F411" s="51" t="n"/>
      <c r="G411" s="47" t="n"/>
      <c r="H411" s="51" t="n"/>
      <c r="I411" s="51" t="n"/>
      <c r="J411" s="51" t="n"/>
      <c r="K411" s="51" t="n"/>
      <c r="L411" s="51" t="n"/>
      <c r="N411" s="51" t="n"/>
      <c r="Q411" s="51" t="n"/>
      <c r="S411" s="51" t="n"/>
      <c r="T411" s="51" t="n"/>
      <c r="U411" s="51" t="inlineStr"/>
      <c r="V411" s="55" t="n"/>
      <c r="W411" s="51" t="inlineStr"/>
      <c r="X411" s="51" t="inlineStr"/>
      <c r="Y411" s="51" t="n"/>
      <c r="AB411" s="57" t="n"/>
      <c r="AC411" s="90" t="n"/>
      <c r="AD411" s="90" t="n"/>
      <c r="AE411" s="88" t="n"/>
      <c r="AF411" s="91" t="n"/>
      <c r="AG411" s="91" t="n"/>
      <c r="AH411" s="88" t="n"/>
      <c r="AI411" s="88" t="n"/>
      <c r="AJ411" s="90" t="n"/>
      <c r="AK411" s="88" t="n"/>
      <c r="AL411" s="91" t="n"/>
      <c r="AM411" s="88" t="n"/>
      <c r="AN411" s="95" t="n"/>
      <c r="AO411" s="90" t="n"/>
      <c r="AP411" s="90" t="n"/>
    </row>
    <row r="412" ht="14.25" customHeight="1" s="84">
      <c r="A412" s="51" t="n"/>
      <c r="B412" s="47" t="n"/>
      <c r="C412" s="51" t="n"/>
      <c r="D412" s="51" t="n"/>
      <c r="E412" s="51" t="n"/>
      <c r="F412" s="51" t="n"/>
      <c r="G412" s="47" t="n"/>
      <c r="H412" s="51" t="n"/>
      <c r="I412" s="51" t="n"/>
      <c r="J412" s="51" t="n"/>
      <c r="K412" s="51" t="n"/>
      <c r="L412" s="51" t="n"/>
      <c r="N412" s="51" t="n"/>
      <c r="Q412" s="51" t="n"/>
      <c r="S412" s="51" t="n"/>
      <c r="T412" s="51" t="n"/>
      <c r="U412" s="51" t="inlineStr"/>
      <c r="V412" s="55" t="n"/>
      <c r="W412" s="51" t="inlineStr"/>
      <c r="X412" s="51" t="inlineStr"/>
      <c r="Y412" s="51" t="n"/>
      <c r="AB412" s="57" t="n"/>
      <c r="AC412" s="90" t="n"/>
      <c r="AD412" s="90" t="n"/>
      <c r="AE412" s="88" t="n"/>
      <c r="AF412" s="91" t="n"/>
      <c r="AG412" s="91" t="n"/>
      <c r="AH412" s="88" t="n"/>
      <c r="AI412" s="88" t="n"/>
      <c r="AJ412" s="90" t="n"/>
      <c r="AK412" s="88" t="n"/>
      <c r="AL412" s="91" t="n"/>
      <c r="AM412" s="88" t="n"/>
      <c r="AN412" s="95" t="n"/>
      <c r="AO412" s="90" t="n"/>
      <c r="AP412" s="90" t="n"/>
    </row>
    <row r="413" ht="14.25" customHeight="1" s="84">
      <c r="A413" s="51" t="n"/>
      <c r="B413" s="47" t="n"/>
      <c r="C413" s="51" t="n"/>
      <c r="D413" s="51" t="n"/>
      <c r="E413" s="51" t="n"/>
      <c r="F413" s="51" t="n"/>
      <c r="G413" s="47" t="n"/>
      <c r="H413" s="51" t="n"/>
      <c r="I413" s="51" t="n"/>
      <c r="J413" s="51" t="n"/>
      <c r="K413" s="51" t="n"/>
      <c r="L413" s="51" t="n"/>
      <c r="N413" s="51" t="n"/>
      <c r="Q413" s="51" t="n"/>
      <c r="S413" s="51" t="n"/>
      <c r="T413" s="51" t="n"/>
      <c r="U413" s="51" t="inlineStr"/>
      <c r="V413" s="55" t="n"/>
      <c r="W413" s="51" t="inlineStr"/>
      <c r="X413" s="51" t="inlineStr"/>
      <c r="Y413" s="51" t="n"/>
      <c r="AB413" s="57" t="n"/>
      <c r="AC413" s="90" t="n"/>
      <c r="AD413" s="90" t="n"/>
      <c r="AE413" s="88" t="n"/>
      <c r="AF413" s="91" t="n"/>
      <c r="AG413" s="91" t="n"/>
      <c r="AH413" s="88" t="n"/>
      <c r="AI413" s="88" t="n"/>
      <c r="AJ413" s="90" t="n"/>
      <c r="AK413" s="88" t="n"/>
      <c r="AL413" s="91" t="n"/>
      <c r="AM413" s="88" t="n"/>
      <c r="AN413" s="95" t="n"/>
      <c r="AO413" s="90" t="n"/>
      <c r="AP413" s="90" t="n"/>
    </row>
    <row r="414" ht="14.25" customHeight="1" s="84">
      <c r="A414" s="51" t="n"/>
      <c r="B414" s="47" t="n"/>
      <c r="C414" s="51" t="n"/>
      <c r="D414" s="51" t="n"/>
      <c r="E414" s="51" t="n"/>
      <c r="F414" s="51" t="n"/>
      <c r="G414" s="47" t="n"/>
      <c r="H414" s="51" t="n"/>
      <c r="I414" s="51" t="n"/>
      <c r="J414" s="51" t="n"/>
      <c r="K414" s="51" t="n"/>
      <c r="L414" s="51" t="n"/>
      <c r="N414" s="51" t="n"/>
      <c r="Q414" s="51" t="n"/>
      <c r="S414" s="51" t="n"/>
      <c r="T414" s="51" t="n"/>
      <c r="U414" s="51" t="inlineStr"/>
      <c r="V414" s="55" t="n"/>
      <c r="W414" s="51" t="inlineStr"/>
      <c r="X414" s="51" t="inlineStr"/>
      <c r="Y414" s="51" t="n"/>
      <c r="AB414" s="57" t="n"/>
      <c r="AC414" s="90" t="n"/>
      <c r="AD414" s="90" t="n"/>
      <c r="AE414" s="88" t="n"/>
      <c r="AF414" s="91" t="n"/>
      <c r="AG414" s="91" t="n"/>
      <c r="AH414" s="88" t="n"/>
      <c r="AI414" s="88" t="n"/>
      <c r="AJ414" s="90" t="n"/>
      <c r="AK414" s="88" t="n"/>
      <c r="AL414" s="91" t="n"/>
      <c r="AM414" s="88" t="n"/>
      <c r="AN414" s="95" t="n"/>
      <c r="AO414" s="90" t="n"/>
      <c r="AP414" s="90" t="n"/>
    </row>
    <row r="415" ht="14.25" customHeight="1" s="84">
      <c r="A415" s="51" t="n"/>
      <c r="B415" s="47" t="n"/>
      <c r="C415" s="51" t="n"/>
      <c r="D415" s="51" t="n"/>
      <c r="E415" s="51" t="n"/>
      <c r="F415" s="51" t="n"/>
      <c r="G415" s="47" t="n"/>
      <c r="H415" s="51" t="n"/>
      <c r="I415" s="51" t="n"/>
      <c r="J415" s="51" t="n"/>
      <c r="K415" s="51" t="n"/>
      <c r="L415" s="51" t="n"/>
      <c r="N415" s="51" t="n"/>
      <c r="Q415" s="51" t="n"/>
      <c r="S415" s="51" t="n"/>
      <c r="T415" s="51" t="n"/>
      <c r="U415" s="51" t="inlineStr"/>
      <c r="V415" s="55" t="n"/>
      <c r="W415" s="51" t="inlineStr"/>
      <c r="X415" s="51" t="inlineStr"/>
      <c r="Y415" s="51" t="n"/>
      <c r="AB415" s="57" t="n"/>
      <c r="AC415" s="90" t="n"/>
      <c r="AD415" s="90" t="n"/>
      <c r="AE415" s="88" t="n"/>
      <c r="AF415" s="91" t="n"/>
      <c r="AG415" s="91" t="n"/>
      <c r="AH415" s="88" t="n"/>
      <c r="AI415" s="88" t="n"/>
      <c r="AJ415" s="90" t="n"/>
      <c r="AK415" s="88" t="n"/>
      <c r="AL415" s="91" t="n"/>
      <c r="AM415" s="88" t="n"/>
      <c r="AN415" s="95" t="n"/>
      <c r="AO415" s="90" t="n"/>
      <c r="AP415" s="90" t="n"/>
    </row>
    <row r="416" ht="14.25" customHeight="1" s="84">
      <c r="A416" s="51" t="n"/>
      <c r="B416" s="47" t="n"/>
      <c r="C416" s="51" t="n"/>
      <c r="D416" s="51" t="n"/>
      <c r="E416" s="51" t="n"/>
      <c r="F416" s="51" t="n"/>
      <c r="G416" s="47" t="n"/>
      <c r="H416" s="51" t="n"/>
      <c r="I416" s="51" t="n"/>
      <c r="J416" s="51" t="n"/>
      <c r="K416" s="51" t="n"/>
      <c r="L416" s="51" t="n"/>
      <c r="N416" s="51" t="n"/>
      <c r="Q416" s="51" t="n"/>
      <c r="S416" s="51" t="n"/>
      <c r="T416" s="51" t="n"/>
      <c r="U416" s="51" t="inlineStr"/>
      <c r="V416" s="55" t="n"/>
      <c r="W416" s="51" t="inlineStr"/>
      <c r="X416" s="51" t="inlineStr"/>
      <c r="Y416" s="51" t="n"/>
      <c r="AB416" s="57" t="n"/>
      <c r="AC416" s="90" t="n"/>
      <c r="AD416" s="90" t="n"/>
      <c r="AE416" s="88" t="n"/>
      <c r="AF416" s="91" t="n"/>
      <c r="AG416" s="91" t="n"/>
      <c r="AH416" s="88" t="n"/>
      <c r="AI416" s="88" t="n"/>
      <c r="AJ416" s="90" t="n"/>
      <c r="AK416" s="88" t="n"/>
      <c r="AL416" s="91" t="n"/>
      <c r="AM416" s="88" t="n"/>
      <c r="AN416" s="95" t="n"/>
      <c r="AO416" s="90" t="n"/>
      <c r="AP416" s="90" t="n"/>
    </row>
    <row r="417" ht="14.25" customHeight="1" s="84">
      <c r="A417" s="51" t="n"/>
      <c r="B417" s="47" t="n"/>
      <c r="C417" s="51" t="n"/>
      <c r="D417" s="51" t="n"/>
      <c r="E417" s="51" t="n"/>
      <c r="F417" s="51" t="n"/>
      <c r="G417" s="47" t="n"/>
      <c r="H417" s="51" t="n"/>
      <c r="I417" s="51" t="n"/>
      <c r="J417" s="51" t="n"/>
      <c r="K417" s="51" t="n"/>
      <c r="L417" s="51" t="n"/>
      <c r="N417" s="51" t="n"/>
      <c r="Q417" s="51" t="n"/>
      <c r="S417" s="51" t="n"/>
      <c r="T417" s="51" t="n"/>
      <c r="U417" s="51" t="inlineStr"/>
      <c r="V417" s="55" t="n"/>
      <c r="W417" s="51" t="inlineStr"/>
      <c r="X417" s="51" t="inlineStr"/>
      <c r="Y417" s="51" t="n"/>
      <c r="AB417" s="57" t="n"/>
      <c r="AC417" s="90" t="n"/>
      <c r="AD417" s="90" t="n"/>
      <c r="AE417" s="88" t="n"/>
      <c r="AF417" s="91" t="n"/>
      <c r="AG417" s="91" t="n"/>
      <c r="AH417" s="88" t="n"/>
      <c r="AI417" s="88" t="n"/>
      <c r="AJ417" s="90" t="n"/>
      <c r="AK417" s="88" t="n"/>
      <c r="AL417" s="91" t="n"/>
      <c r="AM417" s="88" t="n"/>
      <c r="AN417" s="95" t="n"/>
      <c r="AO417" s="90" t="n"/>
      <c r="AP417" s="90" t="n"/>
    </row>
    <row r="418" ht="14.25" customHeight="1" s="84">
      <c r="A418" s="51" t="n"/>
      <c r="B418" s="47" t="n"/>
      <c r="C418" s="51" t="n"/>
      <c r="D418" s="51" t="n"/>
      <c r="E418" s="51" t="n"/>
      <c r="F418" s="51" t="n"/>
      <c r="G418" s="47" t="n"/>
      <c r="H418" s="51" t="n"/>
      <c r="I418" s="51" t="n"/>
      <c r="J418" s="51" t="n"/>
      <c r="K418" s="51" t="n"/>
      <c r="L418" s="51" t="n"/>
      <c r="N418" s="51" t="n"/>
      <c r="Q418" s="51" t="n"/>
      <c r="S418" s="51" t="n"/>
      <c r="T418" s="51" t="n"/>
      <c r="U418" s="51" t="inlineStr"/>
      <c r="V418" s="55" t="n"/>
      <c r="W418" s="51" t="inlineStr"/>
      <c r="X418" s="51" t="inlineStr"/>
      <c r="Y418" s="51" t="n"/>
      <c r="AB418" s="57" t="n"/>
      <c r="AC418" s="90" t="n"/>
      <c r="AD418" s="90" t="n"/>
      <c r="AE418" s="88" t="n"/>
      <c r="AF418" s="91" t="n"/>
      <c r="AG418" s="91" t="n"/>
      <c r="AH418" s="88" t="n"/>
      <c r="AI418" s="88" t="n"/>
      <c r="AJ418" s="90" t="n"/>
      <c r="AK418" s="88" t="n"/>
      <c r="AL418" s="91" t="n"/>
      <c r="AM418" s="88" t="n"/>
      <c r="AN418" s="95" t="n"/>
      <c r="AO418" s="90" t="n"/>
      <c r="AP418" s="90" t="n"/>
    </row>
    <row r="419" ht="14.25" customHeight="1" s="84">
      <c r="A419" s="51" t="n"/>
      <c r="B419" s="47" t="n"/>
      <c r="C419" s="51" t="n"/>
      <c r="D419" s="51" t="n"/>
      <c r="E419" s="51" t="n"/>
      <c r="F419" s="51" t="n"/>
      <c r="G419" s="47" t="n"/>
      <c r="H419" s="51" t="n"/>
      <c r="I419" s="51" t="n"/>
      <c r="J419" s="51" t="n"/>
      <c r="K419" s="51" t="n"/>
      <c r="L419" s="51" t="n"/>
      <c r="N419" s="51" t="n"/>
      <c r="Q419" s="51" t="n"/>
      <c r="S419" s="51" t="n"/>
      <c r="T419" s="51" t="n"/>
      <c r="U419" s="51" t="inlineStr"/>
      <c r="V419" s="55" t="n"/>
      <c r="W419" s="51" t="inlineStr"/>
      <c r="X419" s="51" t="inlineStr"/>
      <c r="Y419" s="51" t="n"/>
      <c r="AB419" s="57" t="n"/>
      <c r="AC419" s="90" t="n"/>
      <c r="AD419" s="90" t="n"/>
      <c r="AE419" s="88" t="n"/>
      <c r="AF419" s="91" t="n"/>
      <c r="AG419" s="91" t="n"/>
      <c r="AH419" s="88" t="n"/>
      <c r="AI419" s="88" t="n"/>
      <c r="AJ419" s="90" t="n"/>
      <c r="AK419" s="88" t="n"/>
      <c r="AL419" s="91" t="n"/>
      <c r="AM419" s="88" t="n"/>
      <c r="AN419" s="95" t="n"/>
      <c r="AO419" s="90" t="n"/>
      <c r="AP419" s="90" t="n"/>
    </row>
    <row r="420" ht="14.25" customHeight="1" s="84">
      <c r="A420" s="51" t="n"/>
      <c r="B420" s="47" t="n"/>
      <c r="C420" s="51" t="n"/>
      <c r="D420" s="51" t="n"/>
      <c r="E420" s="51" t="n"/>
      <c r="F420" s="51" t="n"/>
      <c r="G420" s="47" t="n"/>
      <c r="H420" s="51" t="n"/>
      <c r="I420" s="51" t="n"/>
      <c r="J420" s="51" t="n"/>
      <c r="K420" s="51" t="n"/>
      <c r="L420" s="51" t="n"/>
      <c r="N420" s="51" t="n"/>
      <c r="Q420" s="51" t="n"/>
      <c r="S420" s="51" t="n"/>
      <c r="T420" s="51" t="n"/>
      <c r="U420" s="51" t="inlineStr"/>
      <c r="V420" s="55" t="n"/>
      <c r="W420" s="51" t="inlineStr"/>
      <c r="X420" s="51" t="inlineStr"/>
      <c r="Y420" s="51" t="n"/>
      <c r="AB420" s="57" t="n"/>
      <c r="AC420" s="90" t="n"/>
      <c r="AD420" s="90" t="n"/>
      <c r="AE420" s="88" t="n"/>
      <c r="AF420" s="91" t="n"/>
      <c r="AG420" s="91" t="n"/>
      <c r="AH420" s="88" t="n"/>
      <c r="AI420" s="88" t="n"/>
      <c r="AJ420" s="90" t="n"/>
      <c r="AK420" s="88" t="n"/>
      <c r="AL420" s="91" t="n"/>
      <c r="AM420" s="88" t="n"/>
      <c r="AN420" s="95" t="n"/>
      <c r="AO420" s="90" t="n"/>
      <c r="AP420" s="90" t="n"/>
    </row>
    <row r="421" ht="14.25" customHeight="1" s="84">
      <c r="A421" s="51" t="n"/>
      <c r="B421" s="47" t="n"/>
      <c r="C421" s="51" t="n"/>
      <c r="D421" s="51" t="n"/>
      <c r="E421" s="51" t="n"/>
      <c r="F421" s="51" t="n"/>
      <c r="G421" s="47" t="n"/>
      <c r="H421" s="51" t="n"/>
      <c r="I421" s="51" t="n"/>
      <c r="J421" s="51" t="n"/>
      <c r="K421" s="51" t="n"/>
      <c r="L421" s="51" t="n"/>
      <c r="N421" s="51" t="n"/>
      <c r="Q421" s="51" t="n"/>
      <c r="S421" s="51" t="n"/>
      <c r="T421" s="51" t="n"/>
      <c r="U421" s="51" t="inlineStr"/>
      <c r="V421" s="55" t="n"/>
      <c r="W421" s="51" t="inlineStr"/>
      <c r="X421" s="51" t="inlineStr"/>
      <c r="Y421" s="51" t="n"/>
      <c r="AB421" s="57" t="n"/>
      <c r="AC421" s="90" t="n"/>
      <c r="AD421" s="90" t="n"/>
      <c r="AE421" s="88" t="n"/>
      <c r="AF421" s="91" t="n"/>
      <c r="AG421" s="91" t="n"/>
      <c r="AH421" s="88" t="n"/>
      <c r="AI421" s="88" t="n"/>
      <c r="AJ421" s="90" t="n"/>
      <c r="AK421" s="88" t="n"/>
      <c r="AL421" s="91" t="n"/>
      <c r="AM421" s="88" t="n"/>
      <c r="AN421" s="95" t="n"/>
      <c r="AO421" s="90" t="n"/>
      <c r="AP421" s="90" t="n"/>
    </row>
    <row r="422" ht="14.25" customHeight="1" s="84">
      <c r="A422" s="51" t="n"/>
      <c r="B422" s="47" t="n"/>
      <c r="C422" s="51" t="n"/>
      <c r="D422" s="51" t="n"/>
      <c r="E422" s="51" t="n"/>
      <c r="F422" s="51" t="n"/>
      <c r="G422" s="47" t="n"/>
      <c r="H422" s="51" t="n"/>
      <c r="I422" s="51" t="n"/>
      <c r="J422" s="51" t="n"/>
      <c r="K422" s="51" t="n"/>
      <c r="L422" s="51" t="n"/>
      <c r="N422" s="51" t="n"/>
      <c r="Q422" s="51" t="n"/>
      <c r="S422" s="51" t="n"/>
      <c r="T422" s="51" t="n"/>
      <c r="U422" s="51" t="inlineStr"/>
      <c r="V422" s="55" t="n"/>
      <c r="W422" s="51" t="inlineStr"/>
      <c r="X422" s="51" t="inlineStr"/>
      <c r="Y422" s="51" t="n"/>
      <c r="AB422" s="57" t="n"/>
      <c r="AC422" s="90" t="n"/>
      <c r="AD422" s="90" t="n"/>
      <c r="AE422" s="88" t="n"/>
      <c r="AF422" s="91" t="n"/>
      <c r="AG422" s="91" t="n"/>
      <c r="AH422" s="88" t="n"/>
      <c r="AI422" s="88" t="n"/>
      <c r="AJ422" s="90" t="n"/>
      <c r="AK422" s="88" t="n"/>
      <c r="AL422" s="91" t="n"/>
      <c r="AM422" s="88" t="n"/>
      <c r="AN422" s="95" t="n"/>
      <c r="AO422" s="90" t="n"/>
      <c r="AP422" s="90" t="n"/>
    </row>
    <row r="423" ht="14.25" customHeight="1" s="84">
      <c r="A423" s="51" t="n"/>
      <c r="B423" s="47" t="n"/>
      <c r="C423" s="51" t="n"/>
      <c r="D423" s="51" t="n"/>
      <c r="E423" s="51" t="n"/>
      <c r="F423" s="51" t="n"/>
      <c r="G423" s="47" t="n"/>
      <c r="H423" s="51" t="n"/>
      <c r="I423" s="51" t="n"/>
      <c r="J423" s="51" t="n"/>
      <c r="K423" s="51" t="n"/>
      <c r="L423" s="51" t="n"/>
      <c r="N423" s="51" t="n"/>
      <c r="Q423" s="51" t="n"/>
      <c r="S423" s="51" t="n"/>
      <c r="T423" s="51" t="n"/>
      <c r="U423" s="51" t="inlineStr"/>
      <c r="V423" s="55" t="n"/>
      <c r="W423" s="51" t="inlineStr"/>
      <c r="X423" s="51" t="inlineStr"/>
      <c r="Y423" s="51" t="n"/>
      <c r="AB423" s="57" t="n"/>
      <c r="AC423" s="90" t="n"/>
      <c r="AD423" s="90" t="n"/>
      <c r="AE423" s="88" t="n"/>
      <c r="AF423" s="91" t="n"/>
      <c r="AG423" s="91" t="n"/>
      <c r="AH423" s="88" t="n"/>
      <c r="AI423" s="88" t="n"/>
      <c r="AJ423" s="90" t="n"/>
      <c r="AK423" s="88" t="n"/>
      <c r="AL423" s="91" t="n"/>
      <c r="AM423" s="88" t="n"/>
      <c r="AN423" s="95" t="n"/>
      <c r="AO423" s="90" t="n"/>
      <c r="AP423" s="90" t="n"/>
    </row>
    <row r="424" ht="14.25" customHeight="1" s="84">
      <c r="A424" s="51" t="n"/>
      <c r="B424" s="47" t="n"/>
      <c r="C424" s="51" t="n"/>
      <c r="D424" s="51" t="n"/>
      <c r="E424" s="51" t="n"/>
      <c r="F424" s="51" t="n"/>
      <c r="G424" s="47" t="n"/>
      <c r="H424" s="51" t="n"/>
      <c r="I424" s="51" t="n"/>
      <c r="J424" s="51" t="n"/>
      <c r="K424" s="51" t="n"/>
      <c r="L424" s="51" t="n"/>
      <c r="N424" s="51" t="n"/>
      <c r="Q424" s="51" t="n"/>
      <c r="S424" s="51" t="n"/>
      <c r="T424" s="51" t="n"/>
      <c r="U424" s="51" t="inlineStr"/>
      <c r="V424" s="55" t="n"/>
      <c r="W424" s="51" t="inlineStr"/>
      <c r="X424" s="51" t="inlineStr"/>
      <c r="Y424" s="51" t="n"/>
      <c r="AB424" s="57" t="n"/>
      <c r="AC424" s="90" t="n"/>
      <c r="AD424" s="90" t="n"/>
      <c r="AE424" s="88" t="n"/>
      <c r="AF424" s="91" t="n"/>
      <c r="AG424" s="91" t="n"/>
      <c r="AH424" s="88" t="n"/>
      <c r="AI424" s="88" t="n"/>
      <c r="AJ424" s="90" t="n"/>
      <c r="AK424" s="88" t="n"/>
      <c r="AL424" s="91" t="n"/>
      <c r="AM424" s="88" t="n"/>
      <c r="AN424" s="95" t="n"/>
      <c r="AO424" s="90" t="n"/>
      <c r="AP424" s="90" t="n"/>
    </row>
    <row r="425" ht="14.25" customHeight="1" s="84">
      <c r="A425" s="51" t="n"/>
      <c r="B425" s="47" t="n"/>
      <c r="C425" s="51" t="n"/>
      <c r="D425" s="51" t="n"/>
      <c r="E425" s="51" t="n"/>
      <c r="F425" s="51" t="n"/>
      <c r="G425" s="47" t="n"/>
      <c r="H425" s="51" t="n"/>
      <c r="I425" s="51" t="n"/>
      <c r="J425" s="51" t="n"/>
      <c r="K425" s="51" t="n"/>
      <c r="L425" s="51" t="n"/>
      <c r="N425" s="51" t="n"/>
      <c r="Q425" s="51" t="n"/>
      <c r="S425" s="51" t="n"/>
      <c r="T425" s="51" t="n"/>
      <c r="U425" s="51" t="inlineStr"/>
      <c r="V425" s="55" t="n"/>
      <c r="W425" s="51" t="inlineStr"/>
      <c r="X425" s="51" t="inlineStr"/>
      <c r="Y425" s="51" t="n"/>
      <c r="AB425" s="57" t="n"/>
      <c r="AC425" s="90" t="n"/>
      <c r="AD425" s="90" t="n"/>
      <c r="AE425" s="88" t="n"/>
      <c r="AF425" s="91" t="n"/>
      <c r="AG425" s="91" t="n"/>
      <c r="AH425" s="88" t="n"/>
      <c r="AI425" s="88" t="n"/>
      <c r="AJ425" s="90" t="n"/>
      <c r="AK425" s="88" t="n"/>
      <c r="AL425" s="91" t="n"/>
      <c r="AM425" s="88" t="n"/>
      <c r="AN425" s="95" t="n"/>
      <c r="AO425" s="90" t="n"/>
      <c r="AP425" s="90" t="n"/>
    </row>
    <row r="426" ht="14.25" customHeight="1" s="84">
      <c r="A426" s="51" t="n"/>
      <c r="B426" s="47" t="n"/>
      <c r="C426" s="51" t="n"/>
      <c r="D426" s="51" t="n"/>
      <c r="E426" s="51" t="n"/>
      <c r="F426" s="51" t="n"/>
      <c r="G426" s="47" t="n"/>
      <c r="H426" s="51" t="n"/>
      <c r="I426" s="51" t="n"/>
      <c r="J426" s="51" t="n"/>
      <c r="K426" s="51" t="n"/>
      <c r="L426" s="51" t="n"/>
      <c r="N426" s="51" t="n"/>
      <c r="Q426" s="51" t="n"/>
      <c r="S426" s="51" t="n"/>
      <c r="T426" s="51" t="n"/>
      <c r="U426" s="51" t="inlineStr"/>
      <c r="V426" s="55" t="n"/>
      <c r="W426" s="51" t="inlineStr"/>
      <c r="X426" s="51" t="inlineStr"/>
      <c r="Y426" s="51" t="n"/>
      <c r="AB426" s="57" t="n"/>
      <c r="AC426" s="90" t="n"/>
      <c r="AD426" s="90" t="n"/>
      <c r="AE426" s="88" t="n"/>
      <c r="AF426" s="91" t="n"/>
      <c r="AG426" s="91" t="n"/>
      <c r="AH426" s="88" t="n"/>
      <c r="AI426" s="88" t="n"/>
      <c r="AJ426" s="90" t="n"/>
      <c r="AK426" s="88" t="n"/>
      <c r="AL426" s="91" t="n"/>
      <c r="AM426" s="88" t="n"/>
      <c r="AN426" s="95" t="n"/>
      <c r="AO426" s="90" t="n"/>
      <c r="AP426" s="90" t="n"/>
    </row>
    <row r="427" ht="14.25" customHeight="1" s="84">
      <c r="A427" s="51" t="n"/>
      <c r="B427" s="47" t="n"/>
      <c r="C427" s="51" t="n"/>
      <c r="D427" s="51" t="n"/>
      <c r="E427" s="51" t="n"/>
      <c r="F427" s="51" t="n"/>
      <c r="G427" s="47" t="n"/>
      <c r="H427" s="51" t="n"/>
      <c r="I427" s="51" t="n"/>
      <c r="J427" s="51" t="n"/>
      <c r="K427" s="51" t="n"/>
      <c r="L427" s="51" t="n"/>
      <c r="N427" s="51" t="n"/>
      <c r="Q427" s="51" t="n"/>
      <c r="S427" s="51" t="n"/>
      <c r="T427" s="51" t="n"/>
      <c r="U427" s="51" t="inlineStr"/>
      <c r="V427" s="55" t="n"/>
      <c r="W427" s="51" t="inlineStr"/>
      <c r="X427" s="51" t="inlineStr"/>
      <c r="Y427" s="51" t="n"/>
      <c r="AB427" s="57" t="n"/>
      <c r="AC427" s="90" t="n"/>
      <c r="AD427" s="90" t="n"/>
      <c r="AE427" s="88" t="n"/>
      <c r="AF427" s="91" t="n"/>
      <c r="AG427" s="91" t="n"/>
      <c r="AH427" s="88" t="n"/>
      <c r="AI427" s="88" t="n"/>
      <c r="AJ427" s="90" t="n"/>
      <c r="AK427" s="88" t="n"/>
      <c r="AL427" s="91" t="n"/>
      <c r="AM427" s="88" t="n"/>
      <c r="AN427" s="95" t="n"/>
      <c r="AO427" s="90" t="n"/>
      <c r="AP427" s="90" t="n"/>
    </row>
    <row r="428" ht="14.25" customHeight="1" s="84">
      <c r="A428" s="51" t="n"/>
      <c r="B428" s="47" t="n"/>
      <c r="C428" s="51" t="n"/>
      <c r="D428" s="51" t="n"/>
      <c r="E428" s="51" t="n"/>
      <c r="F428" s="51" t="n"/>
      <c r="G428" s="47" t="n"/>
      <c r="H428" s="51" t="n"/>
      <c r="I428" s="51" t="n"/>
      <c r="J428" s="51" t="n"/>
      <c r="K428" s="51" t="n"/>
      <c r="L428" s="51" t="n"/>
      <c r="N428" s="51" t="n"/>
      <c r="Q428" s="51" t="n"/>
      <c r="S428" s="51" t="n"/>
      <c r="T428" s="51" t="n"/>
      <c r="U428" s="51" t="inlineStr"/>
      <c r="V428" s="55" t="n"/>
      <c r="W428" s="51" t="inlineStr"/>
      <c r="X428" s="51" t="inlineStr"/>
      <c r="Y428" s="51" t="n"/>
      <c r="AB428" s="57" t="n"/>
      <c r="AC428" s="90" t="n"/>
      <c r="AD428" s="90" t="n"/>
      <c r="AE428" s="88" t="n"/>
      <c r="AF428" s="91" t="n"/>
      <c r="AG428" s="91" t="n"/>
      <c r="AH428" s="88" t="n"/>
      <c r="AI428" s="88" t="n"/>
      <c r="AJ428" s="90" t="n"/>
      <c r="AK428" s="88" t="n"/>
      <c r="AL428" s="91" t="n"/>
      <c r="AM428" s="88" t="n"/>
      <c r="AN428" s="95" t="n"/>
      <c r="AO428" s="90" t="n"/>
      <c r="AP428" s="90" t="n"/>
    </row>
    <row r="429" ht="14.25" customHeight="1" s="84">
      <c r="A429" s="51" t="n"/>
      <c r="B429" s="47" t="n"/>
      <c r="C429" s="51" t="n"/>
      <c r="D429" s="51" t="n"/>
      <c r="E429" s="51" t="n"/>
      <c r="F429" s="51" t="n"/>
      <c r="G429" s="47" t="n"/>
      <c r="H429" s="51" t="n"/>
      <c r="I429" s="51" t="n"/>
      <c r="J429" s="51" t="n"/>
      <c r="K429" s="51" t="n"/>
      <c r="L429" s="51" t="n"/>
      <c r="N429" s="51" t="n"/>
      <c r="Q429" s="51" t="n"/>
      <c r="S429" s="51" t="n"/>
      <c r="T429" s="51" t="n"/>
      <c r="U429" s="51" t="inlineStr"/>
      <c r="V429" s="55" t="n"/>
      <c r="W429" s="51" t="inlineStr"/>
      <c r="X429" s="51" t="inlineStr"/>
      <c r="Y429" s="51" t="n"/>
      <c r="AB429" s="57" t="n"/>
      <c r="AC429" s="90" t="n"/>
      <c r="AD429" s="90" t="n"/>
      <c r="AE429" s="88" t="n"/>
      <c r="AF429" s="91" t="n"/>
      <c r="AG429" s="91" t="n"/>
      <c r="AH429" s="88" t="n"/>
      <c r="AI429" s="88" t="n"/>
      <c r="AJ429" s="90" t="n"/>
      <c r="AK429" s="88" t="n"/>
      <c r="AL429" s="91" t="n"/>
      <c r="AM429" s="88" t="n"/>
      <c r="AN429" s="95" t="n"/>
      <c r="AO429" s="90" t="n"/>
      <c r="AP429" s="90" t="n"/>
    </row>
    <row r="430" ht="14.25" customHeight="1" s="84">
      <c r="A430" s="51" t="n"/>
      <c r="B430" s="47" t="n"/>
      <c r="C430" s="51" t="n"/>
      <c r="D430" s="51" t="n"/>
      <c r="E430" s="51" t="n"/>
      <c r="F430" s="51" t="n"/>
      <c r="G430" s="47" t="n"/>
      <c r="H430" s="51" t="n"/>
      <c r="I430" s="51" t="n"/>
      <c r="J430" s="51" t="n"/>
      <c r="K430" s="51" t="n"/>
      <c r="L430" s="51" t="n"/>
      <c r="N430" s="51" t="n"/>
      <c r="Q430" s="51" t="n"/>
      <c r="S430" s="51" t="n"/>
      <c r="T430" s="51" t="n"/>
      <c r="U430" s="51" t="inlineStr"/>
      <c r="V430" s="55" t="n"/>
      <c r="W430" s="51" t="inlineStr"/>
      <c r="X430" s="51" t="inlineStr"/>
      <c r="Y430" s="51" t="n"/>
      <c r="AB430" s="57" t="n"/>
      <c r="AC430" s="90" t="n"/>
      <c r="AD430" s="90" t="n"/>
      <c r="AE430" s="88" t="n"/>
      <c r="AF430" s="91" t="n"/>
      <c r="AG430" s="91" t="n"/>
      <c r="AH430" s="88" t="n"/>
      <c r="AI430" s="88" t="n"/>
      <c r="AJ430" s="90" t="n"/>
      <c r="AK430" s="88" t="n"/>
      <c r="AL430" s="91" t="n"/>
      <c r="AM430" s="88" t="n"/>
      <c r="AN430" s="95" t="n"/>
      <c r="AO430" s="90" t="n"/>
      <c r="AP430" s="90" t="n"/>
    </row>
    <row r="431" ht="14.25" customHeight="1" s="84">
      <c r="A431" s="51" t="n"/>
      <c r="B431" s="47" t="n"/>
      <c r="C431" s="51" t="n"/>
      <c r="D431" s="51" t="n"/>
      <c r="E431" s="51" t="n"/>
      <c r="F431" s="51" t="n"/>
      <c r="G431" s="47" t="n"/>
      <c r="H431" s="51" t="n"/>
      <c r="I431" s="51" t="n"/>
      <c r="J431" s="51" t="n"/>
      <c r="K431" s="51" t="n"/>
      <c r="L431" s="51" t="n"/>
      <c r="N431" s="51" t="n"/>
      <c r="Q431" s="51" t="n"/>
      <c r="S431" s="51" t="n"/>
      <c r="T431" s="51" t="n"/>
      <c r="U431" s="51" t="inlineStr"/>
      <c r="V431" s="55" t="n"/>
      <c r="W431" s="51" t="inlineStr"/>
      <c r="X431" s="51" t="inlineStr"/>
      <c r="Y431" s="51" t="n"/>
      <c r="AB431" s="57" t="n"/>
      <c r="AC431" s="90" t="n"/>
      <c r="AD431" s="90" t="n"/>
      <c r="AE431" s="88" t="n"/>
      <c r="AF431" s="91" t="n"/>
      <c r="AG431" s="91" t="n"/>
      <c r="AH431" s="88" t="n"/>
      <c r="AI431" s="88" t="n"/>
      <c r="AJ431" s="90" t="n"/>
      <c r="AK431" s="88" t="n"/>
      <c r="AL431" s="91" t="n"/>
      <c r="AM431" s="88" t="n"/>
      <c r="AN431" s="95" t="n"/>
      <c r="AO431" s="90" t="n"/>
      <c r="AP431" s="90" t="n"/>
    </row>
    <row r="432" ht="14.25" customHeight="1" s="84">
      <c r="A432" s="51" t="n"/>
      <c r="B432" s="47" t="n"/>
      <c r="C432" s="51" t="n"/>
      <c r="D432" s="51" t="n"/>
      <c r="E432" s="51" t="n"/>
      <c r="F432" s="51" t="n"/>
      <c r="G432" s="47" t="n"/>
      <c r="H432" s="51" t="n"/>
      <c r="I432" s="51" t="n"/>
      <c r="J432" s="51" t="n"/>
      <c r="K432" s="51" t="n"/>
      <c r="L432" s="51" t="n"/>
      <c r="N432" s="51" t="n"/>
      <c r="Q432" s="51" t="n"/>
      <c r="S432" s="51" t="n"/>
      <c r="T432" s="51" t="n"/>
      <c r="U432" s="51" t="inlineStr"/>
      <c r="V432" s="55" t="n"/>
      <c r="W432" s="51" t="inlineStr"/>
      <c r="X432" s="51" t="inlineStr"/>
      <c r="Y432" s="51" t="n"/>
      <c r="AB432" s="57" t="n"/>
      <c r="AC432" s="90" t="n"/>
      <c r="AD432" s="90" t="n"/>
      <c r="AE432" s="88" t="n"/>
      <c r="AF432" s="91" t="n"/>
      <c r="AG432" s="91" t="n"/>
      <c r="AH432" s="88" t="n"/>
      <c r="AI432" s="88" t="n"/>
      <c r="AJ432" s="90" t="n"/>
      <c r="AK432" s="88" t="n"/>
      <c r="AL432" s="91" t="n"/>
      <c r="AM432" s="88" t="n"/>
      <c r="AN432" s="95" t="n"/>
      <c r="AO432" s="90" t="n"/>
      <c r="AP432" s="90" t="n"/>
    </row>
    <row r="433" ht="14.25" customHeight="1" s="84">
      <c r="A433" s="51" t="n"/>
      <c r="B433" s="47" t="n"/>
      <c r="C433" s="51" t="n"/>
      <c r="D433" s="51" t="n"/>
      <c r="E433" s="51" t="n"/>
      <c r="F433" s="51" t="n"/>
      <c r="G433" s="47" t="n"/>
      <c r="H433" s="51" t="n"/>
      <c r="I433" s="51" t="n"/>
      <c r="J433" s="51" t="n"/>
      <c r="K433" s="51" t="n"/>
      <c r="L433" s="51" t="n"/>
      <c r="N433" s="51" t="n"/>
      <c r="Q433" s="51" t="n"/>
      <c r="S433" s="51" t="n"/>
      <c r="T433" s="51" t="n"/>
      <c r="U433" s="51" t="inlineStr"/>
      <c r="V433" s="55" t="n"/>
      <c r="W433" s="51" t="inlineStr"/>
      <c r="X433" s="51" t="inlineStr"/>
      <c r="Y433" s="51" t="n"/>
      <c r="AB433" s="57" t="n"/>
      <c r="AC433" s="90" t="n"/>
      <c r="AD433" s="90" t="n"/>
      <c r="AE433" s="88" t="n"/>
      <c r="AF433" s="91" t="n"/>
      <c r="AG433" s="91" t="n"/>
      <c r="AH433" s="88" t="n"/>
      <c r="AI433" s="88" t="n"/>
      <c r="AJ433" s="90" t="n"/>
      <c r="AK433" s="88" t="n"/>
      <c r="AL433" s="91" t="n"/>
      <c r="AM433" s="88" t="n"/>
      <c r="AN433" s="95" t="n"/>
      <c r="AO433" s="90" t="n"/>
      <c r="AP433" s="90" t="n"/>
    </row>
    <row r="434" ht="14.25" customHeight="1" s="84">
      <c r="A434" s="51" t="n"/>
      <c r="B434" s="47" t="n"/>
      <c r="C434" s="51" t="n"/>
      <c r="D434" s="51" t="n"/>
      <c r="E434" s="51" t="n"/>
      <c r="F434" s="51" t="n"/>
      <c r="G434" s="47" t="n"/>
      <c r="H434" s="51" t="n"/>
      <c r="I434" s="51" t="n"/>
      <c r="J434" s="51" t="n"/>
      <c r="K434" s="51" t="n"/>
      <c r="L434" s="51" t="n"/>
      <c r="N434" s="51" t="n"/>
      <c r="Q434" s="51" t="n"/>
      <c r="S434" s="51" t="n"/>
      <c r="T434" s="51" t="n"/>
      <c r="U434" s="51" t="inlineStr"/>
      <c r="V434" s="55" t="n"/>
      <c r="W434" s="51" t="inlineStr"/>
      <c r="X434" s="51" t="inlineStr"/>
      <c r="Y434" s="51" t="n"/>
      <c r="AB434" s="57" t="n"/>
      <c r="AC434" s="90" t="n"/>
      <c r="AD434" s="90" t="n"/>
      <c r="AE434" s="88" t="n"/>
      <c r="AF434" s="91" t="n"/>
      <c r="AG434" s="91" t="n"/>
      <c r="AH434" s="88" t="n"/>
      <c r="AI434" s="88" t="n"/>
      <c r="AJ434" s="90" t="n"/>
      <c r="AK434" s="88" t="n"/>
      <c r="AL434" s="91" t="n"/>
      <c r="AM434" s="88" t="n"/>
      <c r="AN434" s="95" t="n"/>
      <c r="AO434" s="90" t="n"/>
      <c r="AP434" s="90" t="n"/>
    </row>
    <row r="435" ht="14.25" customHeight="1" s="84">
      <c r="A435" s="51" t="n"/>
      <c r="B435" s="47" t="n"/>
      <c r="C435" s="51" t="n"/>
      <c r="D435" s="51" t="n"/>
      <c r="E435" s="51" t="n"/>
      <c r="F435" s="51" t="n"/>
      <c r="G435" s="47" t="n"/>
      <c r="H435" s="51" t="n"/>
      <c r="I435" s="51" t="n"/>
      <c r="J435" s="51" t="n"/>
      <c r="K435" s="51" t="n"/>
      <c r="L435" s="51" t="n"/>
      <c r="N435" s="51" t="n"/>
      <c r="Q435" s="51" t="n"/>
      <c r="S435" s="51" t="n"/>
      <c r="T435" s="51" t="n"/>
      <c r="U435" s="51" t="inlineStr"/>
      <c r="V435" s="55" t="n"/>
      <c r="W435" s="51" t="inlineStr"/>
      <c r="X435" s="51" t="inlineStr"/>
      <c r="Y435" s="51" t="n"/>
      <c r="AB435" s="57" t="n"/>
      <c r="AC435" s="90" t="n"/>
      <c r="AD435" s="90" t="n"/>
      <c r="AE435" s="88" t="n"/>
      <c r="AF435" s="91" t="n"/>
      <c r="AG435" s="91" t="n"/>
      <c r="AH435" s="88" t="n"/>
      <c r="AI435" s="88" t="n"/>
      <c r="AJ435" s="90" t="n"/>
      <c r="AK435" s="88" t="n"/>
      <c r="AL435" s="91" t="n"/>
      <c r="AM435" s="88" t="n"/>
      <c r="AN435" s="95" t="n"/>
      <c r="AO435" s="90" t="n"/>
      <c r="AP435" s="90" t="n"/>
    </row>
    <row r="436" ht="14.25" customHeight="1" s="84">
      <c r="A436" s="51" t="n"/>
      <c r="B436" s="47" t="n"/>
      <c r="C436" s="51" t="n"/>
      <c r="D436" s="51" t="n"/>
      <c r="E436" s="51" t="n"/>
      <c r="F436" s="51" t="n"/>
      <c r="G436" s="47" t="n"/>
      <c r="H436" s="51" t="n"/>
      <c r="I436" s="51" t="n"/>
      <c r="J436" s="51" t="n"/>
      <c r="K436" s="51" t="n"/>
      <c r="L436" s="51" t="n"/>
      <c r="N436" s="51" t="n"/>
      <c r="Q436" s="51" t="n"/>
      <c r="S436" s="51" t="n"/>
      <c r="T436" s="51" t="n"/>
      <c r="U436" s="51" t="inlineStr"/>
      <c r="V436" s="55" t="n"/>
      <c r="W436" s="51" t="inlineStr"/>
      <c r="X436" s="51" t="inlineStr"/>
      <c r="Y436" s="51" t="n"/>
      <c r="AB436" s="57" t="n"/>
      <c r="AC436" s="90" t="n"/>
      <c r="AD436" s="90" t="n"/>
      <c r="AE436" s="88" t="n"/>
      <c r="AF436" s="91" t="n"/>
      <c r="AG436" s="91" t="n"/>
      <c r="AH436" s="88" t="n"/>
      <c r="AI436" s="88" t="n"/>
      <c r="AJ436" s="90" t="n"/>
      <c r="AK436" s="88" t="n"/>
      <c r="AL436" s="91" t="n"/>
      <c r="AM436" s="88" t="n"/>
      <c r="AN436" s="95" t="n"/>
      <c r="AO436" s="90" t="n"/>
      <c r="AP436" s="90" t="n"/>
    </row>
    <row r="437" ht="14.25" customHeight="1" s="84">
      <c r="A437" s="51" t="n"/>
      <c r="B437" s="47" t="n"/>
      <c r="C437" s="51" t="n"/>
      <c r="D437" s="51" t="n"/>
      <c r="E437" s="51" t="n"/>
      <c r="F437" s="51" t="n"/>
      <c r="G437" s="47" t="n"/>
      <c r="H437" s="51" t="n"/>
      <c r="I437" s="51" t="n"/>
      <c r="J437" s="51" t="n"/>
      <c r="K437" s="51" t="n"/>
      <c r="L437" s="51" t="n"/>
      <c r="N437" s="51" t="n"/>
      <c r="Q437" s="51" t="n"/>
      <c r="S437" s="51" t="n"/>
      <c r="T437" s="51" t="n"/>
      <c r="U437" s="51" t="inlineStr"/>
      <c r="V437" s="55" t="n"/>
      <c r="W437" s="51" t="inlineStr"/>
      <c r="X437" s="51" t="inlineStr"/>
      <c r="Y437" s="51" t="n"/>
      <c r="AB437" s="57" t="n"/>
      <c r="AC437" s="90" t="n"/>
      <c r="AD437" s="90" t="n"/>
      <c r="AE437" s="88" t="n"/>
      <c r="AF437" s="91" t="n"/>
      <c r="AG437" s="91" t="n"/>
      <c r="AH437" s="88" t="n"/>
      <c r="AI437" s="88" t="n"/>
      <c r="AJ437" s="90" t="n"/>
      <c r="AK437" s="88" t="n"/>
      <c r="AL437" s="91" t="n"/>
      <c r="AM437" s="88" t="n"/>
      <c r="AN437" s="95" t="n"/>
      <c r="AO437" s="90" t="n"/>
      <c r="AP437" s="90" t="n"/>
    </row>
    <row r="438" ht="14.25" customHeight="1" s="84">
      <c r="A438" s="51" t="n"/>
      <c r="B438" s="47" t="n"/>
      <c r="C438" s="51" t="n"/>
      <c r="D438" s="51" t="n"/>
      <c r="E438" s="51" t="n"/>
      <c r="F438" s="51" t="n"/>
      <c r="G438" s="47" t="n"/>
      <c r="H438" s="51" t="n"/>
      <c r="I438" s="51" t="n"/>
      <c r="J438" s="51" t="n"/>
      <c r="K438" s="51" t="n"/>
      <c r="L438" s="51" t="n"/>
      <c r="N438" s="51" t="n"/>
      <c r="Q438" s="51" t="n"/>
      <c r="S438" s="51" t="n"/>
      <c r="T438" s="51" t="n"/>
      <c r="U438" s="51" t="inlineStr"/>
      <c r="V438" s="55" t="n"/>
      <c r="W438" s="51" t="inlineStr"/>
      <c r="X438" s="51" t="inlineStr"/>
      <c r="Y438" s="51" t="n"/>
      <c r="AB438" s="57" t="n"/>
      <c r="AC438" s="90" t="n"/>
      <c r="AD438" s="90" t="n"/>
      <c r="AE438" s="88" t="n"/>
      <c r="AF438" s="91" t="n"/>
      <c r="AG438" s="91" t="n"/>
      <c r="AH438" s="88" t="n"/>
      <c r="AI438" s="88" t="n"/>
      <c r="AJ438" s="90" t="n"/>
      <c r="AK438" s="88" t="n"/>
      <c r="AL438" s="91" t="n"/>
      <c r="AM438" s="88" t="n"/>
      <c r="AN438" s="95" t="n"/>
      <c r="AO438" s="90" t="n"/>
      <c r="AP438" s="90" t="n"/>
    </row>
    <row r="439" ht="14.25" customHeight="1" s="84">
      <c r="A439" s="51" t="n"/>
      <c r="B439" s="47" t="n"/>
      <c r="C439" s="51" t="n"/>
      <c r="D439" s="51" t="n"/>
      <c r="E439" s="51" t="n"/>
      <c r="F439" s="51" t="n"/>
      <c r="G439" s="47" t="n"/>
      <c r="H439" s="51" t="n"/>
      <c r="I439" s="51" t="n"/>
      <c r="J439" s="51" t="n"/>
      <c r="K439" s="51" t="n"/>
      <c r="L439" s="51" t="n"/>
      <c r="N439" s="51" t="n"/>
      <c r="Q439" s="51" t="n"/>
      <c r="S439" s="51" t="n"/>
      <c r="T439" s="51" t="n"/>
      <c r="U439" s="51" t="inlineStr"/>
      <c r="V439" s="55" t="n"/>
      <c r="W439" s="51" t="inlineStr"/>
      <c r="X439" s="51" t="inlineStr"/>
      <c r="Y439" s="51" t="n"/>
      <c r="AB439" s="57" t="n"/>
      <c r="AC439" s="90" t="n"/>
      <c r="AD439" s="90" t="n"/>
      <c r="AE439" s="88" t="n"/>
      <c r="AF439" s="91" t="n"/>
      <c r="AG439" s="91" t="n"/>
      <c r="AH439" s="88" t="n"/>
      <c r="AI439" s="88" t="n"/>
      <c r="AJ439" s="90" t="n"/>
      <c r="AK439" s="88" t="n"/>
      <c r="AL439" s="91" t="n"/>
      <c r="AM439" s="88" t="n"/>
      <c r="AN439" s="95" t="n"/>
      <c r="AO439" s="90" t="n"/>
      <c r="AP439" s="90" t="n"/>
    </row>
    <row r="440" ht="14.25" customHeight="1" s="84">
      <c r="A440" s="51" t="n"/>
      <c r="B440" s="47" t="n"/>
      <c r="C440" s="51" t="n"/>
      <c r="D440" s="51" t="n"/>
      <c r="E440" s="51" t="n"/>
      <c r="F440" s="51" t="n"/>
      <c r="G440" s="47" t="n"/>
      <c r="H440" s="51" t="n"/>
      <c r="I440" s="51" t="n"/>
      <c r="J440" s="51" t="n"/>
      <c r="K440" s="51" t="n"/>
      <c r="L440" s="51" t="n"/>
      <c r="N440" s="51" t="n"/>
      <c r="Q440" s="51" t="n"/>
      <c r="S440" s="51" t="n"/>
      <c r="T440" s="51" t="n"/>
      <c r="U440" s="51" t="inlineStr"/>
      <c r="V440" s="55" t="n"/>
      <c r="W440" s="51" t="inlineStr"/>
      <c r="X440" s="51" t="inlineStr"/>
      <c r="Y440" s="51" t="n"/>
      <c r="AB440" s="57" t="n"/>
      <c r="AC440" s="90" t="n"/>
      <c r="AD440" s="90" t="n"/>
      <c r="AE440" s="88" t="n"/>
      <c r="AF440" s="91" t="n"/>
      <c r="AG440" s="91" t="n"/>
      <c r="AH440" s="88" t="n"/>
      <c r="AI440" s="88" t="n"/>
      <c r="AJ440" s="90" t="n"/>
      <c r="AK440" s="88" t="n"/>
      <c r="AL440" s="91" t="n"/>
      <c r="AM440" s="88" t="n"/>
      <c r="AN440" s="95" t="n"/>
      <c r="AO440" s="90" t="n"/>
      <c r="AP440" s="90" t="n"/>
    </row>
    <row r="441" ht="14.25" customHeight="1" s="84">
      <c r="A441" s="51" t="n"/>
      <c r="B441" s="47" t="n"/>
      <c r="C441" s="51" t="n"/>
      <c r="D441" s="51" t="n"/>
      <c r="E441" s="51" t="n"/>
      <c r="F441" s="51" t="n"/>
      <c r="G441" s="47" t="n"/>
      <c r="H441" s="51" t="n"/>
      <c r="I441" s="51" t="n"/>
      <c r="J441" s="51" t="n"/>
      <c r="K441" s="51" t="n"/>
      <c r="L441" s="51" t="n"/>
      <c r="N441" s="51" t="n"/>
      <c r="Q441" s="51" t="n"/>
      <c r="S441" s="51" t="n"/>
      <c r="T441" s="51" t="n"/>
      <c r="U441" s="51" t="inlineStr"/>
      <c r="V441" s="55" t="n"/>
      <c r="W441" s="51" t="inlineStr"/>
      <c r="X441" s="51" t="inlineStr"/>
      <c r="Y441" s="51" t="n"/>
      <c r="AB441" s="57" t="n"/>
      <c r="AC441" s="90" t="n"/>
      <c r="AD441" s="90" t="n"/>
      <c r="AE441" s="88" t="n"/>
      <c r="AF441" s="91" t="n"/>
      <c r="AG441" s="91" t="n"/>
      <c r="AH441" s="88" t="n"/>
      <c r="AI441" s="88" t="n"/>
      <c r="AJ441" s="90" t="n"/>
      <c r="AK441" s="88" t="n"/>
      <c r="AL441" s="91" t="n"/>
      <c r="AM441" s="88" t="n"/>
      <c r="AN441" s="95" t="n"/>
      <c r="AO441" s="90" t="n"/>
      <c r="AP441" s="90" t="n"/>
    </row>
    <row r="442" ht="14.25" customHeight="1" s="84">
      <c r="A442" s="51" t="n"/>
      <c r="B442" s="47" t="n"/>
      <c r="C442" s="51" t="n"/>
      <c r="D442" s="51" t="n"/>
      <c r="E442" s="51" t="n"/>
      <c r="F442" s="51" t="n"/>
      <c r="G442" s="47" t="n"/>
      <c r="H442" s="51" t="n"/>
      <c r="I442" s="51" t="n"/>
      <c r="J442" s="51" t="n"/>
      <c r="K442" s="51" t="n"/>
      <c r="L442" s="51" t="n"/>
      <c r="N442" s="51" t="n"/>
      <c r="Q442" s="51" t="n"/>
      <c r="S442" s="51" t="n"/>
      <c r="T442" s="51" t="n"/>
      <c r="U442" s="51" t="inlineStr"/>
      <c r="V442" s="55" t="n"/>
      <c r="W442" s="51" t="inlineStr"/>
      <c r="X442" s="51" t="inlineStr"/>
      <c r="Y442" s="51" t="n"/>
      <c r="AB442" s="57" t="n"/>
      <c r="AC442" s="90" t="n"/>
      <c r="AD442" s="90" t="n"/>
      <c r="AE442" s="88" t="n"/>
      <c r="AF442" s="91" t="n"/>
      <c r="AG442" s="91" t="n"/>
      <c r="AH442" s="88" t="n"/>
      <c r="AI442" s="88" t="n"/>
      <c r="AJ442" s="90" t="n"/>
      <c r="AK442" s="88" t="n"/>
      <c r="AL442" s="91" t="n"/>
      <c r="AM442" s="88" t="n"/>
      <c r="AN442" s="95" t="n"/>
      <c r="AO442" s="90" t="n"/>
      <c r="AP442" s="90" t="n"/>
    </row>
    <row r="443" ht="14.25" customHeight="1" s="84">
      <c r="A443" s="51" t="n"/>
      <c r="B443" s="47" t="n"/>
      <c r="C443" s="51" t="n"/>
      <c r="D443" s="51" t="n"/>
      <c r="E443" s="51" t="n"/>
      <c r="F443" s="51" t="n"/>
      <c r="G443" s="47" t="n"/>
      <c r="H443" s="51" t="n"/>
      <c r="I443" s="51" t="n"/>
      <c r="J443" s="51" t="n"/>
      <c r="K443" s="51" t="n"/>
      <c r="L443" s="51" t="n"/>
      <c r="N443" s="51" t="n"/>
      <c r="Q443" s="51" t="n"/>
      <c r="S443" s="51" t="n"/>
      <c r="T443" s="51" t="n"/>
      <c r="U443" s="51" t="inlineStr"/>
      <c r="V443" s="55" t="n"/>
      <c r="W443" s="51" t="inlineStr"/>
      <c r="X443" s="51" t="inlineStr"/>
      <c r="Y443" s="51" t="n"/>
      <c r="AB443" s="57" t="n"/>
      <c r="AC443" s="90" t="n"/>
      <c r="AD443" s="90" t="n"/>
      <c r="AE443" s="88" t="n"/>
      <c r="AF443" s="91" t="n"/>
      <c r="AG443" s="91" t="n"/>
      <c r="AH443" s="88" t="n"/>
      <c r="AI443" s="88" t="n"/>
      <c r="AJ443" s="90" t="n"/>
      <c r="AK443" s="88" t="n"/>
      <c r="AL443" s="91" t="n"/>
      <c r="AM443" s="88" t="n"/>
      <c r="AN443" s="95" t="n"/>
      <c r="AO443" s="90" t="n"/>
      <c r="AP443" s="90" t="n"/>
    </row>
    <row r="444" ht="14.25" customHeight="1" s="84">
      <c r="A444" s="51" t="n"/>
      <c r="B444" s="47" t="n"/>
      <c r="C444" s="51" t="n"/>
      <c r="D444" s="51" t="n"/>
      <c r="E444" s="51" t="n"/>
      <c r="F444" s="51" t="n"/>
      <c r="G444" s="47" t="n"/>
      <c r="H444" s="51" t="n"/>
      <c r="I444" s="51" t="n"/>
      <c r="J444" s="51" t="n"/>
      <c r="K444" s="51" t="n"/>
      <c r="L444" s="51" t="n"/>
      <c r="N444" s="51" t="n"/>
      <c r="Q444" s="51" t="n"/>
      <c r="S444" s="51" t="n"/>
      <c r="T444" s="51" t="n"/>
      <c r="U444" s="51" t="inlineStr"/>
      <c r="V444" s="55" t="n"/>
      <c r="W444" s="51" t="inlineStr"/>
      <c r="X444" s="51" t="inlineStr"/>
      <c r="Y444" s="51" t="n"/>
      <c r="AB444" s="57" t="n"/>
      <c r="AC444" s="90" t="n"/>
      <c r="AD444" s="90" t="n"/>
      <c r="AE444" s="88" t="n"/>
      <c r="AF444" s="91" t="n"/>
      <c r="AG444" s="91" t="n"/>
      <c r="AH444" s="88" t="n"/>
      <c r="AI444" s="88" t="n"/>
      <c r="AJ444" s="90" t="n"/>
      <c r="AK444" s="88" t="n"/>
      <c r="AL444" s="91" t="n"/>
      <c r="AM444" s="88" t="n"/>
      <c r="AN444" s="95" t="n"/>
      <c r="AO444" s="90" t="n"/>
      <c r="AP444" s="90" t="n"/>
    </row>
    <row r="445" ht="14.25" customHeight="1" s="84">
      <c r="A445" s="51" t="n"/>
      <c r="B445" s="47" t="n"/>
      <c r="C445" s="51" t="n"/>
      <c r="D445" s="51" t="n"/>
      <c r="E445" s="51" t="n"/>
      <c r="F445" s="51" t="n"/>
      <c r="G445" s="47" t="n"/>
      <c r="H445" s="51" t="n"/>
      <c r="I445" s="51" t="n"/>
      <c r="J445" s="51" t="n"/>
      <c r="K445" s="51" t="n"/>
      <c r="L445" s="51" t="n"/>
      <c r="N445" s="51" t="n"/>
      <c r="Q445" s="51" t="n"/>
      <c r="S445" s="51" t="n"/>
      <c r="T445" s="51" t="n"/>
      <c r="U445" s="51" t="inlineStr"/>
      <c r="V445" s="55" t="n"/>
      <c r="W445" s="51" t="inlineStr"/>
      <c r="X445" s="51" t="inlineStr"/>
      <c r="Y445" s="51" t="n"/>
      <c r="AB445" s="57" t="n"/>
      <c r="AC445" s="90" t="n"/>
      <c r="AD445" s="90" t="n"/>
      <c r="AE445" s="88" t="n"/>
      <c r="AF445" s="91" t="n"/>
      <c r="AG445" s="91" t="n"/>
      <c r="AH445" s="88" t="n"/>
      <c r="AI445" s="88" t="n"/>
      <c r="AJ445" s="90" t="n"/>
      <c r="AK445" s="88" t="n"/>
      <c r="AL445" s="91" t="n"/>
      <c r="AM445" s="88" t="n"/>
      <c r="AN445" s="95" t="n"/>
      <c r="AO445" s="90" t="n"/>
      <c r="AP445" s="90" t="n"/>
    </row>
    <row r="446" ht="14.25" customHeight="1" s="84">
      <c r="A446" s="51" t="n"/>
      <c r="B446" s="47" t="n"/>
      <c r="C446" s="51" t="n"/>
      <c r="D446" s="51" t="n"/>
      <c r="E446" s="51" t="n"/>
      <c r="F446" s="51" t="n"/>
      <c r="G446" s="47" t="n"/>
      <c r="H446" s="51" t="n"/>
      <c r="I446" s="51" t="n"/>
      <c r="J446" s="51" t="n"/>
      <c r="K446" s="51" t="n"/>
      <c r="L446" s="51" t="n"/>
      <c r="N446" s="51" t="n"/>
      <c r="Q446" s="51" t="n"/>
      <c r="S446" s="51" t="n"/>
      <c r="T446" s="51" t="n"/>
      <c r="U446" s="51" t="inlineStr"/>
      <c r="V446" s="55" t="n"/>
      <c r="W446" s="51" t="inlineStr"/>
      <c r="X446" s="51" t="inlineStr"/>
      <c r="Y446" s="51" t="n"/>
      <c r="AB446" s="57" t="n"/>
      <c r="AC446" s="90" t="n"/>
      <c r="AD446" s="90" t="n"/>
      <c r="AE446" s="88" t="n"/>
      <c r="AF446" s="91" t="n"/>
      <c r="AG446" s="91" t="n"/>
      <c r="AH446" s="88" t="n"/>
      <c r="AI446" s="88" t="n"/>
      <c r="AJ446" s="90" t="n"/>
      <c r="AK446" s="88" t="n"/>
      <c r="AL446" s="91" t="n"/>
      <c r="AM446" s="88" t="n"/>
      <c r="AN446" s="95" t="n"/>
      <c r="AO446" s="90" t="n"/>
      <c r="AP446" s="90" t="n"/>
    </row>
    <row r="447" ht="14.25" customHeight="1" s="84">
      <c r="A447" s="51" t="n"/>
      <c r="B447" s="47" t="n"/>
      <c r="C447" s="51" t="n"/>
      <c r="D447" s="51" t="n"/>
      <c r="E447" s="51" t="n"/>
      <c r="F447" s="51" t="n"/>
      <c r="G447" s="47" t="n"/>
      <c r="H447" s="51" t="n"/>
      <c r="I447" s="51" t="n"/>
      <c r="J447" s="51" t="n"/>
      <c r="K447" s="51" t="n"/>
      <c r="L447" s="51" t="n"/>
      <c r="N447" s="51" t="n"/>
      <c r="Q447" s="51" t="n"/>
      <c r="S447" s="51" t="n"/>
      <c r="T447" s="51" t="n"/>
      <c r="U447" s="51" t="inlineStr"/>
      <c r="V447" s="55" t="n"/>
      <c r="W447" s="51" t="inlineStr"/>
      <c r="X447" s="51" t="inlineStr"/>
      <c r="Y447" s="51" t="n"/>
      <c r="AB447" s="57" t="n"/>
      <c r="AC447" s="90" t="n"/>
      <c r="AD447" s="90" t="n"/>
      <c r="AE447" s="88" t="n"/>
      <c r="AF447" s="91" t="n"/>
      <c r="AG447" s="91" t="n"/>
      <c r="AH447" s="88" t="n"/>
      <c r="AI447" s="88" t="n"/>
      <c r="AJ447" s="90" t="n"/>
      <c r="AK447" s="88" t="n"/>
      <c r="AL447" s="91" t="n"/>
      <c r="AM447" s="88" t="n"/>
      <c r="AN447" s="95" t="n"/>
      <c r="AO447" s="90" t="n"/>
      <c r="AP447" s="90" t="n"/>
    </row>
    <row r="448" ht="14.25" customHeight="1" s="84">
      <c r="A448" s="51" t="n"/>
      <c r="B448" s="47" t="n"/>
      <c r="C448" s="51" t="n"/>
      <c r="D448" s="51" t="n"/>
      <c r="E448" s="51" t="n"/>
      <c r="F448" s="51" t="n"/>
      <c r="G448" s="47" t="n"/>
      <c r="H448" s="51" t="n"/>
      <c r="I448" s="51" t="n"/>
      <c r="J448" s="51" t="n"/>
      <c r="K448" s="51" t="n"/>
      <c r="L448" s="51" t="n"/>
      <c r="N448" s="51" t="n"/>
      <c r="Q448" s="51" t="n"/>
      <c r="S448" s="51" t="n"/>
      <c r="T448" s="51" t="n"/>
      <c r="U448" s="51" t="inlineStr"/>
      <c r="V448" s="55" t="n"/>
      <c r="W448" s="51" t="inlineStr"/>
      <c r="X448" s="51" t="inlineStr"/>
      <c r="Y448" s="51" t="n"/>
      <c r="AB448" s="57" t="n"/>
      <c r="AC448" s="90" t="n"/>
      <c r="AD448" s="90" t="n"/>
      <c r="AE448" s="88" t="n"/>
      <c r="AF448" s="91" t="n"/>
      <c r="AG448" s="91" t="n"/>
      <c r="AH448" s="88" t="n"/>
      <c r="AI448" s="88" t="n"/>
      <c r="AJ448" s="90" t="n"/>
      <c r="AK448" s="88" t="n"/>
      <c r="AL448" s="91" t="n"/>
      <c r="AM448" s="88" t="n"/>
      <c r="AN448" s="95" t="n"/>
      <c r="AO448" s="90" t="n"/>
      <c r="AP448" s="90" t="n"/>
    </row>
    <row r="449" ht="14.25" customHeight="1" s="84">
      <c r="A449" s="51" t="n"/>
      <c r="B449" s="47" t="n"/>
      <c r="C449" s="51" t="n"/>
      <c r="D449" s="51" t="n"/>
      <c r="E449" s="51" t="n"/>
      <c r="F449" s="51" t="n"/>
      <c r="G449" s="47" t="n"/>
      <c r="H449" s="51" t="n"/>
      <c r="I449" s="51" t="n"/>
      <c r="J449" s="51" t="n"/>
      <c r="K449" s="51" t="n"/>
      <c r="L449" s="51" t="n"/>
      <c r="N449" s="51" t="n"/>
      <c r="Q449" s="51" t="n"/>
      <c r="S449" s="51" t="n"/>
      <c r="T449" s="51" t="n"/>
      <c r="U449" s="51" t="inlineStr"/>
      <c r="V449" s="55" t="n"/>
      <c r="W449" s="51" t="inlineStr"/>
      <c r="X449" s="51" t="inlineStr"/>
      <c r="Y449" s="51" t="n"/>
      <c r="AB449" s="57" t="n"/>
      <c r="AC449" s="90" t="n"/>
      <c r="AD449" s="90" t="n"/>
      <c r="AE449" s="88" t="n"/>
      <c r="AF449" s="91" t="n"/>
      <c r="AG449" s="91" t="n"/>
      <c r="AH449" s="88" t="n"/>
      <c r="AI449" s="88" t="n"/>
      <c r="AJ449" s="90" t="n"/>
      <c r="AK449" s="88" t="n"/>
      <c r="AL449" s="91" t="n"/>
      <c r="AM449" s="88" t="n"/>
      <c r="AN449" s="95" t="n"/>
      <c r="AO449" s="90" t="n"/>
      <c r="AP449" s="90" t="n"/>
    </row>
    <row r="450" ht="14.25" customHeight="1" s="84">
      <c r="A450" s="51" t="n"/>
      <c r="B450" s="47" t="n"/>
      <c r="C450" s="51" t="n"/>
      <c r="D450" s="51" t="n"/>
      <c r="E450" s="51" t="n"/>
      <c r="F450" s="51" t="n"/>
      <c r="G450" s="47" t="n"/>
      <c r="H450" s="51" t="n"/>
      <c r="I450" s="51" t="n"/>
      <c r="J450" s="51" t="n"/>
      <c r="K450" s="51" t="n"/>
      <c r="L450" s="51" t="n"/>
      <c r="N450" s="51" t="n"/>
      <c r="Q450" s="51" t="n"/>
      <c r="S450" s="51" t="n"/>
      <c r="T450" s="51" t="n"/>
      <c r="U450" s="51" t="inlineStr"/>
      <c r="V450" s="55" t="n"/>
      <c r="W450" s="51" t="inlineStr"/>
      <c r="X450" s="51" t="inlineStr"/>
      <c r="Y450" s="51" t="n"/>
      <c r="AB450" s="57" t="n"/>
      <c r="AC450" s="90" t="n"/>
      <c r="AD450" s="90" t="n"/>
      <c r="AE450" s="88" t="n"/>
      <c r="AF450" s="91" t="n"/>
      <c r="AG450" s="91" t="n"/>
      <c r="AH450" s="88" t="n"/>
      <c r="AI450" s="88" t="n"/>
      <c r="AJ450" s="90" t="n"/>
      <c r="AK450" s="88" t="n"/>
      <c r="AL450" s="91" t="n"/>
      <c r="AM450" s="88" t="n"/>
      <c r="AN450" s="95" t="n"/>
      <c r="AO450" s="90" t="n"/>
      <c r="AP450" s="90" t="n"/>
    </row>
    <row r="451" ht="14.25" customHeight="1" s="84">
      <c r="A451" s="51" t="n"/>
      <c r="B451" s="47" t="n"/>
      <c r="C451" s="51" t="n"/>
      <c r="D451" s="51" t="n"/>
      <c r="E451" s="51" t="n"/>
      <c r="F451" s="51" t="n"/>
      <c r="G451" s="47" t="n"/>
      <c r="H451" s="51" t="n"/>
      <c r="I451" s="51" t="n"/>
      <c r="J451" s="51" t="n"/>
      <c r="K451" s="51" t="n"/>
      <c r="L451" s="51" t="n"/>
      <c r="N451" s="51" t="n"/>
      <c r="Q451" s="51" t="n"/>
      <c r="S451" s="51" t="n"/>
      <c r="T451" s="51" t="n"/>
      <c r="U451" s="51" t="inlineStr"/>
      <c r="V451" s="55" t="n"/>
      <c r="W451" s="51" t="inlineStr"/>
      <c r="X451" s="51" t="inlineStr"/>
      <c r="Y451" s="51" t="n"/>
      <c r="AB451" s="57" t="n"/>
      <c r="AC451" s="90" t="n"/>
      <c r="AD451" s="90" t="n"/>
      <c r="AE451" s="88" t="n"/>
      <c r="AF451" s="91" t="n"/>
      <c r="AG451" s="91" t="n"/>
      <c r="AH451" s="88" t="n"/>
      <c r="AI451" s="88" t="n"/>
      <c r="AJ451" s="90" t="n"/>
      <c r="AK451" s="88" t="n"/>
      <c r="AL451" s="91" t="n"/>
      <c r="AM451" s="88" t="n"/>
      <c r="AN451" s="95" t="n"/>
      <c r="AO451" s="90" t="n"/>
      <c r="AP451" s="90" t="n"/>
    </row>
    <row r="452" ht="14.25" customHeight="1" s="84">
      <c r="A452" s="51" t="n"/>
      <c r="B452" s="47" t="n"/>
      <c r="C452" s="51" t="n"/>
      <c r="D452" s="51" t="n"/>
      <c r="E452" s="51" t="n"/>
      <c r="F452" s="51" t="n"/>
      <c r="G452" s="47" t="n"/>
      <c r="H452" s="51" t="n"/>
      <c r="I452" s="51" t="n"/>
      <c r="J452" s="51" t="n"/>
      <c r="K452" s="51" t="n"/>
      <c r="L452" s="51" t="n"/>
      <c r="N452" s="51" t="n"/>
      <c r="Q452" s="51" t="n"/>
      <c r="S452" s="51" t="n"/>
      <c r="T452" s="51" t="n"/>
      <c r="U452" s="51" t="inlineStr"/>
      <c r="V452" s="55" t="n"/>
      <c r="W452" s="51" t="inlineStr"/>
      <c r="X452" s="51" t="inlineStr"/>
      <c r="Y452" s="51" t="n"/>
      <c r="AB452" s="57" t="n"/>
      <c r="AC452" s="90" t="n"/>
      <c r="AD452" s="90" t="n"/>
      <c r="AE452" s="88" t="n"/>
      <c r="AF452" s="91" t="n"/>
      <c r="AG452" s="91" t="n"/>
      <c r="AH452" s="88" t="n"/>
      <c r="AI452" s="88" t="n"/>
      <c r="AJ452" s="90" t="n"/>
      <c r="AK452" s="88" t="n"/>
      <c r="AL452" s="91" t="n"/>
      <c r="AM452" s="88" t="n"/>
      <c r="AN452" s="95" t="n"/>
      <c r="AO452" s="90" t="n"/>
      <c r="AP452" s="90" t="n"/>
    </row>
    <row r="453" ht="14.25" customHeight="1" s="84">
      <c r="A453" s="51" t="n"/>
      <c r="B453" s="47" t="n"/>
      <c r="C453" s="51" t="n"/>
      <c r="D453" s="51" t="n"/>
      <c r="E453" s="51" t="n"/>
      <c r="F453" s="51" t="n"/>
      <c r="G453" s="47" t="n"/>
      <c r="H453" s="51" t="n"/>
      <c r="I453" s="51" t="n"/>
      <c r="J453" s="51" t="n"/>
      <c r="K453" s="51" t="n"/>
      <c r="L453" s="51" t="n"/>
      <c r="N453" s="51" t="n"/>
      <c r="Q453" s="51" t="n"/>
      <c r="S453" s="51" t="n"/>
      <c r="T453" s="51" t="n"/>
      <c r="U453" s="51" t="inlineStr"/>
      <c r="V453" s="55" t="n"/>
      <c r="W453" s="51" t="inlineStr"/>
      <c r="X453" s="51" t="inlineStr"/>
      <c r="Y453" s="51" t="n"/>
      <c r="AB453" s="57" t="n"/>
      <c r="AC453" s="90" t="n"/>
      <c r="AD453" s="90" t="n"/>
      <c r="AE453" s="88" t="n"/>
      <c r="AF453" s="91" t="n"/>
      <c r="AG453" s="91" t="n"/>
      <c r="AH453" s="88" t="n"/>
      <c r="AI453" s="88" t="n"/>
      <c r="AJ453" s="90" t="n"/>
      <c r="AK453" s="88" t="n"/>
      <c r="AL453" s="91" t="n"/>
      <c r="AM453" s="88" t="n"/>
      <c r="AN453" s="95" t="n"/>
      <c r="AO453" s="90" t="n"/>
      <c r="AP453" s="90" t="n"/>
    </row>
    <row r="454" ht="14.25" customHeight="1" s="84">
      <c r="A454" s="51" t="n"/>
      <c r="B454" s="47" t="n"/>
      <c r="C454" s="51" t="n"/>
      <c r="D454" s="51" t="n"/>
      <c r="E454" s="51" t="n"/>
      <c r="F454" s="51" t="n"/>
      <c r="G454" s="47" t="n"/>
      <c r="H454" s="51" t="n"/>
      <c r="I454" s="51" t="n"/>
      <c r="J454" s="51" t="n"/>
      <c r="K454" s="51" t="n"/>
      <c r="L454" s="51" t="n"/>
      <c r="N454" s="51" t="n"/>
      <c r="Q454" s="51" t="n"/>
      <c r="S454" s="51" t="n"/>
      <c r="T454" s="51" t="n"/>
      <c r="U454" s="51" t="inlineStr"/>
      <c r="V454" s="55" t="n"/>
      <c r="W454" s="51" t="inlineStr"/>
      <c r="X454" s="51" t="inlineStr"/>
      <c r="Y454" s="51" t="n"/>
      <c r="AB454" s="57" t="n"/>
      <c r="AC454" s="90" t="n"/>
      <c r="AD454" s="90" t="n"/>
      <c r="AE454" s="88" t="n"/>
      <c r="AF454" s="91" t="n"/>
      <c r="AG454" s="91" t="n"/>
      <c r="AH454" s="88" t="n"/>
      <c r="AI454" s="88" t="n"/>
      <c r="AJ454" s="90" t="n"/>
      <c r="AK454" s="88" t="n"/>
      <c r="AL454" s="91" t="n"/>
      <c r="AM454" s="88" t="n"/>
      <c r="AN454" s="95" t="n"/>
      <c r="AO454" s="90" t="n"/>
      <c r="AP454" s="90" t="n"/>
    </row>
    <row r="455" ht="14.25" customHeight="1" s="84">
      <c r="A455" s="51" t="n"/>
      <c r="B455" s="47" t="n"/>
      <c r="C455" s="51" t="n"/>
      <c r="D455" s="51" t="n"/>
      <c r="E455" s="51" t="n"/>
      <c r="F455" s="51" t="n"/>
      <c r="G455" s="47" t="n"/>
      <c r="H455" s="51" t="n"/>
      <c r="I455" s="51" t="n"/>
      <c r="J455" s="51" t="n"/>
      <c r="K455" s="51" t="n"/>
      <c r="L455" s="51" t="n"/>
      <c r="N455" s="51" t="n"/>
      <c r="Q455" s="51" t="n"/>
      <c r="S455" s="51" t="n"/>
      <c r="T455" s="51" t="n"/>
      <c r="U455" s="51" t="inlineStr"/>
      <c r="V455" s="55" t="n"/>
      <c r="W455" s="51" t="inlineStr"/>
      <c r="X455" s="51" t="inlineStr"/>
      <c r="Y455" s="51" t="n"/>
      <c r="AB455" s="57" t="n"/>
      <c r="AC455" s="90" t="n"/>
      <c r="AD455" s="90" t="n"/>
      <c r="AE455" s="88" t="n"/>
      <c r="AF455" s="91" t="n"/>
      <c r="AG455" s="91" t="n"/>
      <c r="AH455" s="88" t="n"/>
      <c r="AI455" s="88" t="n"/>
      <c r="AJ455" s="90" t="n"/>
      <c r="AK455" s="88" t="n"/>
      <c r="AL455" s="91" t="n"/>
      <c r="AM455" s="88" t="n"/>
      <c r="AN455" s="95" t="n"/>
      <c r="AO455" s="90" t="n"/>
      <c r="AP455" s="90" t="n"/>
    </row>
    <row r="456" ht="14.25" customHeight="1" s="84">
      <c r="A456" s="51" t="n"/>
      <c r="B456" s="47" t="n"/>
      <c r="C456" s="51" t="n"/>
      <c r="D456" s="51" t="n"/>
      <c r="E456" s="51" t="n"/>
      <c r="F456" s="51" t="n"/>
      <c r="G456" s="47" t="n"/>
      <c r="H456" s="51" t="n"/>
      <c r="I456" s="51" t="n"/>
      <c r="J456" s="51" t="n"/>
      <c r="K456" s="51" t="n"/>
      <c r="L456" s="51" t="n"/>
      <c r="N456" s="51" t="n"/>
      <c r="Q456" s="51" t="n"/>
      <c r="S456" s="51" t="n"/>
      <c r="T456" s="51" t="n"/>
      <c r="U456" s="51" t="inlineStr"/>
      <c r="V456" s="55" t="n"/>
      <c r="W456" s="51" t="inlineStr"/>
      <c r="X456" s="51" t="inlineStr"/>
      <c r="Y456" s="51" t="n"/>
      <c r="AB456" s="57" t="n"/>
      <c r="AC456" s="90" t="n"/>
      <c r="AD456" s="90" t="n"/>
      <c r="AE456" s="88" t="n"/>
      <c r="AF456" s="91" t="n"/>
      <c r="AG456" s="91" t="n"/>
      <c r="AH456" s="88" t="n"/>
      <c r="AI456" s="88" t="n"/>
      <c r="AJ456" s="90" t="n"/>
      <c r="AK456" s="88" t="n"/>
      <c r="AL456" s="91" t="n"/>
      <c r="AM456" s="88" t="n"/>
      <c r="AN456" s="95" t="n"/>
      <c r="AO456" s="90" t="n"/>
      <c r="AP456" s="90" t="n"/>
    </row>
    <row r="457" ht="14.25" customHeight="1" s="84">
      <c r="A457" s="51" t="n"/>
      <c r="B457" s="47" t="n"/>
      <c r="C457" s="51" t="n"/>
      <c r="D457" s="51" t="n"/>
      <c r="E457" s="51" t="n"/>
      <c r="F457" s="51" t="n"/>
      <c r="G457" s="47" t="n"/>
      <c r="H457" s="51" t="n"/>
      <c r="I457" s="51" t="n"/>
      <c r="J457" s="51" t="n"/>
      <c r="K457" s="51" t="n"/>
      <c r="L457" s="51" t="n"/>
      <c r="N457" s="51" t="n"/>
      <c r="Q457" s="51" t="n"/>
      <c r="S457" s="51" t="n"/>
      <c r="T457" s="51" t="n"/>
      <c r="U457" s="51" t="inlineStr"/>
      <c r="V457" s="55" t="n"/>
      <c r="W457" s="51" t="inlineStr"/>
      <c r="X457" s="51" t="inlineStr"/>
      <c r="Y457" s="51" t="n"/>
      <c r="AB457" s="57" t="n"/>
      <c r="AC457" s="90" t="n"/>
      <c r="AD457" s="90" t="n"/>
      <c r="AE457" s="88" t="n"/>
      <c r="AF457" s="91" t="n"/>
      <c r="AG457" s="91" t="n"/>
      <c r="AH457" s="88" t="n"/>
      <c r="AI457" s="88" t="n"/>
      <c r="AJ457" s="90" t="n"/>
      <c r="AK457" s="88" t="n"/>
      <c r="AL457" s="91" t="n"/>
      <c r="AM457" s="88" t="n"/>
      <c r="AN457" s="95" t="n"/>
      <c r="AO457" s="90" t="n"/>
      <c r="AP457" s="90" t="n"/>
    </row>
    <row r="458" ht="14.25" customHeight="1" s="84">
      <c r="A458" s="51" t="n"/>
      <c r="B458" s="47" t="n"/>
      <c r="C458" s="51" t="n"/>
      <c r="D458" s="51" t="n"/>
      <c r="E458" s="51" t="n"/>
      <c r="F458" s="51" t="n"/>
      <c r="G458" s="47" t="n"/>
      <c r="H458" s="51" t="n"/>
      <c r="I458" s="51" t="n"/>
      <c r="J458" s="51" t="n"/>
      <c r="K458" s="51" t="n"/>
      <c r="L458" s="51" t="n"/>
      <c r="N458" s="51" t="n"/>
      <c r="Q458" s="51" t="n"/>
      <c r="S458" s="51" t="n"/>
      <c r="T458" s="51" t="n"/>
      <c r="U458" s="51" t="inlineStr"/>
      <c r="V458" s="55" t="n"/>
      <c r="W458" s="51" t="inlineStr"/>
      <c r="X458" s="51" t="inlineStr"/>
      <c r="Y458" s="51" t="n"/>
      <c r="AB458" s="57" t="n"/>
      <c r="AC458" s="90" t="n"/>
      <c r="AD458" s="90" t="n"/>
      <c r="AE458" s="88" t="n"/>
      <c r="AF458" s="91" t="n"/>
      <c r="AG458" s="91" t="n"/>
      <c r="AH458" s="88" t="n"/>
      <c r="AI458" s="88" t="n"/>
      <c r="AJ458" s="90" t="n"/>
      <c r="AK458" s="88" t="n"/>
      <c r="AL458" s="91" t="n"/>
      <c r="AM458" s="88" t="n"/>
      <c r="AN458" s="95" t="n"/>
      <c r="AO458" s="90" t="n"/>
      <c r="AP458" s="90" t="n"/>
    </row>
    <row r="459" ht="14.25" customHeight="1" s="84">
      <c r="A459" s="51" t="n"/>
      <c r="B459" s="47" t="n"/>
      <c r="C459" s="51" t="n"/>
      <c r="D459" s="51" t="n"/>
      <c r="E459" s="51" t="n"/>
      <c r="F459" s="51" t="n"/>
      <c r="G459" s="47" t="n"/>
      <c r="H459" s="51" t="n"/>
      <c r="I459" s="51" t="n"/>
      <c r="J459" s="51" t="n"/>
      <c r="K459" s="51" t="n"/>
      <c r="L459" s="51" t="n"/>
      <c r="N459" s="51" t="n"/>
      <c r="Q459" s="51" t="n"/>
      <c r="S459" s="51" t="n"/>
      <c r="T459" s="51" t="n"/>
      <c r="U459" s="51" t="inlineStr"/>
      <c r="V459" s="55" t="n"/>
      <c r="W459" s="51" t="inlineStr"/>
      <c r="X459" s="51" t="inlineStr"/>
      <c r="Y459" s="51" t="n"/>
      <c r="AB459" s="57" t="n"/>
      <c r="AC459" s="90" t="n"/>
      <c r="AD459" s="90" t="n"/>
      <c r="AE459" s="88" t="n"/>
      <c r="AF459" s="91" t="n"/>
      <c r="AG459" s="91" t="n"/>
      <c r="AH459" s="88" t="n"/>
      <c r="AI459" s="88" t="n"/>
      <c r="AJ459" s="90" t="n"/>
      <c r="AK459" s="88" t="n"/>
      <c r="AL459" s="91" t="n"/>
      <c r="AM459" s="88" t="n"/>
      <c r="AN459" s="95" t="n"/>
      <c r="AO459" s="90" t="n"/>
      <c r="AP459" s="90" t="n"/>
    </row>
    <row r="460" ht="14.25" customHeight="1" s="84">
      <c r="A460" s="51" t="n"/>
      <c r="B460" s="47" t="n"/>
      <c r="C460" s="51" t="n"/>
      <c r="D460" s="51" t="n"/>
      <c r="E460" s="51" t="n"/>
      <c r="F460" s="51" t="n"/>
      <c r="G460" s="47" t="n"/>
      <c r="H460" s="51" t="n"/>
      <c r="I460" s="51" t="n"/>
      <c r="J460" s="51" t="n"/>
      <c r="K460" s="51" t="n"/>
      <c r="L460" s="51" t="n"/>
      <c r="N460" s="51" t="n"/>
      <c r="Q460" s="51" t="n"/>
      <c r="S460" s="51" t="n"/>
      <c r="T460" s="51" t="n"/>
      <c r="U460" s="51" t="inlineStr"/>
      <c r="V460" s="55" t="n"/>
      <c r="W460" s="51" t="inlineStr"/>
      <c r="X460" s="51" t="inlineStr"/>
      <c r="Y460" s="51" t="n"/>
      <c r="AB460" s="57" t="n"/>
      <c r="AC460" s="90" t="n"/>
      <c r="AD460" s="90" t="n"/>
      <c r="AE460" s="88" t="n"/>
      <c r="AF460" s="91" t="n"/>
      <c r="AG460" s="91" t="n"/>
      <c r="AH460" s="88" t="n"/>
      <c r="AI460" s="88" t="n"/>
      <c r="AJ460" s="90" t="n"/>
      <c r="AK460" s="88" t="n"/>
      <c r="AL460" s="91" t="n"/>
      <c r="AM460" s="88" t="n"/>
      <c r="AN460" s="95" t="n"/>
      <c r="AO460" s="90" t="n"/>
      <c r="AP460" s="90" t="n"/>
    </row>
    <row r="461" ht="14.25" customHeight="1" s="84">
      <c r="A461" s="51" t="n"/>
      <c r="B461" s="47" t="n"/>
      <c r="C461" s="51" t="n"/>
      <c r="D461" s="51" t="n"/>
      <c r="E461" s="51" t="n"/>
      <c r="F461" s="51" t="n"/>
      <c r="G461" s="47" t="n"/>
      <c r="H461" s="51" t="n"/>
      <c r="I461" s="51" t="n"/>
      <c r="J461" s="51" t="n"/>
      <c r="K461" s="51" t="n"/>
      <c r="L461" s="51" t="n"/>
      <c r="N461" s="51" t="n"/>
      <c r="Q461" s="51" t="n"/>
      <c r="S461" s="51" t="n"/>
      <c r="T461" s="51" t="n"/>
      <c r="U461" s="51" t="inlineStr"/>
      <c r="V461" s="55" t="n"/>
      <c r="W461" s="51" t="inlineStr"/>
      <c r="X461" s="51" t="inlineStr"/>
      <c r="Y461" s="51" t="n"/>
      <c r="AB461" s="57" t="n"/>
      <c r="AC461" s="90" t="n"/>
      <c r="AD461" s="90" t="n"/>
      <c r="AE461" s="88" t="n"/>
      <c r="AF461" s="91" t="n"/>
      <c r="AG461" s="91" t="n"/>
      <c r="AH461" s="88" t="n"/>
      <c r="AI461" s="88" t="n"/>
      <c r="AJ461" s="90" t="n"/>
      <c r="AK461" s="88" t="n"/>
      <c r="AL461" s="91" t="n"/>
      <c r="AM461" s="88" t="n"/>
      <c r="AN461" s="95" t="n"/>
      <c r="AO461" s="90" t="n"/>
      <c r="AP461" s="90" t="n"/>
    </row>
    <row r="462" ht="14.25" customHeight="1" s="84">
      <c r="A462" s="51" t="n"/>
      <c r="B462" s="47" t="n"/>
      <c r="C462" s="51" t="n"/>
      <c r="D462" s="51" t="n"/>
      <c r="E462" s="51" t="n"/>
      <c r="F462" s="51" t="n"/>
      <c r="G462" s="47" t="n"/>
      <c r="H462" s="51" t="n"/>
      <c r="I462" s="51" t="n"/>
      <c r="J462" s="51" t="n"/>
      <c r="K462" s="51" t="n"/>
      <c r="L462" s="51" t="n"/>
      <c r="N462" s="51" t="n"/>
      <c r="Q462" s="51" t="n"/>
      <c r="S462" s="51" t="n"/>
      <c r="T462" s="51" t="n"/>
      <c r="U462" s="51" t="inlineStr"/>
      <c r="V462" s="55" t="n"/>
      <c r="W462" s="51" t="inlineStr"/>
      <c r="X462" s="51" t="inlineStr"/>
      <c r="Y462" s="51" t="n"/>
      <c r="AB462" s="57" t="n"/>
      <c r="AC462" s="90" t="n"/>
      <c r="AD462" s="90" t="n"/>
      <c r="AE462" s="88" t="n"/>
      <c r="AF462" s="91" t="n"/>
      <c r="AG462" s="91" t="n"/>
      <c r="AH462" s="88" t="n"/>
      <c r="AI462" s="88" t="n"/>
      <c r="AJ462" s="90" t="n"/>
      <c r="AK462" s="88" t="n"/>
      <c r="AL462" s="91" t="n"/>
      <c r="AM462" s="88" t="n"/>
      <c r="AN462" s="95" t="n"/>
      <c r="AO462" s="90" t="n"/>
      <c r="AP462" s="90" t="n"/>
    </row>
    <row r="463" ht="14.25" customHeight="1" s="84">
      <c r="A463" s="51" t="n"/>
      <c r="B463" s="47" t="n"/>
      <c r="C463" s="51" t="n"/>
      <c r="D463" s="51" t="n"/>
      <c r="E463" s="51" t="n"/>
      <c r="F463" s="51" t="n"/>
      <c r="G463" s="47" t="n"/>
      <c r="H463" s="51" t="n"/>
      <c r="I463" s="51" t="n"/>
      <c r="J463" s="51" t="n"/>
      <c r="K463" s="51" t="n"/>
      <c r="L463" s="51" t="n"/>
      <c r="N463" s="51" t="n"/>
      <c r="Q463" s="51" t="n"/>
      <c r="S463" s="51" t="n"/>
      <c r="T463" s="51" t="n"/>
      <c r="U463" s="51" t="inlineStr"/>
      <c r="V463" s="55" t="n"/>
      <c r="W463" s="51" t="inlineStr"/>
      <c r="X463" s="51" t="inlineStr"/>
      <c r="Y463" s="51" t="n"/>
      <c r="AB463" s="57" t="n"/>
      <c r="AC463" s="90" t="n"/>
      <c r="AD463" s="90" t="n"/>
      <c r="AE463" s="88" t="n"/>
      <c r="AF463" s="91" t="n"/>
      <c r="AG463" s="91" t="n"/>
      <c r="AH463" s="88" t="n"/>
      <c r="AI463" s="88" t="n"/>
      <c r="AJ463" s="90" t="n"/>
      <c r="AK463" s="88" t="n"/>
      <c r="AL463" s="91" t="n"/>
      <c r="AM463" s="88" t="n"/>
      <c r="AN463" s="95" t="n"/>
      <c r="AO463" s="90" t="n"/>
      <c r="AP463" s="90" t="n"/>
    </row>
    <row r="464" ht="14.25" customHeight="1" s="84">
      <c r="A464" s="51" t="n"/>
      <c r="B464" s="47" t="n"/>
      <c r="C464" s="51" t="n"/>
      <c r="D464" s="51" t="n"/>
      <c r="E464" s="51" t="n"/>
      <c r="F464" s="51" t="n"/>
      <c r="G464" s="47" t="n"/>
      <c r="H464" s="51" t="n"/>
      <c r="I464" s="51" t="n"/>
      <c r="J464" s="51" t="n"/>
      <c r="K464" s="51" t="n"/>
      <c r="L464" s="51" t="n"/>
      <c r="N464" s="51" t="n"/>
      <c r="Q464" s="51" t="n"/>
      <c r="S464" s="51" t="n"/>
      <c r="T464" s="51" t="n"/>
      <c r="U464" s="51" t="inlineStr"/>
      <c r="V464" s="55" t="n"/>
      <c r="W464" s="51" t="inlineStr"/>
      <c r="X464" s="51" t="inlineStr"/>
      <c r="Y464" s="51" t="n"/>
      <c r="AB464" s="57" t="n"/>
      <c r="AC464" s="90" t="n"/>
      <c r="AD464" s="90" t="n"/>
      <c r="AE464" s="88" t="n"/>
      <c r="AF464" s="91" t="n"/>
      <c r="AG464" s="91" t="n"/>
      <c r="AH464" s="88" t="n"/>
      <c r="AI464" s="88" t="n"/>
      <c r="AJ464" s="90" t="n"/>
      <c r="AK464" s="88" t="n"/>
      <c r="AL464" s="91" t="n"/>
      <c r="AM464" s="88" t="n"/>
      <c r="AN464" s="95" t="n"/>
      <c r="AO464" s="90" t="n"/>
      <c r="AP464" s="90" t="n"/>
    </row>
    <row r="465" ht="14.25" customHeight="1" s="84">
      <c r="A465" s="51" t="n"/>
      <c r="B465" s="47" t="n"/>
      <c r="C465" s="51" t="n"/>
      <c r="D465" s="51" t="n"/>
      <c r="E465" s="51" t="n"/>
      <c r="F465" s="51" t="n"/>
      <c r="G465" s="47" t="n"/>
      <c r="H465" s="51" t="n"/>
      <c r="I465" s="51" t="n"/>
      <c r="J465" s="51" t="n"/>
      <c r="K465" s="51" t="n"/>
      <c r="L465" s="51" t="n"/>
      <c r="N465" s="51" t="n"/>
      <c r="Q465" s="51" t="n"/>
      <c r="S465" s="51" t="n"/>
      <c r="T465" s="51" t="n"/>
      <c r="U465" s="51" t="inlineStr"/>
      <c r="V465" s="55" t="n"/>
      <c r="W465" s="51" t="inlineStr"/>
      <c r="X465" s="51" t="inlineStr"/>
      <c r="Y465" s="51" t="n"/>
      <c r="AB465" s="57" t="n"/>
      <c r="AC465" s="90" t="n"/>
      <c r="AD465" s="90" t="n"/>
      <c r="AE465" s="88" t="n"/>
      <c r="AF465" s="91" t="n"/>
      <c r="AG465" s="91" t="n"/>
      <c r="AH465" s="88" t="n"/>
      <c r="AI465" s="88" t="n"/>
      <c r="AJ465" s="90" t="n"/>
      <c r="AK465" s="88" t="n"/>
      <c r="AL465" s="91" t="n"/>
      <c r="AM465" s="88" t="n"/>
      <c r="AN465" s="95" t="n"/>
      <c r="AO465" s="90" t="n"/>
      <c r="AP465" s="90" t="n"/>
    </row>
    <row r="466" ht="14.25" customHeight="1" s="84">
      <c r="A466" s="51" t="n"/>
      <c r="B466" s="47" t="n"/>
      <c r="C466" s="51" t="n"/>
      <c r="D466" s="51" t="n"/>
      <c r="E466" s="51" t="n"/>
      <c r="F466" s="51" t="n"/>
      <c r="G466" s="47" t="n"/>
      <c r="H466" s="51" t="n"/>
      <c r="I466" s="51" t="n"/>
      <c r="J466" s="51" t="n"/>
      <c r="K466" s="51" t="n"/>
      <c r="L466" s="51" t="n"/>
      <c r="N466" s="51" t="n"/>
      <c r="Q466" s="51" t="n"/>
      <c r="S466" s="51" t="n"/>
      <c r="T466" s="51" t="n"/>
      <c r="U466" s="51" t="inlineStr"/>
      <c r="V466" s="55" t="n"/>
      <c r="W466" s="51" t="inlineStr"/>
      <c r="X466" s="51" t="inlineStr"/>
      <c r="Y466" s="51" t="n"/>
      <c r="AB466" s="57" t="n"/>
      <c r="AC466" s="90" t="n"/>
      <c r="AD466" s="90" t="n"/>
      <c r="AE466" s="88" t="n"/>
      <c r="AF466" s="91" t="n"/>
      <c r="AG466" s="91" t="n"/>
      <c r="AH466" s="88" t="n"/>
      <c r="AI466" s="88" t="n"/>
      <c r="AJ466" s="90" t="n"/>
      <c r="AK466" s="88" t="n"/>
      <c r="AL466" s="91" t="n"/>
      <c r="AM466" s="88" t="n"/>
      <c r="AN466" s="95" t="n"/>
      <c r="AO466" s="90" t="n"/>
      <c r="AP466" s="90" t="n"/>
    </row>
    <row r="467" ht="14.25" customHeight="1" s="84">
      <c r="A467" s="51" t="n"/>
      <c r="B467" s="47" t="n"/>
      <c r="C467" s="51" t="n"/>
      <c r="D467" s="51" t="n"/>
      <c r="E467" s="51" t="n"/>
      <c r="F467" s="51" t="n"/>
      <c r="G467" s="47" t="n"/>
      <c r="H467" s="51" t="n"/>
      <c r="I467" s="51" t="n"/>
      <c r="J467" s="51" t="n"/>
      <c r="K467" s="51" t="n"/>
      <c r="L467" s="51" t="n"/>
      <c r="N467" s="51" t="n"/>
      <c r="Q467" s="51" t="n"/>
      <c r="S467" s="51" t="n"/>
      <c r="T467" s="51" t="n"/>
      <c r="U467" s="51" t="inlineStr"/>
      <c r="V467" s="55" t="n"/>
      <c r="W467" s="51" t="inlineStr"/>
      <c r="X467" s="51" t="inlineStr"/>
      <c r="Y467" s="51" t="n"/>
      <c r="AB467" s="57" t="n"/>
      <c r="AC467" s="90" t="n"/>
      <c r="AD467" s="90" t="n"/>
      <c r="AE467" s="88" t="n"/>
      <c r="AF467" s="91" t="n"/>
      <c r="AG467" s="91" t="n"/>
      <c r="AH467" s="88" t="n"/>
      <c r="AI467" s="88" t="n"/>
      <c r="AJ467" s="90" t="n"/>
      <c r="AK467" s="88" t="n"/>
      <c r="AL467" s="91" t="n"/>
      <c r="AM467" s="88" t="n"/>
      <c r="AN467" s="95" t="n"/>
      <c r="AO467" s="90" t="n"/>
      <c r="AP467" s="90" t="n"/>
    </row>
    <row r="468" ht="14.25" customHeight="1" s="84">
      <c r="A468" s="51" t="n"/>
      <c r="B468" s="47" t="n"/>
      <c r="C468" s="51" t="n"/>
      <c r="D468" s="51" t="n"/>
      <c r="E468" s="51" t="n"/>
      <c r="F468" s="51" t="n"/>
      <c r="G468" s="47" t="n"/>
      <c r="H468" s="51" t="n"/>
      <c r="I468" s="51" t="n"/>
      <c r="J468" s="51" t="n"/>
      <c r="K468" s="51" t="n"/>
      <c r="L468" s="51" t="n"/>
      <c r="N468" s="51" t="n"/>
      <c r="Q468" s="51" t="n"/>
      <c r="S468" s="51" t="n"/>
      <c r="T468" s="51" t="n"/>
      <c r="U468" s="51" t="inlineStr"/>
      <c r="V468" s="55" t="n"/>
      <c r="W468" s="51" t="inlineStr"/>
      <c r="X468" s="51" t="inlineStr"/>
      <c r="Y468" s="51" t="n"/>
      <c r="AB468" s="57" t="n"/>
      <c r="AC468" s="90" t="n"/>
      <c r="AD468" s="90" t="n"/>
      <c r="AE468" s="88" t="n"/>
      <c r="AF468" s="91" t="n"/>
      <c r="AG468" s="91" t="n"/>
      <c r="AH468" s="88" t="n"/>
      <c r="AI468" s="88" t="n"/>
      <c r="AJ468" s="90" t="n"/>
      <c r="AK468" s="88" t="n"/>
      <c r="AL468" s="91" t="n"/>
      <c r="AM468" s="88" t="n"/>
      <c r="AN468" s="95" t="n"/>
      <c r="AO468" s="90" t="n"/>
      <c r="AP468" s="90" t="n"/>
    </row>
    <row r="469" ht="14.25" customHeight="1" s="84">
      <c r="A469" s="51" t="n"/>
      <c r="B469" s="47" t="n"/>
      <c r="C469" s="51" t="n"/>
      <c r="D469" s="51" t="n"/>
      <c r="E469" s="51" t="n"/>
      <c r="F469" s="51" t="n"/>
      <c r="G469" s="47" t="n"/>
      <c r="H469" s="51" t="n"/>
      <c r="I469" s="51" t="n"/>
      <c r="J469" s="51" t="n"/>
      <c r="K469" s="51" t="n"/>
      <c r="L469" s="51" t="n"/>
      <c r="N469" s="51" t="n"/>
      <c r="Q469" s="51" t="n"/>
      <c r="S469" s="51" t="n"/>
      <c r="T469" s="51" t="n"/>
      <c r="U469" s="51" t="inlineStr"/>
      <c r="V469" s="55" t="n"/>
      <c r="W469" s="51" t="inlineStr"/>
      <c r="X469" s="51" t="inlineStr"/>
      <c r="Y469" s="51" t="n"/>
      <c r="AB469" s="57" t="n"/>
      <c r="AC469" s="90" t="n"/>
      <c r="AD469" s="90" t="n"/>
      <c r="AE469" s="88" t="n"/>
      <c r="AF469" s="91" t="n"/>
      <c r="AG469" s="91" t="n"/>
      <c r="AH469" s="88" t="n"/>
      <c r="AI469" s="88" t="n"/>
      <c r="AJ469" s="90" t="n"/>
      <c r="AK469" s="88" t="n"/>
      <c r="AL469" s="91" t="n"/>
      <c r="AM469" s="88" t="n"/>
      <c r="AN469" s="95" t="n"/>
      <c r="AO469" s="90" t="n"/>
      <c r="AP469" s="90" t="n"/>
    </row>
    <row r="470" ht="14.25" customHeight="1" s="84">
      <c r="A470" s="51" t="n"/>
      <c r="B470" s="47" t="n"/>
      <c r="C470" s="51" t="n"/>
      <c r="D470" s="51" t="n"/>
      <c r="E470" s="51" t="n"/>
      <c r="F470" s="51" t="n"/>
      <c r="G470" s="47" t="n"/>
      <c r="H470" s="51" t="n"/>
      <c r="I470" s="51" t="n"/>
      <c r="J470" s="51" t="n"/>
      <c r="K470" s="51" t="n"/>
      <c r="L470" s="51" t="n"/>
      <c r="N470" s="51" t="n"/>
      <c r="Q470" s="51" t="n"/>
      <c r="S470" s="51" t="n"/>
      <c r="T470" s="51" t="n"/>
      <c r="U470" s="51" t="inlineStr"/>
      <c r="V470" s="55" t="n"/>
      <c r="W470" s="51" t="inlineStr"/>
      <c r="X470" s="51" t="inlineStr"/>
      <c r="Y470" s="51" t="n"/>
      <c r="AB470" s="57" t="n"/>
      <c r="AC470" s="90" t="n"/>
      <c r="AD470" s="90" t="n"/>
      <c r="AE470" s="88" t="n"/>
      <c r="AF470" s="91" t="n"/>
      <c r="AG470" s="91" t="n"/>
      <c r="AH470" s="88" t="n"/>
      <c r="AI470" s="88" t="n"/>
      <c r="AJ470" s="90" t="n"/>
      <c r="AK470" s="88" t="n"/>
      <c r="AL470" s="91" t="n"/>
      <c r="AM470" s="88" t="n"/>
      <c r="AN470" s="95" t="n"/>
      <c r="AO470" s="90" t="n"/>
      <c r="AP470" s="90" t="n"/>
    </row>
    <row r="471" ht="14.25" customHeight="1" s="84">
      <c r="A471" s="51" t="n"/>
      <c r="B471" s="47" t="n"/>
      <c r="C471" s="51" t="n"/>
      <c r="D471" s="51" t="n"/>
      <c r="E471" s="51" t="n"/>
      <c r="F471" s="51" t="n"/>
      <c r="G471" s="47" t="n"/>
      <c r="H471" s="51" t="n"/>
      <c r="I471" s="51" t="n"/>
      <c r="J471" s="51" t="n"/>
      <c r="K471" s="51" t="n"/>
      <c r="L471" s="51" t="n"/>
      <c r="N471" s="51" t="n"/>
      <c r="Q471" s="51" t="n"/>
      <c r="S471" s="51" t="n"/>
      <c r="T471" s="51" t="n"/>
      <c r="U471" s="51" t="inlineStr"/>
      <c r="V471" s="55" t="n"/>
      <c r="W471" s="51" t="inlineStr"/>
      <c r="X471" s="51" t="inlineStr"/>
      <c r="Y471" s="51" t="n"/>
      <c r="AB471" s="57" t="n"/>
      <c r="AC471" s="90" t="n"/>
      <c r="AD471" s="90" t="n"/>
      <c r="AE471" s="88" t="n"/>
      <c r="AF471" s="91" t="n"/>
      <c r="AG471" s="91" t="n"/>
      <c r="AH471" s="88" t="n"/>
      <c r="AI471" s="88" t="n"/>
      <c r="AJ471" s="90" t="n"/>
      <c r="AK471" s="88" t="n"/>
      <c r="AL471" s="91" t="n"/>
      <c r="AM471" s="88" t="n"/>
      <c r="AN471" s="95" t="n"/>
      <c r="AO471" s="90" t="n"/>
      <c r="AP471" s="90" t="n"/>
    </row>
    <row r="472" ht="14.25" customHeight="1" s="84">
      <c r="A472" s="51" t="n"/>
      <c r="B472" s="47" t="n"/>
      <c r="C472" s="51" t="n"/>
      <c r="D472" s="51" t="n"/>
      <c r="E472" s="51" t="n"/>
      <c r="F472" s="51" t="n"/>
      <c r="G472" s="47" t="n"/>
      <c r="H472" s="51" t="n"/>
      <c r="I472" s="51" t="n"/>
      <c r="J472" s="51" t="n"/>
      <c r="K472" s="51" t="n"/>
      <c r="L472" s="51" t="n"/>
      <c r="N472" s="51" t="n"/>
      <c r="Q472" s="51" t="n"/>
      <c r="S472" s="51" t="n"/>
      <c r="T472" s="51" t="n"/>
      <c r="U472" s="51" t="inlineStr"/>
      <c r="V472" s="55" t="n"/>
      <c r="W472" s="51" t="inlineStr"/>
      <c r="X472" s="51" t="inlineStr"/>
      <c r="Y472" s="51" t="n"/>
      <c r="AB472" s="57" t="n"/>
      <c r="AC472" s="90" t="n"/>
      <c r="AD472" s="90" t="n"/>
      <c r="AE472" s="88" t="n"/>
      <c r="AF472" s="91" t="n"/>
      <c r="AG472" s="91" t="n"/>
      <c r="AH472" s="88" t="n"/>
      <c r="AI472" s="88" t="n"/>
      <c r="AJ472" s="90" t="n"/>
      <c r="AK472" s="88" t="n"/>
      <c r="AL472" s="91" t="n"/>
      <c r="AM472" s="88" t="n"/>
      <c r="AN472" s="95" t="n"/>
      <c r="AO472" s="90" t="n"/>
      <c r="AP472" s="90" t="n"/>
    </row>
    <row r="473" ht="14.25" customHeight="1" s="84">
      <c r="A473" s="51" t="n"/>
      <c r="B473" s="47" t="n"/>
      <c r="C473" s="51" t="n"/>
      <c r="D473" s="51" t="n"/>
      <c r="E473" s="51" t="n"/>
      <c r="F473" s="51" t="n"/>
      <c r="G473" s="47" t="n"/>
      <c r="H473" s="51" t="n"/>
      <c r="I473" s="51" t="n"/>
      <c r="J473" s="51" t="n"/>
      <c r="K473" s="51" t="n"/>
      <c r="L473" s="51" t="n"/>
      <c r="N473" s="51" t="n"/>
      <c r="Q473" s="51" t="n"/>
      <c r="S473" s="51" t="n"/>
      <c r="T473" s="51" t="n"/>
      <c r="U473" s="51" t="inlineStr"/>
      <c r="V473" s="55" t="n"/>
      <c r="W473" s="51" t="inlineStr"/>
      <c r="X473" s="51" t="inlineStr"/>
      <c r="Y473" s="51" t="n"/>
      <c r="AB473" s="57" t="n"/>
      <c r="AC473" s="90" t="n"/>
      <c r="AD473" s="90" t="n"/>
      <c r="AE473" s="88" t="n"/>
      <c r="AF473" s="91" t="n"/>
      <c r="AG473" s="91" t="n"/>
      <c r="AH473" s="88" t="n"/>
      <c r="AI473" s="88" t="n"/>
      <c r="AJ473" s="90" t="n"/>
      <c r="AK473" s="88" t="n"/>
      <c r="AL473" s="91" t="n"/>
      <c r="AM473" s="88" t="n"/>
      <c r="AN473" s="95" t="n"/>
      <c r="AO473" s="90" t="n"/>
      <c r="AP473" s="90" t="n"/>
    </row>
    <row r="474" ht="14.25" customHeight="1" s="84">
      <c r="A474" s="51" t="n"/>
      <c r="B474" s="47" t="n"/>
      <c r="C474" s="51" t="n"/>
      <c r="D474" s="51" t="n"/>
      <c r="E474" s="51" t="n"/>
      <c r="F474" s="51" t="n"/>
      <c r="G474" s="47" t="n"/>
      <c r="H474" s="51" t="n"/>
      <c r="I474" s="51" t="n"/>
      <c r="J474" s="51" t="n"/>
      <c r="K474" s="51" t="n"/>
      <c r="L474" s="51" t="n"/>
      <c r="N474" s="51" t="n"/>
      <c r="Q474" s="51" t="n"/>
      <c r="S474" s="51" t="n"/>
      <c r="T474" s="51" t="n"/>
      <c r="U474" s="51" t="inlineStr"/>
      <c r="V474" s="55" t="n"/>
      <c r="W474" s="51" t="inlineStr"/>
      <c r="X474" s="51" t="inlineStr"/>
      <c r="Y474" s="51" t="n"/>
      <c r="AB474" s="57" t="n"/>
      <c r="AC474" s="90" t="n"/>
      <c r="AD474" s="90" t="n"/>
      <c r="AE474" s="88" t="n"/>
      <c r="AF474" s="91" t="n"/>
      <c r="AG474" s="91" t="n"/>
      <c r="AH474" s="88" t="n"/>
      <c r="AI474" s="88" t="n"/>
      <c r="AJ474" s="90" t="n"/>
      <c r="AK474" s="88" t="n"/>
      <c r="AL474" s="91" t="n"/>
      <c r="AM474" s="88" t="n"/>
      <c r="AN474" s="95" t="n"/>
      <c r="AO474" s="90" t="n"/>
      <c r="AP474" s="90" t="n"/>
    </row>
    <row r="475" ht="14.25" customHeight="1" s="84">
      <c r="A475" s="51" t="n"/>
      <c r="B475" s="47" t="n"/>
      <c r="C475" s="51" t="n"/>
      <c r="D475" s="51" t="n"/>
      <c r="E475" s="51" t="n"/>
      <c r="F475" s="51" t="n"/>
      <c r="G475" s="47" t="n"/>
      <c r="H475" s="51" t="n"/>
      <c r="I475" s="51" t="n"/>
      <c r="J475" s="51" t="n"/>
      <c r="K475" s="51" t="n"/>
      <c r="L475" s="51" t="n"/>
      <c r="N475" s="51" t="n"/>
      <c r="Q475" s="51" t="n"/>
      <c r="S475" s="51" t="n"/>
      <c r="T475" s="51" t="n"/>
      <c r="U475" s="51" t="inlineStr"/>
      <c r="V475" s="55" t="n"/>
      <c r="W475" s="51" t="inlineStr"/>
      <c r="X475" s="51" t="inlineStr"/>
      <c r="Y475" s="51" t="n"/>
      <c r="AB475" s="57" t="n"/>
      <c r="AC475" s="90" t="n"/>
      <c r="AD475" s="90" t="n"/>
      <c r="AE475" s="88" t="n"/>
      <c r="AF475" s="91" t="n"/>
      <c r="AG475" s="91" t="n"/>
      <c r="AH475" s="88" t="n"/>
      <c r="AI475" s="88" t="n"/>
      <c r="AJ475" s="90" t="n"/>
      <c r="AK475" s="88" t="n"/>
      <c r="AL475" s="91" t="n"/>
      <c r="AM475" s="88" t="n"/>
      <c r="AN475" s="95" t="n"/>
      <c r="AO475" s="90" t="n"/>
      <c r="AP475" s="90" t="n"/>
    </row>
    <row r="476" ht="14.25" customHeight="1" s="84">
      <c r="A476" s="51" t="n"/>
      <c r="B476" s="47" t="n"/>
      <c r="C476" s="51" t="n"/>
      <c r="D476" s="51" t="n"/>
      <c r="E476" s="51" t="n"/>
      <c r="F476" s="51" t="n"/>
      <c r="G476" s="47" t="n"/>
      <c r="H476" s="51" t="n"/>
      <c r="I476" s="51" t="n"/>
      <c r="J476" s="51" t="n"/>
      <c r="K476" s="51" t="n"/>
      <c r="L476" s="51" t="n"/>
      <c r="N476" s="51" t="n"/>
      <c r="Q476" s="51" t="n"/>
      <c r="S476" s="51" t="n"/>
      <c r="T476" s="51" t="n"/>
      <c r="U476" s="51" t="inlineStr"/>
      <c r="V476" s="55" t="n"/>
      <c r="W476" s="51" t="inlineStr"/>
      <c r="X476" s="51" t="inlineStr"/>
      <c r="Y476" s="51" t="n"/>
      <c r="AB476" s="57" t="n"/>
      <c r="AC476" s="90" t="n"/>
      <c r="AD476" s="90" t="n"/>
      <c r="AE476" s="88" t="n"/>
      <c r="AF476" s="91" t="n"/>
      <c r="AG476" s="91" t="n"/>
      <c r="AH476" s="88" t="n"/>
      <c r="AI476" s="88" t="n"/>
      <c r="AJ476" s="90" t="n"/>
      <c r="AK476" s="88" t="n"/>
      <c r="AL476" s="91" t="n"/>
      <c r="AM476" s="88" t="n"/>
      <c r="AN476" s="95" t="n"/>
      <c r="AO476" s="90" t="n"/>
      <c r="AP476" s="90" t="n"/>
    </row>
    <row r="477" ht="14.25" customHeight="1" s="84">
      <c r="A477" s="51" t="n"/>
      <c r="B477" s="47" t="n"/>
      <c r="C477" s="51" t="n"/>
      <c r="D477" s="51" t="n"/>
      <c r="E477" s="51" t="n"/>
      <c r="F477" s="51" t="n"/>
      <c r="G477" s="47" t="n"/>
      <c r="H477" s="51" t="n"/>
      <c r="I477" s="51" t="n"/>
      <c r="J477" s="51" t="n"/>
      <c r="K477" s="51" t="n"/>
      <c r="L477" s="51" t="n"/>
      <c r="N477" s="51" t="n"/>
      <c r="Q477" s="51" t="n"/>
      <c r="S477" s="51" t="n"/>
      <c r="T477" s="51" t="n"/>
      <c r="U477" s="51" t="inlineStr"/>
      <c r="V477" s="55" t="n"/>
      <c r="W477" s="51" t="inlineStr"/>
      <c r="X477" s="51" t="inlineStr"/>
      <c r="Y477" s="51" t="n"/>
      <c r="AB477" s="57" t="n"/>
      <c r="AC477" s="90" t="n"/>
      <c r="AD477" s="90" t="n"/>
      <c r="AE477" s="88" t="n"/>
      <c r="AF477" s="91" t="n"/>
      <c r="AG477" s="91" t="n"/>
      <c r="AH477" s="88" t="n"/>
      <c r="AI477" s="88" t="n"/>
      <c r="AJ477" s="90" t="n"/>
      <c r="AK477" s="88" t="n"/>
      <c r="AL477" s="91" t="n"/>
      <c r="AM477" s="88" t="n"/>
      <c r="AN477" s="95" t="n"/>
      <c r="AO477" s="90" t="n"/>
      <c r="AP477" s="90" t="n"/>
    </row>
    <row r="478" ht="14.25" customHeight="1" s="84">
      <c r="A478" s="51" t="n"/>
      <c r="B478" s="47" t="n"/>
      <c r="C478" s="51" t="n"/>
      <c r="D478" s="51" t="n"/>
      <c r="E478" s="51" t="n"/>
      <c r="F478" s="51" t="n"/>
      <c r="G478" s="47" t="n"/>
      <c r="H478" s="51" t="n"/>
      <c r="I478" s="51" t="n"/>
      <c r="J478" s="51" t="n"/>
      <c r="K478" s="51" t="n"/>
      <c r="L478" s="51" t="n"/>
      <c r="N478" s="51" t="n"/>
      <c r="Q478" s="51" t="n"/>
      <c r="S478" s="51" t="n"/>
      <c r="T478" s="51" t="n"/>
      <c r="U478" s="51" t="inlineStr"/>
      <c r="V478" s="55" t="n"/>
      <c r="W478" s="51" t="inlineStr"/>
      <c r="X478" s="51" t="inlineStr"/>
      <c r="Y478" s="51" t="n"/>
      <c r="AB478" s="57" t="n"/>
      <c r="AC478" s="90" t="n"/>
      <c r="AD478" s="90" t="n"/>
      <c r="AE478" s="88" t="n"/>
      <c r="AF478" s="91" t="n"/>
      <c r="AG478" s="91" t="n"/>
      <c r="AH478" s="88" t="n"/>
      <c r="AI478" s="88" t="n"/>
      <c r="AJ478" s="90" t="n"/>
      <c r="AK478" s="88" t="n"/>
      <c r="AL478" s="91" t="n"/>
      <c r="AM478" s="88" t="n"/>
      <c r="AN478" s="95" t="n"/>
      <c r="AO478" s="90" t="n"/>
      <c r="AP478" s="90" t="n"/>
    </row>
    <row r="479" ht="14.25" customHeight="1" s="84">
      <c r="A479" s="51" t="n"/>
      <c r="B479" s="47" t="n"/>
      <c r="C479" s="51" t="n"/>
      <c r="D479" s="51" t="n"/>
      <c r="E479" s="51" t="n"/>
      <c r="F479" s="51" t="n"/>
      <c r="G479" s="47" t="n"/>
      <c r="H479" s="51" t="n"/>
      <c r="I479" s="51" t="n"/>
      <c r="J479" s="51" t="n"/>
      <c r="K479" s="51" t="n"/>
      <c r="L479" s="51" t="n"/>
      <c r="N479" s="51" t="n"/>
      <c r="Q479" s="51" t="n"/>
      <c r="S479" s="51" t="n"/>
      <c r="T479" s="51" t="n"/>
      <c r="U479" s="51" t="inlineStr"/>
      <c r="V479" s="55" t="n"/>
      <c r="W479" s="51" t="inlineStr"/>
      <c r="X479" s="51" t="inlineStr"/>
      <c r="Y479" s="51" t="n"/>
      <c r="AB479" s="57" t="n"/>
      <c r="AC479" s="90" t="n"/>
      <c r="AD479" s="90" t="n"/>
      <c r="AE479" s="88" t="n"/>
      <c r="AF479" s="91" t="n"/>
      <c r="AG479" s="91" t="n"/>
      <c r="AH479" s="88" t="n"/>
      <c r="AI479" s="88" t="n"/>
      <c r="AJ479" s="90" t="n"/>
      <c r="AK479" s="88" t="n"/>
      <c r="AL479" s="91" t="n"/>
      <c r="AM479" s="88" t="n"/>
      <c r="AN479" s="95" t="n"/>
      <c r="AO479" s="90" t="n"/>
      <c r="AP479" s="90" t="n"/>
    </row>
    <row r="480" ht="14.25" customHeight="1" s="84">
      <c r="A480" s="51" t="n"/>
      <c r="B480" s="47" t="n"/>
      <c r="C480" s="51" t="n"/>
      <c r="D480" s="51" t="n"/>
      <c r="E480" s="51" t="n"/>
      <c r="F480" s="51" t="n"/>
      <c r="G480" s="47" t="n"/>
      <c r="H480" s="51" t="n"/>
      <c r="I480" s="51" t="n"/>
      <c r="J480" s="51" t="n"/>
      <c r="K480" s="51" t="n"/>
      <c r="L480" s="51" t="n"/>
      <c r="N480" s="51" t="n"/>
      <c r="Q480" s="51" t="n"/>
      <c r="S480" s="51" t="n"/>
      <c r="T480" s="51" t="n"/>
      <c r="U480" s="51" t="inlineStr"/>
      <c r="V480" s="55" t="n"/>
      <c r="W480" s="51" t="inlineStr"/>
      <c r="X480" s="51" t="inlineStr"/>
      <c r="Y480" s="51" t="n"/>
      <c r="AB480" s="57" t="n"/>
      <c r="AC480" s="90" t="n"/>
      <c r="AD480" s="90" t="n"/>
      <c r="AE480" s="88" t="n"/>
      <c r="AF480" s="91" t="n"/>
      <c r="AG480" s="91" t="n"/>
      <c r="AH480" s="88" t="n"/>
      <c r="AI480" s="88" t="n"/>
      <c r="AJ480" s="90" t="n"/>
      <c r="AK480" s="88" t="n"/>
      <c r="AL480" s="91" t="n"/>
      <c r="AM480" s="88" t="n"/>
      <c r="AN480" s="95" t="n"/>
      <c r="AO480" s="90" t="n"/>
      <c r="AP480" s="90" t="n"/>
    </row>
    <row r="481" ht="14.25" customHeight="1" s="84">
      <c r="A481" s="51" t="n"/>
      <c r="B481" s="47" t="n"/>
      <c r="C481" s="51" t="n"/>
      <c r="D481" s="51" t="n"/>
      <c r="E481" s="51" t="n"/>
      <c r="F481" s="51" t="n"/>
      <c r="G481" s="47" t="n"/>
      <c r="H481" s="51" t="n"/>
      <c r="I481" s="51" t="n"/>
      <c r="J481" s="51" t="n"/>
      <c r="K481" s="51" t="n"/>
      <c r="L481" s="51" t="n"/>
      <c r="N481" s="51" t="n"/>
      <c r="Q481" s="51" t="n"/>
      <c r="S481" s="51" t="n"/>
      <c r="T481" s="51" t="n"/>
      <c r="U481" s="51" t="inlineStr"/>
      <c r="V481" s="55" t="n"/>
      <c r="W481" s="51" t="inlineStr"/>
      <c r="X481" s="51" t="inlineStr"/>
      <c r="Y481" s="51" t="n"/>
      <c r="AB481" s="57" t="n"/>
      <c r="AC481" s="90" t="n"/>
      <c r="AD481" s="90" t="n"/>
      <c r="AE481" s="88" t="n"/>
      <c r="AF481" s="91" t="n"/>
      <c r="AG481" s="91" t="n"/>
      <c r="AH481" s="88" t="n"/>
      <c r="AI481" s="88" t="n"/>
      <c r="AJ481" s="90" t="n"/>
      <c r="AK481" s="88" t="n"/>
      <c r="AL481" s="91" t="n"/>
      <c r="AM481" s="88" t="n"/>
      <c r="AN481" s="95" t="n"/>
      <c r="AO481" s="90" t="n"/>
      <c r="AP481" s="90" t="n"/>
    </row>
    <row r="482" ht="14.25" customHeight="1" s="84">
      <c r="A482" s="51" t="n"/>
      <c r="B482" s="47" t="n"/>
      <c r="C482" s="51" t="n"/>
      <c r="D482" s="51" t="n"/>
      <c r="E482" s="51" t="n"/>
      <c r="F482" s="51" t="n"/>
      <c r="G482" s="47" t="n"/>
      <c r="H482" s="51" t="n"/>
      <c r="I482" s="51" t="n"/>
      <c r="J482" s="51" t="n"/>
      <c r="K482" s="51" t="n"/>
      <c r="L482" s="51" t="n"/>
      <c r="N482" s="51" t="n"/>
      <c r="Q482" s="51" t="n"/>
      <c r="S482" s="51" t="n"/>
      <c r="T482" s="51" t="n"/>
      <c r="U482" s="51" t="inlineStr"/>
      <c r="V482" s="55" t="n"/>
      <c r="W482" s="51" t="inlineStr"/>
      <c r="X482" s="51" t="inlineStr"/>
      <c r="Y482" s="51" t="n"/>
      <c r="AB482" s="57" t="n"/>
      <c r="AC482" s="90" t="n"/>
      <c r="AD482" s="90" t="n"/>
      <c r="AE482" s="88" t="n"/>
      <c r="AF482" s="91" t="n"/>
      <c r="AG482" s="91" t="n"/>
      <c r="AH482" s="88" t="n"/>
      <c r="AI482" s="88" t="n"/>
      <c r="AJ482" s="90" t="n"/>
      <c r="AK482" s="88" t="n"/>
      <c r="AL482" s="91" t="n"/>
      <c r="AM482" s="88" t="n"/>
      <c r="AN482" s="95" t="n"/>
      <c r="AO482" s="90" t="n"/>
      <c r="AP482" s="90" t="n"/>
    </row>
    <row r="483" ht="14.25" customHeight="1" s="84">
      <c r="A483" s="51" t="n"/>
      <c r="B483" s="47" t="n"/>
      <c r="C483" s="51" t="n"/>
      <c r="D483" s="51" t="n"/>
      <c r="E483" s="51" t="n"/>
      <c r="F483" s="51" t="n"/>
      <c r="G483" s="47" t="n"/>
      <c r="H483" s="51" t="n"/>
      <c r="I483" s="51" t="n"/>
      <c r="J483" s="51" t="n"/>
      <c r="K483" s="51" t="n"/>
      <c r="L483" s="51" t="n"/>
      <c r="N483" s="51" t="n"/>
      <c r="Q483" s="51" t="n"/>
      <c r="S483" s="51" t="n"/>
      <c r="T483" s="51" t="n"/>
      <c r="U483" s="51" t="inlineStr"/>
      <c r="V483" s="55" t="n"/>
      <c r="W483" s="51" t="inlineStr"/>
      <c r="X483" s="51" t="inlineStr"/>
      <c r="Y483" s="51" t="n"/>
      <c r="AB483" s="57" t="n"/>
      <c r="AC483" s="90" t="n"/>
      <c r="AD483" s="90" t="n"/>
      <c r="AE483" s="88" t="n"/>
      <c r="AF483" s="91" t="n"/>
      <c r="AG483" s="91" t="n"/>
      <c r="AH483" s="88" t="n"/>
      <c r="AI483" s="88" t="n"/>
      <c r="AJ483" s="90" t="n"/>
      <c r="AK483" s="88" t="n"/>
      <c r="AL483" s="91" t="n"/>
      <c r="AM483" s="88" t="n"/>
      <c r="AN483" s="95" t="n"/>
      <c r="AO483" s="90" t="n"/>
      <c r="AP483" s="90" t="n"/>
    </row>
    <row r="484" ht="14.25" customHeight="1" s="84">
      <c r="A484" s="51" t="n"/>
      <c r="B484" s="47" t="n"/>
      <c r="C484" s="51" t="n"/>
      <c r="D484" s="51" t="n"/>
      <c r="E484" s="51" t="n"/>
      <c r="F484" s="51" t="n"/>
      <c r="G484" s="47" t="n"/>
      <c r="H484" s="51" t="n"/>
      <c r="I484" s="51" t="n"/>
      <c r="J484" s="51" t="n"/>
      <c r="K484" s="51" t="n"/>
      <c r="L484" s="51" t="n"/>
      <c r="N484" s="51" t="n"/>
      <c r="Q484" s="51" t="n"/>
      <c r="S484" s="51" t="n"/>
      <c r="T484" s="51" t="n"/>
      <c r="U484" s="51" t="inlineStr"/>
      <c r="V484" s="55" t="n"/>
      <c r="W484" s="51" t="inlineStr"/>
      <c r="X484" s="51" t="inlineStr"/>
      <c r="Y484" s="51" t="n"/>
      <c r="AB484" s="57" t="n"/>
      <c r="AC484" s="90" t="n"/>
      <c r="AD484" s="90" t="n"/>
      <c r="AE484" s="88" t="n"/>
      <c r="AF484" s="91" t="n"/>
      <c r="AG484" s="91" t="n"/>
      <c r="AH484" s="88" t="n"/>
      <c r="AI484" s="88" t="n"/>
      <c r="AJ484" s="90" t="n"/>
      <c r="AK484" s="88" t="n"/>
      <c r="AL484" s="91" t="n"/>
      <c r="AM484" s="88" t="n"/>
      <c r="AN484" s="95" t="n"/>
      <c r="AO484" s="90" t="n"/>
      <c r="AP484" s="90" t="n"/>
    </row>
    <row r="485" ht="14.25" customHeight="1" s="84">
      <c r="A485" s="51" t="n"/>
      <c r="B485" s="47" t="n"/>
      <c r="C485" s="51" t="n"/>
      <c r="D485" s="51" t="n"/>
      <c r="E485" s="51" t="n"/>
      <c r="F485" s="51" t="n"/>
      <c r="G485" s="47" t="n"/>
      <c r="H485" s="51" t="n"/>
      <c r="I485" s="51" t="n"/>
      <c r="J485" s="51" t="n"/>
      <c r="K485" s="51" t="n"/>
      <c r="L485" s="51" t="n"/>
      <c r="N485" s="51" t="n"/>
      <c r="Q485" s="51" t="n"/>
      <c r="S485" s="51" t="n"/>
      <c r="T485" s="51" t="n"/>
      <c r="U485" s="51" t="inlineStr"/>
      <c r="V485" s="55" t="n"/>
      <c r="W485" s="51" t="inlineStr"/>
      <c r="X485" s="51" t="inlineStr"/>
      <c r="Y485" s="51" t="n"/>
      <c r="AB485" s="57" t="n"/>
      <c r="AC485" s="90" t="n"/>
      <c r="AD485" s="90" t="n"/>
      <c r="AE485" s="88" t="n"/>
      <c r="AF485" s="91" t="n"/>
      <c r="AG485" s="91" t="n"/>
      <c r="AH485" s="88" t="n"/>
      <c r="AI485" s="88" t="n"/>
      <c r="AJ485" s="90" t="n"/>
      <c r="AK485" s="88" t="n"/>
      <c r="AL485" s="91" t="n"/>
      <c r="AM485" s="88" t="n"/>
      <c r="AN485" s="95" t="n"/>
      <c r="AO485" s="90" t="n"/>
      <c r="AP485" s="90" t="n"/>
    </row>
    <row r="486" ht="14.25" customHeight="1" s="84">
      <c r="A486" s="51" t="n"/>
      <c r="B486" s="47" t="n"/>
      <c r="C486" s="51" t="n"/>
      <c r="D486" s="51" t="n"/>
      <c r="E486" s="51" t="n"/>
      <c r="F486" s="51" t="n"/>
      <c r="G486" s="47" t="n"/>
      <c r="H486" s="51" t="n"/>
      <c r="I486" s="51" t="n"/>
      <c r="J486" s="51" t="n"/>
      <c r="K486" s="51" t="n"/>
      <c r="L486" s="51" t="n"/>
      <c r="N486" s="51" t="n"/>
      <c r="Q486" s="51" t="n"/>
      <c r="S486" s="51" t="n"/>
      <c r="T486" s="51" t="n"/>
      <c r="U486" s="51" t="inlineStr"/>
      <c r="V486" s="55" t="n"/>
      <c r="W486" s="51" t="inlineStr"/>
      <c r="X486" s="51" t="inlineStr"/>
      <c r="Y486" s="51" t="n"/>
      <c r="AB486" s="57" t="n"/>
      <c r="AC486" s="90" t="n"/>
      <c r="AD486" s="90" t="n"/>
      <c r="AE486" s="88" t="n"/>
      <c r="AF486" s="91" t="n"/>
      <c r="AG486" s="91" t="n"/>
      <c r="AH486" s="88" t="n"/>
      <c r="AI486" s="88" t="n"/>
      <c r="AJ486" s="90" t="n"/>
      <c r="AK486" s="88" t="n"/>
      <c r="AL486" s="91" t="n"/>
      <c r="AM486" s="88" t="n"/>
      <c r="AN486" s="95" t="n"/>
      <c r="AO486" s="90" t="n"/>
      <c r="AP486" s="90" t="n"/>
    </row>
    <row r="487" ht="14.25" customHeight="1" s="84">
      <c r="A487" s="51" t="n"/>
      <c r="B487" s="47" t="n"/>
      <c r="C487" s="51" t="n"/>
      <c r="D487" s="51" t="n"/>
      <c r="E487" s="51" t="n"/>
      <c r="F487" s="51" t="n"/>
      <c r="G487" s="47" t="n"/>
      <c r="H487" s="51" t="n"/>
      <c r="I487" s="51" t="n"/>
      <c r="J487" s="51" t="n"/>
      <c r="K487" s="51" t="n"/>
      <c r="L487" s="51" t="n"/>
      <c r="N487" s="51" t="n"/>
      <c r="Q487" s="51" t="n"/>
      <c r="S487" s="51" t="n"/>
      <c r="T487" s="51" t="n"/>
      <c r="U487" s="51" t="inlineStr"/>
      <c r="V487" s="55" t="n"/>
      <c r="W487" s="51" t="inlineStr"/>
      <c r="X487" s="51" t="inlineStr"/>
      <c r="Y487" s="51" t="n"/>
      <c r="AB487" s="57" t="n"/>
      <c r="AC487" s="90" t="n"/>
      <c r="AD487" s="90" t="n"/>
      <c r="AE487" s="88" t="n"/>
      <c r="AF487" s="91" t="n"/>
      <c r="AG487" s="91" t="n"/>
      <c r="AH487" s="88" t="n"/>
      <c r="AI487" s="88" t="n"/>
      <c r="AJ487" s="90" t="n"/>
      <c r="AK487" s="88" t="n"/>
      <c r="AL487" s="91" t="n"/>
      <c r="AM487" s="88" t="n"/>
      <c r="AN487" s="95" t="n"/>
      <c r="AO487" s="90" t="n"/>
      <c r="AP487" s="90" t="n"/>
    </row>
    <row r="488" ht="14.25" customHeight="1" s="84">
      <c r="A488" s="51" t="n"/>
      <c r="B488" s="47" t="n"/>
      <c r="C488" s="51" t="n"/>
      <c r="D488" s="51" t="n"/>
      <c r="E488" s="51" t="n"/>
      <c r="F488" s="51" t="n"/>
      <c r="G488" s="47" t="n"/>
      <c r="H488" s="51" t="n"/>
      <c r="I488" s="51" t="n"/>
      <c r="J488" s="51" t="n"/>
      <c r="K488" s="51" t="n"/>
      <c r="L488" s="51" t="n"/>
      <c r="N488" s="51" t="n"/>
      <c r="Q488" s="51" t="n"/>
      <c r="S488" s="51" t="n"/>
      <c r="T488" s="51" t="n"/>
      <c r="U488" s="51" t="inlineStr"/>
      <c r="V488" s="55" t="n"/>
      <c r="W488" s="51" t="inlineStr"/>
      <c r="X488" s="51" t="inlineStr"/>
      <c r="Y488" s="51" t="n"/>
      <c r="AB488" s="57" t="n"/>
      <c r="AC488" s="90" t="n"/>
      <c r="AD488" s="90" t="n"/>
      <c r="AE488" s="88" t="n"/>
      <c r="AF488" s="91" t="n"/>
      <c r="AG488" s="91" t="n"/>
      <c r="AH488" s="88" t="n"/>
      <c r="AI488" s="88" t="n"/>
      <c r="AJ488" s="90" t="n"/>
      <c r="AK488" s="88" t="n"/>
      <c r="AL488" s="91" t="n"/>
      <c r="AM488" s="88" t="n"/>
      <c r="AN488" s="95" t="n"/>
      <c r="AO488" s="90" t="n"/>
      <c r="AP488" s="90" t="n"/>
    </row>
    <row r="489" ht="14.25" customHeight="1" s="84">
      <c r="A489" s="51" t="n"/>
      <c r="B489" s="47" t="n"/>
      <c r="C489" s="51" t="n"/>
      <c r="D489" s="51" t="n"/>
      <c r="E489" s="51" t="n"/>
      <c r="F489" s="51" t="n"/>
      <c r="G489" s="47" t="n"/>
      <c r="H489" s="51" t="n"/>
      <c r="I489" s="51" t="n"/>
      <c r="J489" s="51" t="n"/>
      <c r="K489" s="51" t="n"/>
      <c r="L489" s="51" t="n"/>
      <c r="N489" s="51" t="n"/>
      <c r="Q489" s="51" t="n"/>
      <c r="S489" s="51" t="n"/>
      <c r="T489" s="51" t="n"/>
      <c r="U489" s="51" t="inlineStr"/>
      <c r="V489" s="55" t="n"/>
      <c r="W489" s="51" t="inlineStr"/>
      <c r="X489" s="51" t="inlineStr"/>
      <c r="Y489" s="51" t="n"/>
      <c r="AB489" s="57" t="n"/>
      <c r="AC489" s="90" t="n"/>
      <c r="AD489" s="90" t="n"/>
      <c r="AE489" s="88" t="n"/>
      <c r="AF489" s="91" t="n"/>
      <c r="AG489" s="91" t="n"/>
      <c r="AH489" s="88" t="n"/>
      <c r="AI489" s="88" t="n"/>
      <c r="AJ489" s="90" t="n"/>
      <c r="AK489" s="88" t="n"/>
      <c r="AL489" s="91" t="n"/>
      <c r="AM489" s="88" t="n"/>
      <c r="AN489" s="95" t="n"/>
      <c r="AO489" s="90" t="n"/>
      <c r="AP489" s="90" t="n"/>
    </row>
    <row r="490" ht="14.25" customHeight="1" s="84">
      <c r="A490" s="51" t="n"/>
      <c r="B490" s="47" t="n"/>
      <c r="C490" s="51" t="n"/>
      <c r="D490" s="51" t="n"/>
      <c r="E490" s="51" t="n"/>
      <c r="F490" s="51" t="n"/>
      <c r="G490" s="47" t="n"/>
      <c r="H490" s="51" t="n"/>
      <c r="I490" s="51" t="n"/>
      <c r="J490" s="51" t="n"/>
      <c r="K490" s="51" t="n"/>
      <c r="L490" s="51" t="n"/>
      <c r="N490" s="51" t="n"/>
      <c r="Q490" s="51" t="n"/>
      <c r="S490" s="51" t="n"/>
      <c r="T490" s="51" t="n"/>
      <c r="U490" s="51" t="inlineStr"/>
      <c r="V490" s="55" t="n"/>
      <c r="W490" s="51" t="inlineStr"/>
      <c r="X490" s="51" t="inlineStr"/>
      <c r="Y490" s="51" t="n"/>
      <c r="AB490" s="57" t="n"/>
      <c r="AC490" s="90" t="n"/>
      <c r="AD490" s="90" t="n"/>
      <c r="AE490" s="88" t="n"/>
      <c r="AF490" s="91" t="n"/>
      <c r="AG490" s="91" t="n"/>
      <c r="AH490" s="88" t="n"/>
      <c r="AI490" s="88" t="n"/>
      <c r="AJ490" s="90" t="n"/>
      <c r="AK490" s="88" t="n"/>
      <c r="AL490" s="91" t="n"/>
      <c r="AM490" s="88" t="n"/>
      <c r="AN490" s="95" t="n"/>
      <c r="AO490" s="90" t="n"/>
      <c r="AP490" s="90" t="n"/>
    </row>
    <row r="491" ht="14.25" customHeight="1" s="84">
      <c r="A491" s="51" t="n"/>
      <c r="B491" s="47" t="n"/>
      <c r="C491" s="51" t="n"/>
      <c r="D491" s="51" t="n"/>
      <c r="E491" s="51" t="n"/>
      <c r="F491" s="51" t="n"/>
      <c r="G491" s="47" t="n"/>
      <c r="H491" s="51" t="n"/>
      <c r="I491" s="51" t="n"/>
      <c r="J491" s="51" t="n"/>
      <c r="K491" s="51" t="n"/>
      <c r="L491" s="51" t="n"/>
      <c r="N491" s="51" t="n"/>
      <c r="Q491" s="51" t="n"/>
      <c r="S491" s="51" t="n"/>
      <c r="T491" s="51" t="n"/>
      <c r="U491" s="51" t="inlineStr"/>
      <c r="V491" s="55" t="n"/>
      <c r="W491" s="51" t="inlineStr"/>
      <c r="X491" s="51" t="inlineStr"/>
      <c r="Y491" s="51" t="n"/>
      <c r="AB491" s="57" t="n"/>
      <c r="AC491" s="90" t="n"/>
      <c r="AD491" s="90" t="n"/>
      <c r="AE491" s="88" t="n"/>
      <c r="AF491" s="91" t="n"/>
      <c r="AG491" s="91" t="n"/>
      <c r="AH491" s="88" t="n"/>
      <c r="AI491" s="88" t="n"/>
      <c r="AJ491" s="90" t="n"/>
      <c r="AK491" s="88" t="n"/>
      <c r="AL491" s="91" t="n"/>
      <c r="AM491" s="88" t="n"/>
      <c r="AN491" s="95" t="n"/>
      <c r="AO491" s="90" t="n"/>
      <c r="AP491" s="90" t="n"/>
    </row>
    <row r="492" ht="14.25" customHeight="1" s="84">
      <c r="A492" s="51" t="n"/>
      <c r="B492" s="47" t="n"/>
      <c r="C492" s="51" t="n"/>
      <c r="D492" s="51" t="n"/>
      <c r="E492" s="51" t="n"/>
      <c r="F492" s="51" t="n"/>
      <c r="G492" s="47" t="n"/>
      <c r="H492" s="51" t="n"/>
      <c r="I492" s="51" t="n"/>
      <c r="J492" s="51" t="n"/>
      <c r="K492" s="51" t="n"/>
      <c r="L492" s="51" t="n"/>
      <c r="N492" s="51" t="n"/>
      <c r="Q492" s="51" t="n"/>
      <c r="S492" s="51" t="n"/>
      <c r="T492" s="51" t="n"/>
      <c r="U492" s="51" t="inlineStr"/>
      <c r="V492" s="55" t="n"/>
      <c r="W492" s="51" t="inlineStr"/>
      <c r="X492" s="51" t="inlineStr"/>
      <c r="Y492" s="51" t="n"/>
      <c r="AB492" s="57" t="n"/>
      <c r="AC492" s="90" t="n"/>
      <c r="AD492" s="90" t="n"/>
      <c r="AE492" s="88" t="n"/>
      <c r="AF492" s="91" t="n"/>
      <c r="AG492" s="91" t="n"/>
      <c r="AH492" s="88" t="n"/>
      <c r="AI492" s="88" t="n"/>
      <c r="AJ492" s="90" t="n"/>
      <c r="AK492" s="88" t="n"/>
      <c r="AL492" s="91" t="n"/>
      <c r="AM492" s="88" t="n"/>
      <c r="AN492" s="95" t="n"/>
      <c r="AO492" s="90" t="n"/>
      <c r="AP492" s="90" t="n"/>
    </row>
    <row r="493" ht="14.25" customHeight="1" s="84">
      <c r="A493" s="51" t="n"/>
      <c r="B493" s="47" t="n"/>
      <c r="C493" s="51" t="n"/>
      <c r="D493" s="51" t="n"/>
      <c r="E493" s="51" t="n"/>
      <c r="F493" s="51" t="n"/>
      <c r="G493" s="47" t="n"/>
      <c r="H493" s="51" t="n"/>
      <c r="I493" s="51" t="n"/>
      <c r="J493" s="51" t="n"/>
      <c r="K493" s="51" t="n"/>
      <c r="L493" s="51" t="n"/>
      <c r="N493" s="51" t="n"/>
      <c r="Q493" s="51" t="n"/>
      <c r="S493" s="51" t="n"/>
      <c r="T493" s="51" t="n"/>
      <c r="U493" s="51" t="inlineStr"/>
      <c r="V493" s="55" t="n"/>
      <c r="W493" s="51" t="inlineStr"/>
      <c r="X493" s="51" t="inlineStr"/>
      <c r="Y493" s="51" t="n"/>
      <c r="AB493" s="57" t="n"/>
      <c r="AC493" s="90" t="n"/>
      <c r="AD493" s="90" t="n"/>
      <c r="AE493" s="88" t="n"/>
      <c r="AF493" s="91" t="n"/>
      <c r="AG493" s="91" t="n"/>
      <c r="AH493" s="88" t="n"/>
      <c r="AI493" s="88" t="n"/>
      <c r="AJ493" s="90" t="n"/>
      <c r="AK493" s="88" t="n"/>
      <c r="AL493" s="91" t="n"/>
      <c r="AM493" s="88" t="n"/>
      <c r="AN493" s="95" t="n"/>
      <c r="AO493" s="90" t="n"/>
      <c r="AP493" s="90" t="n"/>
    </row>
    <row r="494" ht="14.25" customHeight="1" s="84">
      <c r="A494" s="51" t="n"/>
      <c r="B494" s="47" t="n"/>
      <c r="C494" s="51" t="n"/>
      <c r="D494" s="51" t="n"/>
      <c r="E494" s="51" t="n"/>
      <c r="F494" s="51" t="n"/>
      <c r="G494" s="47" t="n"/>
      <c r="H494" s="51" t="n"/>
      <c r="I494" s="51" t="n"/>
      <c r="J494" s="51" t="n"/>
      <c r="K494" s="51" t="n"/>
      <c r="L494" s="51" t="n"/>
      <c r="N494" s="51" t="n"/>
      <c r="Q494" s="51" t="n"/>
      <c r="S494" s="51" t="n"/>
      <c r="T494" s="51" t="n"/>
      <c r="U494" s="51" t="inlineStr"/>
      <c r="V494" s="55" t="n"/>
      <c r="W494" s="51" t="inlineStr"/>
      <c r="X494" s="51" t="inlineStr"/>
      <c r="Y494" s="51" t="n"/>
      <c r="AB494" s="57" t="n"/>
      <c r="AC494" s="90" t="n"/>
      <c r="AD494" s="90" t="n"/>
      <c r="AE494" s="88" t="n"/>
      <c r="AF494" s="91" t="n"/>
      <c r="AG494" s="91" t="n"/>
      <c r="AH494" s="88" t="n"/>
      <c r="AI494" s="88" t="n"/>
      <c r="AJ494" s="90" t="n"/>
      <c r="AK494" s="88" t="n"/>
      <c r="AL494" s="91" t="n"/>
      <c r="AM494" s="88" t="n"/>
      <c r="AN494" s="95" t="n"/>
      <c r="AO494" s="90" t="n"/>
      <c r="AP494" s="90" t="n"/>
    </row>
    <row r="495" ht="14.25" customHeight="1" s="84">
      <c r="A495" s="51" t="n"/>
      <c r="B495" s="47" t="n"/>
      <c r="C495" s="51" t="n"/>
      <c r="D495" s="51" t="n"/>
      <c r="E495" s="51" t="n"/>
      <c r="F495" s="51" t="n"/>
      <c r="G495" s="47" t="n"/>
      <c r="H495" s="51" t="n"/>
      <c r="I495" s="51" t="n"/>
      <c r="J495" s="51" t="n"/>
      <c r="K495" s="51" t="n"/>
      <c r="L495" s="51" t="n"/>
      <c r="N495" s="51" t="n"/>
      <c r="Q495" s="51" t="n"/>
      <c r="S495" s="51" t="n"/>
      <c r="T495" s="51" t="n"/>
      <c r="U495" s="51" t="inlineStr"/>
      <c r="V495" s="55" t="n"/>
      <c r="W495" s="51" t="inlineStr"/>
      <c r="X495" s="51" t="inlineStr"/>
      <c r="Y495" s="51" t="n"/>
      <c r="AB495" s="57" t="n"/>
      <c r="AC495" s="90" t="n"/>
      <c r="AD495" s="90" t="n"/>
      <c r="AE495" s="88" t="n"/>
      <c r="AF495" s="91" t="n"/>
      <c r="AG495" s="91" t="n"/>
      <c r="AH495" s="88" t="n"/>
      <c r="AI495" s="88" t="n"/>
      <c r="AJ495" s="90" t="n"/>
      <c r="AK495" s="88" t="n"/>
      <c r="AL495" s="91" t="n"/>
      <c r="AM495" s="88" t="n"/>
      <c r="AN495" s="95" t="n"/>
      <c r="AO495" s="90" t="n"/>
      <c r="AP495" s="90" t="n"/>
    </row>
    <row r="496" ht="14.25" customHeight="1" s="84">
      <c r="A496" s="51" t="n"/>
      <c r="B496" s="47" t="n"/>
      <c r="C496" s="51" t="n"/>
      <c r="D496" s="51" t="n"/>
      <c r="E496" s="51" t="n"/>
      <c r="F496" s="51" t="n"/>
      <c r="G496" s="47" t="n"/>
      <c r="H496" s="51" t="n"/>
      <c r="I496" s="51" t="n"/>
      <c r="J496" s="51" t="n"/>
      <c r="K496" s="51" t="n"/>
      <c r="L496" s="51" t="n"/>
      <c r="N496" s="51" t="n"/>
      <c r="Q496" s="51" t="n"/>
      <c r="S496" s="51" t="n"/>
      <c r="T496" s="51" t="n"/>
      <c r="U496" s="51" t="inlineStr"/>
      <c r="V496" s="55" t="n"/>
      <c r="W496" s="51" t="inlineStr"/>
      <c r="X496" s="51" t="inlineStr"/>
      <c r="Y496" s="51" t="n"/>
      <c r="AB496" s="57" t="n"/>
      <c r="AC496" s="90" t="n"/>
      <c r="AD496" s="90" t="n"/>
      <c r="AE496" s="88" t="n"/>
      <c r="AF496" s="91" t="n"/>
      <c r="AG496" s="91" t="n"/>
      <c r="AH496" s="88" t="n"/>
      <c r="AI496" s="88" t="n"/>
      <c r="AJ496" s="90" t="n"/>
      <c r="AK496" s="88" t="n"/>
      <c r="AL496" s="91" t="n"/>
      <c r="AM496" s="88" t="n"/>
      <c r="AN496" s="95" t="n"/>
      <c r="AO496" s="90" t="n"/>
      <c r="AP496" s="90" t="n"/>
    </row>
    <row r="497" ht="14.25" customHeight="1" s="84">
      <c r="A497" s="51" t="n"/>
      <c r="B497" s="47" t="n"/>
      <c r="C497" s="51" t="n"/>
      <c r="D497" s="51" t="n"/>
      <c r="E497" s="51" t="n"/>
      <c r="F497" s="51" t="n"/>
      <c r="G497" s="47" t="n"/>
      <c r="H497" s="51" t="n"/>
      <c r="I497" s="51" t="n"/>
      <c r="J497" s="51" t="n"/>
      <c r="K497" s="51" t="n"/>
      <c r="L497" s="51" t="n"/>
      <c r="N497" s="51" t="n"/>
      <c r="Q497" s="51" t="n"/>
      <c r="S497" s="51" t="n"/>
      <c r="T497" s="51" t="n"/>
      <c r="U497" s="51" t="inlineStr"/>
      <c r="V497" s="55" t="n"/>
      <c r="W497" s="51" t="inlineStr"/>
      <c r="X497" s="51" t="inlineStr"/>
      <c r="Y497" s="51" t="n"/>
      <c r="AB497" s="57" t="n"/>
      <c r="AC497" s="90" t="n"/>
      <c r="AD497" s="90" t="n"/>
      <c r="AE497" s="88" t="n"/>
      <c r="AF497" s="91" t="n"/>
      <c r="AG497" s="91" t="n"/>
      <c r="AH497" s="88" t="n"/>
      <c r="AI497" s="88" t="n"/>
      <c r="AJ497" s="90" t="n"/>
      <c r="AK497" s="88" t="n"/>
      <c r="AL497" s="91" t="n"/>
      <c r="AM497" s="88" t="n"/>
      <c r="AN497" s="95" t="n"/>
      <c r="AO497" s="90" t="n"/>
      <c r="AP497" s="90" t="n"/>
    </row>
    <row r="498" ht="14.25" customHeight="1" s="84">
      <c r="A498" s="51" t="n"/>
      <c r="B498" s="47" t="n"/>
      <c r="C498" s="51" t="n"/>
      <c r="D498" s="51" t="n"/>
      <c r="E498" s="51" t="n"/>
      <c r="F498" s="51" t="n"/>
      <c r="G498" s="47" t="n"/>
      <c r="H498" s="51" t="n"/>
      <c r="I498" s="51" t="n"/>
      <c r="J498" s="51" t="n"/>
      <c r="K498" s="51" t="n"/>
      <c r="L498" s="51" t="n"/>
      <c r="N498" s="51" t="n"/>
      <c r="Q498" s="51" t="n"/>
      <c r="S498" s="51" t="n"/>
      <c r="T498" s="51" t="n"/>
      <c r="U498" s="51" t="inlineStr"/>
      <c r="V498" s="55" t="n"/>
      <c r="W498" s="51" t="inlineStr"/>
      <c r="X498" s="51" t="inlineStr"/>
      <c r="Y498" s="51" t="n"/>
      <c r="AB498" s="57" t="n"/>
      <c r="AC498" s="90" t="n"/>
      <c r="AD498" s="90" t="n"/>
      <c r="AE498" s="88" t="n"/>
      <c r="AF498" s="91" t="n"/>
      <c r="AG498" s="91" t="n"/>
      <c r="AH498" s="88" t="n"/>
      <c r="AI498" s="88" t="n"/>
      <c r="AJ498" s="90" t="n"/>
      <c r="AK498" s="88" t="n"/>
      <c r="AL498" s="91" t="n"/>
      <c r="AM498" s="88" t="n"/>
      <c r="AN498" s="95" t="n"/>
      <c r="AO498" s="90" t="n"/>
      <c r="AP498" s="90" t="n"/>
    </row>
    <row r="499" ht="14.25" customHeight="1" s="84">
      <c r="A499" s="51" t="n"/>
      <c r="B499" s="47" t="n"/>
      <c r="C499" s="51" t="n"/>
      <c r="D499" s="51" t="n"/>
      <c r="E499" s="51" t="n"/>
      <c r="F499" s="51" t="n"/>
      <c r="G499" s="47" t="n"/>
      <c r="H499" s="51" t="n"/>
      <c r="I499" s="51" t="n"/>
      <c r="J499" s="51" t="n"/>
      <c r="K499" s="51" t="n"/>
      <c r="L499" s="51" t="n"/>
      <c r="N499" s="51" t="n"/>
      <c r="Q499" s="51" t="n"/>
      <c r="S499" s="51" t="n"/>
      <c r="T499" s="51" t="n"/>
      <c r="U499" s="51" t="inlineStr"/>
      <c r="V499" s="55" t="n"/>
      <c r="W499" s="51" t="inlineStr"/>
      <c r="X499" s="51" t="inlineStr"/>
      <c r="Y499" s="51" t="n"/>
      <c r="AB499" s="57" t="n"/>
      <c r="AC499" s="90" t="n"/>
      <c r="AD499" s="90" t="n"/>
      <c r="AE499" s="88" t="n"/>
      <c r="AF499" s="91" t="n"/>
      <c r="AG499" s="91" t="n"/>
      <c r="AH499" s="88" t="n"/>
      <c r="AI499" s="88" t="n"/>
      <c r="AJ499" s="90" t="n"/>
      <c r="AK499" s="88" t="n"/>
      <c r="AL499" s="91" t="n"/>
      <c r="AM499" s="88" t="n"/>
      <c r="AN499" s="95" t="n"/>
      <c r="AO499" s="90" t="n"/>
      <c r="AP499" s="90" t="n"/>
    </row>
    <row r="500" ht="14.25" customHeight="1" s="84">
      <c r="A500" s="51" t="n"/>
      <c r="B500" s="47" t="n"/>
      <c r="C500" s="51" t="n"/>
      <c r="D500" s="51" t="n"/>
      <c r="E500" s="51" t="n"/>
      <c r="F500" s="51" t="n"/>
      <c r="G500" s="47" t="n"/>
      <c r="H500" s="51" t="n"/>
      <c r="I500" s="51" t="n"/>
      <c r="J500" s="51" t="n"/>
      <c r="K500" s="51" t="n"/>
      <c r="L500" s="51" t="n"/>
      <c r="N500" s="51" t="n"/>
      <c r="Q500" s="51" t="n"/>
      <c r="S500" s="51" t="n"/>
      <c r="T500" s="51" t="n"/>
      <c r="U500" s="51" t="inlineStr"/>
      <c r="V500" s="55" t="n"/>
      <c r="W500" s="51" t="inlineStr"/>
      <c r="X500" s="51" t="inlineStr"/>
      <c r="Y500" s="51" t="n"/>
      <c r="AB500" s="57" t="n"/>
      <c r="AC500" s="90" t="n"/>
      <c r="AD500" s="90" t="n"/>
      <c r="AE500" s="88" t="n"/>
      <c r="AF500" s="91" t="n"/>
      <c r="AG500" s="91" t="n"/>
      <c r="AH500" s="88" t="n"/>
      <c r="AI500" s="88" t="n"/>
      <c r="AJ500" s="90" t="n"/>
      <c r="AK500" s="88" t="n"/>
      <c r="AL500" s="91" t="n"/>
      <c r="AM500" s="88" t="n"/>
      <c r="AN500" s="95" t="n"/>
      <c r="AO500" s="90" t="n"/>
      <c r="AP500" s="90" t="n"/>
    </row>
    <row r="501" ht="14.25" customHeight="1" s="84">
      <c r="A501" s="51" t="n"/>
      <c r="B501" s="47" t="n"/>
      <c r="C501" s="51" t="n"/>
      <c r="D501" s="51" t="n"/>
      <c r="E501" s="51" t="n"/>
      <c r="F501" s="51" t="n"/>
      <c r="G501" s="47" t="n"/>
      <c r="H501" s="51" t="n"/>
      <c r="I501" s="51" t="n"/>
      <c r="J501" s="51" t="n"/>
      <c r="K501" s="51" t="n"/>
      <c r="L501" s="51" t="n"/>
      <c r="N501" s="51" t="n"/>
      <c r="Q501" s="51" t="n"/>
      <c r="S501" s="51" t="n"/>
      <c r="T501" s="51" t="n"/>
      <c r="U501" s="51" t="inlineStr"/>
      <c r="V501" s="55" t="n"/>
      <c r="W501" s="51" t="inlineStr"/>
      <c r="X501" s="51" t="inlineStr"/>
      <c r="Y501" s="51" t="n"/>
      <c r="AB501" s="57" t="n"/>
      <c r="AC501" s="90" t="n"/>
      <c r="AD501" s="90" t="n"/>
      <c r="AE501" s="88" t="n"/>
      <c r="AF501" s="91" t="n"/>
      <c r="AG501" s="91" t="n"/>
      <c r="AH501" s="88" t="n"/>
      <c r="AI501" s="88" t="n"/>
      <c r="AJ501" s="90" t="n"/>
      <c r="AK501" s="88" t="n"/>
      <c r="AL501" s="91" t="n"/>
      <c r="AM501" s="88" t="n"/>
      <c r="AN501" s="95" t="n"/>
      <c r="AO501" s="90" t="n"/>
      <c r="AP501" s="90" t="n"/>
    </row>
    <row r="502" ht="14.25" customHeight="1" s="84">
      <c r="A502" s="51" t="n"/>
      <c r="B502" s="47" t="n"/>
      <c r="C502" s="51" t="n"/>
      <c r="D502" s="51" t="n"/>
      <c r="E502" s="51" t="n"/>
      <c r="F502" s="51" t="n"/>
      <c r="G502" s="47" t="n"/>
      <c r="H502" s="51" t="n"/>
      <c r="I502" s="51" t="n"/>
      <c r="J502" s="51" t="n"/>
      <c r="K502" s="51" t="n"/>
      <c r="L502" s="51" t="n"/>
      <c r="N502" s="51" t="n"/>
      <c r="Q502" s="51" t="n"/>
      <c r="S502" s="51" t="n"/>
      <c r="T502" s="51" t="n"/>
      <c r="U502" s="51" t="inlineStr"/>
      <c r="V502" s="55" t="n"/>
      <c r="W502" s="51" t="inlineStr"/>
      <c r="X502" s="51" t="inlineStr"/>
      <c r="Y502" s="51" t="n"/>
      <c r="AB502" s="57" t="n"/>
      <c r="AC502" s="90" t="n"/>
      <c r="AD502" s="90" t="n"/>
      <c r="AE502" s="88" t="n"/>
      <c r="AF502" s="91" t="n"/>
      <c r="AG502" s="91" t="n"/>
      <c r="AH502" s="88" t="n"/>
      <c r="AI502" s="88" t="n"/>
      <c r="AJ502" s="90" t="n"/>
      <c r="AK502" s="88" t="n"/>
      <c r="AL502" s="91" t="n"/>
      <c r="AM502" s="88" t="n"/>
      <c r="AN502" s="95" t="n"/>
      <c r="AO502" s="90" t="n"/>
      <c r="AP502" s="90" t="n"/>
    </row>
    <row r="503" ht="14.25" customHeight="1" s="84">
      <c r="A503" s="51" t="n"/>
      <c r="B503" s="47" t="n"/>
      <c r="C503" s="51" t="n"/>
      <c r="D503" s="51" t="n"/>
      <c r="E503" s="51" t="n"/>
      <c r="F503" s="51" t="n"/>
      <c r="G503" s="47" t="n"/>
      <c r="H503" s="51" t="n"/>
      <c r="I503" s="51" t="n"/>
      <c r="J503" s="51" t="n"/>
      <c r="K503" s="51" t="n"/>
      <c r="L503" s="51" t="n"/>
      <c r="N503" s="51" t="n"/>
      <c r="Q503" s="51" t="n"/>
      <c r="S503" s="51" t="n"/>
      <c r="T503" s="51" t="n"/>
      <c r="U503" s="51" t="inlineStr"/>
      <c r="V503" s="55" t="n"/>
      <c r="W503" s="51" t="inlineStr"/>
      <c r="X503" s="51" t="inlineStr"/>
      <c r="Y503" s="51" t="n"/>
      <c r="AB503" s="57" t="n"/>
      <c r="AC503" s="90" t="n"/>
      <c r="AD503" s="90" t="n"/>
      <c r="AE503" s="88" t="n"/>
      <c r="AF503" s="91" t="n"/>
      <c r="AG503" s="91" t="n"/>
      <c r="AH503" s="88" t="n"/>
      <c r="AI503" s="88" t="n"/>
      <c r="AJ503" s="90" t="n"/>
      <c r="AK503" s="88" t="n"/>
      <c r="AL503" s="91" t="n"/>
      <c r="AM503" s="88" t="n"/>
      <c r="AN503" s="95" t="n"/>
      <c r="AO503" s="90" t="n"/>
      <c r="AP503" s="90" t="n"/>
    </row>
    <row r="504" ht="14.25" customHeight="1" s="84">
      <c r="A504" s="51" t="n"/>
      <c r="B504" s="47" t="n"/>
      <c r="C504" s="51" t="n"/>
      <c r="D504" s="51" t="n"/>
      <c r="E504" s="51" t="n"/>
      <c r="F504" s="51" t="n"/>
      <c r="G504" s="47" t="n"/>
      <c r="H504" s="51" t="n"/>
      <c r="I504" s="51" t="n"/>
      <c r="J504" s="51" t="n"/>
      <c r="K504" s="51" t="n"/>
      <c r="L504" s="51" t="n"/>
      <c r="N504" s="51" t="n"/>
      <c r="Q504" s="51" t="n"/>
      <c r="S504" s="51" t="n"/>
      <c r="T504" s="51" t="n"/>
      <c r="U504" s="51" t="inlineStr"/>
      <c r="V504" s="55" t="n"/>
      <c r="W504" s="51" t="inlineStr"/>
      <c r="X504" s="51" t="inlineStr"/>
      <c r="Y504" s="51" t="n"/>
      <c r="AB504" s="57" t="n"/>
      <c r="AC504" s="90" t="n"/>
      <c r="AD504" s="90" t="n"/>
      <c r="AE504" s="88" t="n"/>
      <c r="AF504" s="91" t="n"/>
      <c r="AG504" s="91" t="n"/>
      <c r="AH504" s="88" t="n"/>
      <c r="AI504" s="88" t="n"/>
      <c r="AJ504" s="90" t="n"/>
      <c r="AK504" s="88" t="n"/>
      <c r="AL504" s="91" t="n"/>
      <c r="AM504" s="88" t="n"/>
      <c r="AN504" s="95" t="n"/>
      <c r="AO504" s="90" t="n"/>
      <c r="AP504" s="90" t="n"/>
    </row>
    <row r="505" ht="14.25" customHeight="1" s="84">
      <c r="A505" s="51" t="n"/>
      <c r="B505" s="47" t="n"/>
      <c r="C505" s="51" t="n"/>
      <c r="D505" s="51" t="n"/>
      <c r="E505" s="51" t="n"/>
      <c r="F505" s="51" t="n"/>
      <c r="G505" s="47" t="n"/>
      <c r="H505" s="51" t="n"/>
      <c r="I505" s="51" t="n"/>
      <c r="J505" s="51" t="n"/>
      <c r="K505" s="51" t="n"/>
      <c r="L505" s="51" t="n"/>
      <c r="N505" s="51" t="n"/>
      <c r="Q505" s="51" t="n"/>
      <c r="S505" s="51" t="n"/>
      <c r="T505" s="51" t="n"/>
      <c r="U505" s="51" t="inlineStr"/>
      <c r="V505" s="55" t="n"/>
      <c r="W505" s="51" t="inlineStr"/>
      <c r="X505" s="51" t="inlineStr"/>
      <c r="Y505" s="51" t="n"/>
      <c r="AB505" s="57" t="n"/>
      <c r="AC505" s="90" t="n"/>
      <c r="AD505" s="90" t="n"/>
      <c r="AE505" s="88" t="n"/>
      <c r="AF505" s="91" t="n"/>
      <c r="AG505" s="91" t="n"/>
      <c r="AH505" s="88" t="n"/>
      <c r="AI505" s="88" t="n"/>
      <c r="AJ505" s="90" t="n"/>
      <c r="AK505" s="88" t="n"/>
      <c r="AL505" s="91" t="n"/>
      <c r="AM505" s="88" t="n"/>
      <c r="AN505" s="95" t="n"/>
      <c r="AO505" s="90" t="n"/>
      <c r="AP505" s="90" t="n"/>
    </row>
    <row r="506" ht="14.25" customHeight="1" s="84">
      <c r="A506" s="51" t="n"/>
      <c r="B506" s="47" t="n"/>
      <c r="C506" s="51" t="n"/>
      <c r="D506" s="51" t="n"/>
      <c r="E506" s="51" t="n"/>
      <c r="F506" s="51" t="n"/>
      <c r="G506" s="47" t="n"/>
      <c r="H506" s="51" t="n"/>
      <c r="I506" s="51" t="n"/>
      <c r="J506" s="51" t="n"/>
      <c r="K506" s="51" t="n"/>
      <c r="L506" s="51" t="n"/>
      <c r="N506" s="51" t="n"/>
      <c r="Q506" s="51" t="n"/>
      <c r="S506" s="51" t="n"/>
      <c r="T506" s="51" t="n"/>
      <c r="U506" s="51" t="inlineStr"/>
      <c r="V506" s="55" t="n"/>
      <c r="W506" s="51" t="inlineStr"/>
      <c r="X506" s="51" t="inlineStr"/>
      <c r="Y506" s="51" t="n"/>
      <c r="AB506" s="57" t="n"/>
      <c r="AC506" s="90" t="n"/>
      <c r="AD506" s="90" t="n"/>
      <c r="AE506" s="88" t="n"/>
      <c r="AF506" s="91" t="n"/>
      <c r="AG506" s="91" t="n"/>
      <c r="AH506" s="88" t="n"/>
      <c r="AI506" s="88" t="n"/>
      <c r="AJ506" s="90" t="n"/>
      <c r="AK506" s="88" t="n"/>
      <c r="AL506" s="91" t="n"/>
      <c r="AM506" s="88" t="n"/>
      <c r="AN506" s="95" t="n"/>
      <c r="AO506" s="90" t="n"/>
      <c r="AP506" s="90" t="n"/>
    </row>
    <row r="507" ht="14.25" customHeight="1" s="84">
      <c r="A507" s="51" t="n"/>
      <c r="B507" s="47" t="n"/>
      <c r="C507" s="51" t="n"/>
      <c r="D507" s="51" t="n"/>
      <c r="E507" s="51" t="n"/>
      <c r="F507" s="51" t="n"/>
      <c r="G507" s="47" t="n"/>
      <c r="H507" s="51" t="n"/>
      <c r="I507" s="51" t="n"/>
      <c r="J507" s="51" t="n"/>
      <c r="K507" s="51" t="n"/>
      <c r="L507" s="51" t="n"/>
      <c r="N507" s="51" t="n"/>
      <c r="Q507" s="51" t="n"/>
      <c r="S507" s="51" t="n"/>
      <c r="T507" s="51" t="n"/>
      <c r="U507" s="51" t="inlineStr"/>
      <c r="V507" s="55" t="n"/>
      <c r="W507" s="51" t="inlineStr"/>
      <c r="X507" s="51" t="inlineStr"/>
      <c r="Y507" s="51" t="n"/>
      <c r="AB507" s="57" t="n"/>
      <c r="AC507" s="90" t="n"/>
      <c r="AD507" s="90" t="n"/>
      <c r="AE507" s="88" t="n"/>
      <c r="AF507" s="91" t="n"/>
      <c r="AG507" s="91" t="n"/>
      <c r="AH507" s="88" t="n"/>
      <c r="AI507" s="88" t="n"/>
      <c r="AJ507" s="90" t="n"/>
      <c r="AK507" s="88" t="n"/>
      <c r="AL507" s="91" t="n"/>
      <c r="AM507" s="88" t="n"/>
      <c r="AN507" s="95" t="n"/>
      <c r="AO507" s="90" t="n"/>
      <c r="AP507" s="90" t="n"/>
    </row>
    <row r="508" ht="14.25" customHeight="1" s="84">
      <c r="A508" s="51" t="n"/>
      <c r="B508" s="47" t="n"/>
      <c r="C508" s="51" t="n"/>
      <c r="D508" s="51" t="n"/>
      <c r="E508" s="51" t="n"/>
      <c r="F508" s="51" t="n"/>
      <c r="G508" s="47" t="n"/>
      <c r="H508" s="51" t="n"/>
      <c r="I508" s="51" t="n"/>
      <c r="J508" s="51" t="n"/>
      <c r="K508" s="51" t="n"/>
      <c r="L508" s="51" t="n"/>
      <c r="N508" s="51" t="n"/>
      <c r="Q508" s="51" t="n"/>
      <c r="S508" s="51" t="n"/>
      <c r="T508" s="51" t="n"/>
      <c r="U508" s="51" t="inlineStr"/>
      <c r="V508" s="55" t="n"/>
      <c r="W508" s="51" t="inlineStr"/>
      <c r="X508" s="51" t="inlineStr"/>
      <c r="Y508" s="51" t="n"/>
      <c r="AB508" s="57" t="n"/>
      <c r="AC508" s="90" t="n"/>
      <c r="AD508" s="90" t="n"/>
      <c r="AE508" s="88" t="n"/>
      <c r="AF508" s="91" t="n"/>
      <c r="AG508" s="91" t="n"/>
      <c r="AH508" s="88" t="n"/>
      <c r="AI508" s="88" t="n"/>
      <c r="AJ508" s="90" t="n"/>
      <c r="AK508" s="88" t="n"/>
      <c r="AL508" s="91" t="n"/>
      <c r="AM508" s="88" t="n"/>
      <c r="AN508" s="95" t="n"/>
      <c r="AO508" s="90" t="n"/>
      <c r="AP508" s="90" t="n"/>
    </row>
    <row r="509" ht="14.25" customHeight="1" s="84">
      <c r="A509" s="51" t="n"/>
      <c r="B509" s="47" t="n"/>
      <c r="C509" s="51" t="n"/>
      <c r="D509" s="51" t="n"/>
      <c r="E509" s="51" t="n"/>
      <c r="F509" s="51" t="n"/>
      <c r="G509" s="47" t="n"/>
      <c r="H509" s="51" t="n"/>
      <c r="I509" s="51" t="n"/>
      <c r="J509" s="51" t="n"/>
      <c r="K509" s="51" t="n"/>
      <c r="L509" s="51" t="n"/>
      <c r="N509" s="51" t="n"/>
      <c r="Q509" s="51" t="n"/>
      <c r="S509" s="51" t="n"/>
      <c r="T509" s="51" t="n"/>
      <c r="U509" s="51" t="inlineStr"/>
      <c r="V509" s="55" t="n"/>
      <c r="W509" s="51" t="inlineStr"/>
      <c r="X509" s="51" t="inlineStr"/>
      <c r="Y509" s="51" t="n"/>
      <c r="AB509" s="57" t="n"/>
      <c r="AC509" s="90" t="n"/>
      <c r="AD509" s="90" t="n"/>
      <c r="AE509" s="88" t="n"/>
      <c r="AF509" s="91" t="n"/>
      <c r="AG509" s="91" t="n"/>
      <c r="AH509" s="88" t="n"/>
      <c r="AI509" s="88" t="n"/>
      <c r="AJ509" s="90" t="n"/>
      <c r="AK509" s="88" t="n"/>
      <c r="AL509" s="91" t="n"/>
      <c r="AM509" s="88" t="n"/>
      <c r="AN509" s="95" t="n"/>
      <c r="AO509" s="90" t="n"/>
      <c r="AP509" s="90" t="n"/>
    </row>
    <row r="510" ht="14.25" customHeight="1" s="84">
      <c r="A510" s="51" t="n"/>
      <c r="B510" s="47" t="n"/>
      <c r="C510" s="51" t="n"/>
      <c r="D510" s="51" t="n"/>
      <c r="E510" s="51" t="n"/>
      <c r="F510" s="51" t="n"/>
      <c r="G510" s="47" t="n"/>
      <c r="H510" s="51" t="n"/>
      <c r="I510" s="51" t="n"/>
      <c r="J510" s="51" t="n"/>
      <c r="K510" s="51" t="n"/>
      <c r="L510" s="51" t="n"/>
      <c r="N510" s="51" t="n"/>
      <c r="Q510" s="51" t="n"/>
      <c r="S510" s="51" t="n"/>
      <c r="T510" s="51" t="n"/>
      <c r="U510" s="51" t="inlineStr"/>
      <c r="V510" s="55" t="n"/>
      <c r="W510" s="51" t="inlineStr"/>
      <c r="X510" s="51" t="inlineStr"/>
      <c r="Y510" s="51" t="n"/>
      <c r="AB510" s="57" t="n"/>
      <c r="AC510" s="90" t="n"/>
      <c r="AD510" s="90" t="n"/>
      <c r="AE510" s="88" t="n"/>
      <c r="AF510" s="91" t="n"/>
      <c r="AG510" s="91" t="n"/>
      <c r="AH510" s="88" t="n"/>
      <c r="AI510" s="88" t="n"/>
      <c r="AJ510" s="90" t="n"/>
      <c r="AK510" s="88" t="n"/>
      <c r="AL510" s="91" t="n"/>
      <c r="AM510" s="88" t="n"/>
      <c r="AN510" s="95" t="n"/>
      <c r="AO510" s="90" t="n"/>
      <c r="AP510" s="90" t="n"/>
    </row>
    <row r="511" ht="14.25" customHeight="1" s="84">
      <c r="A511" s="51" t="n"/>
      <c r="B511" s="47" t="n"/>
      <c r="C511" s="51" t="n"/>
      <c r="D511" s="51" t="n"/>
      <c r="E511" s="51" t="n"/>
      <c r="F511" s="51" t="n"/>
      <c r="G511" s="47" t="n"/>
      <c r="H511" s="51" t="n"/>
      <c r="I511" s="51" t="n"/>
      <c r="J511" s="51" t="n"/>
      <c r="K511" s="51" t="n"/>
      <c r="L511" s="51" t="n"/>
      <c r="N511" s="51" t="n"/>
      <c r="Q511" s="51" t="n"/>
      <c r="S511" s="51" t="n"/>
      <c r="T511" s="51" t="n"/>
      <c r="U511" s="51" t="inlineStr"/>
      <c r="V511" s="55" t="n"/>
      <c r="W511" s="51" t="inlineStr"/>
      <c r="X511" s="51" t="inlineStr"/>
      <c r="Y511" s="51" t="n"/>
      <c r="AB511" s="57" t="n"/>
      <c r="AC511" s="90" t="n"/>
      <c r="AD511" s="90" t="n"/>
      <c r="AE511" s="88" t="n"/>
      <c r="AF511" s="91" t="n"/>
      <c r="AG511" s="91" t="n"/>
      <c r="AH511" s="88" t="n"/>
      <c r="AI511" s="88" t="n"/>
      <c r="AJ511" s="90" t="n"/>
      <c r="AK511" s="88" t="n"/>
      <c r="AL511" s="91" t="n"/>
      <c r="AM511" s="88" t="n"/>
      <c r="AN511" s="95" t="n"/>
      <c r="AO511" s="90" t="n"/>
      <c r="AP511" s="90" t="n"/>
    </row>
    <row r="512" ht="14.25" customHeight="1" s="84">
      <c r="A512" s="51" t="n"/>
      <c r="B512" s="47" t="n"/>
      <c r="C512" s="51" t="n"/>
      <c r="D512" s="51" t="n"/>
      <c r="E512" s="51" t="n"/>
      <c r="F512" s="51" t="n"/>
      <c r="G512" s="47" t="n"/>
      <c r="H512" s="51" t="n"/>
      <c r="I512" s="51" t="n"/>
      <c r="J512" s="51" t="n"/>
      <c r="K512" s="51" t="n"/>
      <c r="L512" s="51" t="n"/>
      <c r="N512" s="51" t="n"/>
      <c r="Q512" s="51" t="n"/>
      <c r="S512" s="51" t="n"/>
      <c r="T512" s="51" t="n"/>
      <c r="U512" s="51" t="inlineStr"/>
      <c r="V512" s="55" t="n"/>
      <c r="W512" s="51" t="inlineStr"/>
      <c r="X512" s="51" t="inlineStr"/>
      <c r="Y512" s="51" t="n"/>
      <c r="AB512" s="57" t="n"/>
      <c r="AC512" s="90" t="n"/>
      <c r="AD512" s="90" t="n"/>
      <c r="AE512" s="88" t="n"/>
      <c r="AF512" s="91" t="n"/>
      <c r="AG512" s="91" t="n"/>
      <c r="AH512" s="88" t="n"/>
      <c r="AI512" s="88" t="n"/>
      <c r="AJ512" s="90" t="n"/>
      <c r="AK512" s="88" t="n"/>
      <c r="AL512" s="91" t="n"/>
      <c r="AM512" s="88" t="n"/>
      <c r="AN512" s="95" t="n"/>
      <c r="AO512" s="90" t="n"/>
      <c r="AP512" s="90" t="n"/>
    </row>
    <row r="513" ht="14.25" customHeight="1" s="84">
      <c r="A513" s="51" t="n"/>
      <c r="B513" s="47" t="n"/>
      <c r="C513" s="51" t="n"/>
      <c r="D513" s="51" t="n"/>
      <c r="E513" s="51" t="n"/>
      <c r="F513" s="51" t="n"/>
      <c r="G513" s="47" t="n"/>
      <c r="H513" s="51" t="n"/>
      <c r="I513" s="51" t="n"/>
      <c r="J513" s="51" t="n"/>
      <c r="K513" s="51" t="n"/>
      <c r="L513" s="51" t="n"/>
      <c r="N513" s="51" t="n"/>
      <c r="Q513" s="51" t="n"/>
      <c r="S513" s="51" t="n"/>
      <c r="T513" s="51" t="n"/>
      <c r="U513" s="51" t="inlineStr"/>
      <c r="V513" s="55" t="n"/>
      <c r="W513" s="51" t="inlineStr"/>
      <c r="X513" s="51" t="inlineStr"/>
      <c r="Y513" s="51" t="n"/>
      <c r="AB513" s="57" t="n"/>
      <c r="AC513" s="90" t="n"/>
      <c r="AD513" s="90" t="n"/>
      <c r="AE513" s="88" t="n"/>
      <c r="AF513" s="91" t="n"/>
      <c r="AG513" s="91" t="n"/>
      <c r="AH513" s="88" t="n"/>
      <c r="AI513" s="88" t="n"/>
      <c r="AJ513" s="90" t="n"/>
      <c r="AK513" s="88" t="n"/>
      <c r="AL513" s="91" t="n"/>
      <c r="AM513" s="88" t="n"/>
      <c r="AN513" s="95" t="n"/>
      <c r="AO513" s="90" t="n"/>
      <c r="AP513" s="90" t="n"/>
    </row>
    <row r="514" ht="14.25" customHeight="1" s="84">
      <c r="A514" s="51" t="n"/>
      <c r="B514" s="47" t="n"/>
      <c r="C514" s="51" t="n"/>
      <c r="D514" s="51" t="n"/>
      <c r="E514" s="51" t="n"/>
      <c r="F514" s="51" t="n"/>
      <c r="G514" s="47" t="n"/>
      <c r="H514" s="51" t="n"/>
      <c r="I514" s="51" t="n"/>
      <c r="J514" s="51" t="n"/>
      <c r="K514" s="51" t="n"/>
      <c r="L514" s="51" t="n"/>
      <c r="N514" s="51" t="n"/>
      <c r="Q514" s="51" t="n"/>
      <c r="S514" s="51" t="n"/>
      <c r="T514" s="51" t="n"/>
      <c r="U514" s="51" t="inlineStr"/>
      <c r="V514" s="55" t="n"/>
      <c r="W514" s="51" t="inlineStr"/>
      <c r="X514" s="51" t="inlineStr"/>
      <c r="Y514" s="51" t="n"/>
      <c r="AB514" s="57" t="n"/>
      <c r="AC514" s="90" t="n"/>
      <c r="AD514" s="90" t="n"/>
      <c r="AE514" s="88" t="n"/>
      <c r="AF514" s="91" t="n"/>
      <c r="AG514" s="91" t="n"/>
      <c r="AH514" s="88" t="n"/>
      <c r="AI514" s="88" t="n"/>
      <c r="AJ514" s="90" t="n"/>
      <c r="AK514" s="88" t="n"/>
      <c r="AL514" s="91" t="n"/>
      <c r="AM514" s="88" t="n"/>
      <c r="AN514" s="95" t="n"/>
      <c r="AO514" s="90" t="n"/>
      <c r="AP514" s="90" t="n"/>
    </row>
    <row r="515" ht="14.25" customHeight="1" s="84">
      <c r="A515" s="51" t="n"/>
      <c r="B515" s="47" t="n"/>
      <c r="C515" s="51" t="n"/>
      <c r="D515" s="51" t="n"/>
      <c r="E515" s="51" t="n"/>
      <c r="F515" s="51" t="n"/>
      <c r="G515" s="47" t="n"/>
      <c r="H515" s="51" t="n"/>
      <c r="I515" s="51" t="n"/>
      <c r="J515" s="51" t="n"/>
      <c r="K515" s="51" t="n"/>
      <c r="L515" s="51" t="n"/>
      <c r="N515" s="51" t="n"/>
      <c r="Q515" s="51" t="n"/>
      <c r="S515" s="51" t="n"/>
      <c r="T515" s="51" t="n"/>
      <c r="U515" s="51" t="inlineStr"/>
      <c r="V515" s="55" t="n"/>
      <c r="W515" s="51" t="inlineStr"/>
      <c r="X515" s="51" t="inlineStr"/>
      <c r="Y515" s="51" t="n"/>
      <c r="AB515" s="57" t="n"/>
      <c r="AC515" s="90" t="n"/>
      <c r="AD515" s="90" t="n"/>
      <c r="AE515" s="88" t="n"/>
      <c r="AF515" s="91" t="n"/>
      <c r="AG515" s="91" t="n"/>
      <c r="AH515" s="88" t="n"/>
      <c r="AI515" s="88" t="n"/>
      <c r="AJ515" s="90" t="n"/>
      <c r="AK515" s="88" t="n"/>
      <c r="AL515" s="91" t="n"/>
      <c r="AM515" s="88" t="n"/>
      <c r="AN515" s="95" t="n"/>
      <c r="AO515" s="90" t="n"/>
      <c r="AP515" s="90" t="n"/>
    </row>
    <row r="516" ht="14.25" customHeight="1" s="84">
      <c r="A516" s="51" t="n"/>
      <c r="B516" s="47" t="n"/>
      <c r="C516" s="51" t="n"/>
      <c r="D516" s="51" t="n"/>
      <c r="E516" s="51" t="n"/>
      <c r="F516" s="51" t="n"/>
      <c r="G516" s="47" t="n"/>
      <c r="H516" s="51" t="n"/>
      <c r="I516" s="51" t="n"/>
      <c r="J516" s="51" t="n"/>
      <c r="K516" s="51" t="n"/>
      <c r="L516" s="51" t="n"/>
      <c r="N516" s="51" t="n"/>
      <c r="Q516" s="51" t="n"/>
      <c r="S516" s="51" t="n"/>
      <c r="T516" s="51" t="n"/>
      <c r="U516" s="51" t="inlineStr"/>
      <c r="V516" s="55" t="n"/>
      <c r="W516" s="51" t="inlineStr"/>
      <c r="X516" s="51" t="inlineStr"/>
      <c r="Y516" s="51" t="n"/>
      <c r="AB516" s="57" t="n"/>
      <c r="AC516" s="90" t="n"/>
      <c r="AD516" s="90" t="n"/>
      <c r="AE516" s="88" t="n"/>
      <c r="AF516" s="91" t="n"/>
      <c r="AG516" s="91" t="n"/>
      <c r="AH516" s="88" t="n"/>
      <c r="AI516" s="88" t="n"/>
      <c r="AJ516" s="90" t="n"/>
      <c r="AK516" s="88" t="n"/>
      <c r="AL516" s="91" t="n"/>
      <c r="AM516" s="88" t="n"/>
      <c r="AN516" s="95" t="n"/>
      <c r="AO516" s="90" t="n"/>
      <c r="AP516" s="90" t="n"/>
    </row>
    <row r="517" ht="14.25" customHeight="1" s="84">
      <c r="A517" s="51" t="n"/>
      <c r="B517" s="47" t="n"/>
      <c r="C517" s="51" t="n"/>
      <c r="D517" s="51" t="n"/>
      <c r="E517" s="51" t="n"/>
      <c r="F517" s="51" t="n"/>
      <c r="G517" s="47" t="n"/>
      <c r="H517" s="51" t="n"/>
      <c r="I517" s="51" t="n"/>
      <c r="J517" s="51" t="n"/>
      <c r="K517" s="51" t="n"/>
      <c r="L517" s="51" t="n"/>
      <c r="N517" s="51" t="n"/>
      <c r="Q517" s="51" t="n"/>
      <c r="S517" s="51" t="n"/>
      <c r="T517" s="51" t="n"/>
      <c r="U517" s="51" t="inlineStr"/>
      <c r="V517" s="55" t="n"/>
      <c r="W517" s="51" t="inlineStr"/>
      <c r="X517" s="51" t="inlineStr"/>
      <c r="Y517" s="51" t="n"/>
      <c r="AB517" s="57" t="n"/>
      <c r="AC517" s="90" t="n"/>
      <c r="AD517" s="90" t="n"/>
      <c r="AE517" s="88" t="n"/>
      <c r="AF517" s="91" t="n"/>
      <c r="AG517" s="91" t="n"/>
      <c r="AH517" s="88" t="n"/>
      <c r="AI517" s="88" t="n"/>
      <c r="AJ517" s="90" t="n"/>
      <c r="AK517" s="88" t="n"/>
      <c r="AL517" s="91" t="n"/>
      <c r="AM517" s="88" t="n"/>
      <c r="AN517" s="95" t="n"/>
      <c r="AO517" s="90" t="n"/>
      <c r="AP517" s="90" t="n"/>
    </row>
    <row r="518" ht="14.25" customHeight="1" s="84">
      <c r="A518" s="51" t="n"/>
      <c r="B518" s="47" t="n"/>
      <c r="C518" s="51" t="n"/>
      <c r="D518" s="51" t="n"/>
      <c r="E518" s="51" t="n"/>
      <c r="F518" s="51" t="n"/>
      <c r="G518" s="47" t="n"/>
      <c r="H518" s="51" t="n"/>
      <c r="I518" s="51" t="n"/>
      <c r="J518" s="51" t="n"/>
      <c r="K518" s="51" t="n"/>
      <c r="L518" s="51" t="n"/>
      <c r="N518" s="51" t="n"/>
      <c r="Q518" s="51" t="n"/>
      <c r="S518" s="51" t="n"/>
      <c r="T518" s="51" t="n"/>
      <c r="U518" s="51" t="inlineStr"/>
      <c r="V518" s="55" t="n"/>
      <c r="W518" s="51" t="inlineStr"/>
      <c r="X518" s="51" t="inlineStr"/>
      <c r="Y518" s="51" t="n"/>
      <c r="AB518" s="57" t="n"/>
      <c r="AC518" s="90" t="n"/>
      <c r="AD518" s="90" t="n"/>
      <c r="AE518" s="88" t="n"/>
      <c r="AF518" s="91" t="n"/>
      <c r="AG518" s="91" t="n"/>
      <c r="AH518" s="88" t="n"/>
      <c r="AI518" s="88" t="n"/>
      <c r="AJ518" s="90" t="n"/>
      <c r="AK518" s="88" t="n"/>
      <c r="AL518" s="91" t="n"/>
      <c r="AM518" s="88" t="n"/>
      <c r="AN518" s="95" t="n"/>
      <c r="AO518" s="90" t="n"/>
      <c r="AP518" s="90" t="n"/>
    </row>
    <row r="519" ht="14.25" customHeight="1" s="84">
      <c r="A519" s="51" t="n"/>
      <c r="B519" s="47" t="n"/>
      <c r="C519" s="51" t="n"/>
      <c r="D519" s="51" t="n"/>
      <c r="E519" s="51" t="n"/>
      <c r="F519" s="51" t="n"/>
      <c r="G519" s="47" t="n"/>
      <c r="H519" s="51" t="n"/>
      <c r="I519" s="51" t="n"/>
      <c r="J519" s="51" t="n"/>
      <c r="K519" s="51" t="n"/>
      <c r="L519" s="51" t="n"/>
      <c r="N519" s="51" t="n"/>
      <c r="Q519" s="51" t="n"/>
      <c r="S519" s="51" t="n"/>
      <c r="T519" s="51" t="n"/>
      <c r="U519" s="51" t="inlineStr"/>
      <c r="V519" s="55" t="n"/>
      <c r="W519" s="51" t="inlineStr"/>
      <c r="X519" s="51" t="inlineStr"/>
      <c r="Y519" s="51" t="n"/>
      <c r="AB519" s="57" t="n"/>
      <c r="AC519" s="90" t="n"/>
      <c r="AD519" s="90" t="n"/>
      <c r="AE519" s="88" t="n"/>
      <c r="AF519" s="91" t="n"/>
      <c r="AG519" s="91" t="n"/>
      <c r="AH519" s="88" t="n"/>
      <c r="AI519" s="88" t="n"/>
      <c r="AJ519" s="90" t="n"/>
      <c r="AK519" s="88" t="n"/>
      <c r="AL519" s="91" t="n"/>
      <c r="AM519" s="88" t="n"/>
      <c r="AN519" s="95" t="n"/>
      <c r="AO519" s="90" t="n"/>
      <c r="AP519" s="90" t="n"/>
    </row>
    <row r="520" ht="14.25" customHeight="1" s="84">
      <c r="A520" s="51" t="n"/>
      <c r="B520" s="47" t="n"/>
      <c r="C520" s="51" t="n"/>
      <c r="D520" s="51" t="n"/>
      <c r="E520" s="51" t="n"/>
      <c r="F520" s="51" t="n"/>
      <c r="G520" s="47" t="n"/>
      <c r="H520" s="51" t="n"/>
      <c r="I520" s="51" t="n"/>
      <c r="J520" s="51" t="n"/>
      <c r="K520" s="51" t="n"/>
      <c r="L520" s="51" t="n"/>
      <c r="N520" s="51" t="n"/>
      <c r="Q520" s="51" t="n"/>
      <c r="S520" s="51" t="n"/>
      <c r="T520" s="51" t="n"/>
      <c r="U520" s="51" t="inlineStr"/>
      <c r="V520" s="55" t="n"/>
      <c r="W520" s="51" t="inlineStr"/>
      <c r="X520" s="51" t="inlineStr"/>
      <c r="Y520" s="51" t="n"/>
      <c r="AB520" s="57" t="n"/>
      <c r="AC520" s="90" t="n"/>
      <c r="AD520" s="90" t="n"/>
      <c r="AE520" s="88" t="n"/>
      <c r="AF520" s="91" t="n"/>
      <c r="AG520" s="91" t="n"/>
      <c r="AH520" s="88" t="n"/>
      <c r="AI520" s="88" t="n"/>
      <c r="AJ520" s="90" t="n"/>
      <c r="AK520" s="88" t="n"/>
      <c r="AL520" s="91" t="n"/>
      <c r="AM520" s="88" t="n"/>
      <c r="AN520" s="95" t="n"/>
      <c r="AO520" s="90" t="n"/>
      <c r="AP520" s="90" t="n"/>
    </row>
    <row r="521" ht="14.25" customHeight="1" s="84">
      <c r="A521" s="51" t="n"/>
      <c r="B521" s="47" t="n"/>
      <c r="C521" s="51" t="n"/>
      <c r="D521" s="51" t="n"/>
      <c r="E521" s="51" t="n"/>
      <c r="F521" s="51" t="n"/>
      <c r="G521" s="47" t="n"/>
      <c r="H521" s="51" t="n"/>
      <c r="I521" s="51" t="n"/>
      <c r="J521" s="51" t="n"/>
      <c r="K521" s="51" t="n"/>
      <c r="L521" s="51" t="n"/>
      <c r="N521" s="51" t="n"/>
      <c r="Q521" s="51" t="n"/>
      <c r="S521" s="51" t="n"/>
      <c r="T521" s="51" t="n"/>
      <c r="U521" s="51" t="inlineStr"/>
      <c r="V521" s="55" t="n"/>
      <c r="W521" s="51" t="inlineStr"/>
      <c r="X521" s="51" t="inlineStr"/>
      <c r="Y521" s="51" t="n"/>
      <c r="AB521" s="57" t="n"/>
      <c r="AC521" s="90" t="n"/>
      <c r="AD521" s="90" t="n"/>
      <c r="AE521" s="88" t="n"/>
      <c r="AF521" s="91" t="n"/>
      <c r="AG521" s="91" t="n"/>
      <c r="AH521" s="88" t="n"/>
      <c r="AI521" s="88" t="n"/>
      <c r="AJ521" s="90" t="n"/>
      <c r="AK521" s="88" t="n"/>
      <c r="AL521" s="91" t="n"/>
      <c r="AM521" s="88" t="n"/>
      <c r="AN521" s="95" t="n"/>
      <c r="AO521" s="90" t="n"/>
      <c r="AP521" s="90" t="n"/>
    </row>
    <row r="522" ht="14.25" customHeight="1" s="84">
      <c r="A522" s="51" t="n"/>
      <c r="B522" s="47" t="n"/>
      <c r="C522" s="51" t="n"/>
      <c r="D522" s="51" t="n"/>
      <c r="E522" s="51" t="n"/>
      <c r="F522" s="51" t="n"/>
      <c r="G522" s="47" t="n"/>
      <c r="H522" s="51" t="n"/>
      <c r="I522" s="51" t="n"/>
      <c r="J522" s="51" t="n"/>
      <c r="K522" s="51" t="n"/>
      <c r="L522" s="51" t="n"/>
      <c r="N522" s="51" t="n"/>
      <c r="Q522" s="51" t="n"/>
      <c r="S522" s="51" t="n"/>
      <c r="T522" s="51" t="n"/>
      <c r="U522" s="51" t="inlineStr"/>
      <c r="V522" s="55" t="n"/>
      <c r="W522" s="51" t="inlineStr"/>
      <c r="X522" s="51" t="inlineStr"/>
      <c r="Y522" s="51" t="n"/>
      <c r="AB522" s="57" t="n"/>
      <c r="AC522" s="90" t="n"/>
      <c r="AD522" s="90" t="n"/>
      <c r="AE522" s="88" t="n"/>
      <c r="AF522" s="91" t="n"/>
      <c r="AG522" s="91" t="n"/>
      <c r="AH522" s="88" t="n"/>
      <c r="AI522" s="88" t="n"/>
      <c r="AJ522" s="90" t="n"/>
      <c r="AK522" s="88" t="n"/>
      <c r="AL522" s="91" t="n"/>
      <c r="AM522" s="88" t="n"/>
      <c r="AN522" s="95" t="n"/>
      <c r="AO522" s="90" t="n"/>
      <c r="AP522" s="90" t="n"/>
    </row>
    <row r="523" ht="14.25" customHeight="1" s="84">
      <c r="A523" s="51" t="n"/>
      <c r="B523" s="47" t="n"/>
      <c r="C523" s="51" t="n"/>
      <c r="D523" s="51" t="n"/>
      <c r="E523" s="51" t="n"/>
      <c r="F523" s="51" t="n"/>
      <c r="G523" s="47" t="n"/>
      <c r="H523" s="51" t="n"/>
      <c r="I523" s="51" t="n"/>
      <c r="J523" s="51" t="n"/>
      <c r="K523" s="51" t="n"/>
      <c r="L523" s="51" t="n"/>
      <c r="N523" s="51" t="n"/>
      <c r="Q523" s="51" t="n"/>
      <c r="S523" s="51" t="n"/>
      <c r="T523" s="51" t="n"/>
      <c r="U523" s="51" t="inlineStr"/>
      <c r="V523" s="55" t="n"/>
      <c r="W523" s="51" t="inlineStr"/>
      <c r="X523" s="51" t="inlineStr"/>
      <c r="Y523" s="51" t="n"/>
      <c r="AB523" s="57" t="n"/>
      <c r="AC523" s="90" t="n"/>
      <c r="AD523" s="90" t="n"/>
      <c r="AE523" s="88" t="n"/>
      <c r="AF523" s="91" t="n"/>
      <c r="AG523" s="91" t="n"/>
      <c r="AH523" s="88" t="n"/>
      <c r="AI523" s="88" t="n"/>
      <c r="AJ523" s="90" t="n"/>
      <c r="AK523" s="88" t="n"/>
      <c r="AL523" s="91" t="n"/>
      <c r="AM523" s="88" t="n"/>
      <c r="AN523" s="95" t="n"/>
      <c r="AO523" s="90" t="n"/>
      <c r="AP523" s="90" t="n"/>
    </row>
    <row r="524" ht="14.25" customHeight="1" s="84">
      <c r="A524" s="51" t="n"/>
      <c r="B524" s="47" t="n"/>
      <c r="C524" s="51" t="n"/>
      <c r="D524" s="51" t="n"/>
      <c r="E524" s="51" t="n"/>
      <c r="F524" s="51" t="n"/>
      <c r="G524" s="47" t="n"/>
      <c r="H524" s="51" t="n"/>
      <c r="I524" s="51" t="n"/>
      <c r="J524" s="51" t="n"/>
      <c r="K524" s="51" t="n"/>
      <c r="L524" s="51" t="n"/>
      <c r="N524" s="51" t="n"/>
      <c r="Q524" s="51" t="n"/>
      <c r="S524" s="51" t="n"/>
      <c r="T524" s="51" t="n"/>
      <c r="U524" s="51" t="inlineStr"/>
      <c r="V524" s="55" t="n"/>
      <c r="W524" s="51" t="inlineStr"/>
      <c r="X524" s="51" t="inlineStr"/>
      <c r="Y524" s="51" t="n"/>
      <c r="AB524" s="57" t="n"/>
      <c r="AC524" s="90" t="n"/>
      <c r="AD524" s="90" t="n"/>
      <c r="AE524" s="88" t="n"/>
      <c r="AF524" s="91" t="n"/>
      <c r="AG524" s="91" t="n"/>
      <c r="AH524" s="88" t="n"/>
      <c r="AI524" s="88" t="n"/>
      <c r="AJ524" s="90" t="n"/>
      <c r="AK524" s="88" t="n"/>
      <c r="AL524" s="91" t="n"/>
      <c r="AM524" s="88" t="n"/>
      <c r="AN524" s="95" t="n"/>
      <c r="AO524" s="90" t="n"/>
      <c r="AP524" s="90" t="n"/>
    </row>
    <row r="525" ht="14.25" customHeight="1" s="84">
      <c r="A525" s="51" t="n"/>
      <c r="B525" s="47" t="n"/>
      <c r="C525" s="51" t="n"/>
      <c r="D525" s="51" t="n"/>
      <c r="E525" s="51" t="n"/>
      <c r="F525" s="51" t="n"/>
      <c r="G525" s="47" t="n"/>
      <c r="H525" s="51" t="n"/>
      <c r="I525" s="51" t="n"/>
      <c r="J525" s="51" t="n"/>
      <c r="K525" s="51" t="n"/>
      <c r="L525" s="51" t="n"/>
      <c r="N525" s="51" t="n"/>
      <c r="Q525" s="51" t="n"/>
      <c r="S525" s="51" t="n"/>
      <c r="T525" s="51" t="n"/>
      <c r="U525" s="51" t="inlineStr"/>
      <c r="V525" s="55" t="n"/>
      <c r="W525" s="51" t="inlineStr"/>
      <c r="X525" s="51" t="inlineStr"/>
      <c r="Y525" s="51" t="n"/>
      <c r="AB525" s="57" t="n"/>
      <c r="AC525" s="90" t="n"/>
      <c r="AD525" s="90" t="n"/>
      <c r="AE525" s="88" t="n"/>
      <c r="AF525" s="91" t="n"/>
      <c r="AG525" s="91" t="n"/>
      <c r="AH525" s="88" t="n"/>
      <c r="AI525" s="88" t="n"/>
      <c r="AJ525" s="90" t="n"/>
      <c r="AK525" s="88" t="n"/>
      <c r="AL525" s="91" t="n"/>
      <c r="AM525" s="88" t="n"/>
      <c r="AN525" s="95" t="n"/>
      <c r="AO525" s="90" t="n"/>
      <c r="AP525" s="90" t="n"/>
    </row>
    <row r="526" ht="14.25" customHeight="1" s="84">
      <c r="A526" s="51" t="n"/>
      <c r="B526" s="47" t="n"/>
      <c r="C526" s="51" t="n"/>
      <c r="D526" s="51" t="n"/>
      <c r="E526" s="51" t="n"/>
      <c r="F526" s="51" t="n"/>
      <c r="G526" s="47" t="n"/>
      <c r="H526" s="51" t="n"/>
      <c r="I526" s="51" t="n"/>
      <c r="J526" s="51" t="n"/>
      <c r="K526" s="51" t="n"/>
      <c r="L526" s="51" t="n"/>
      <c r="N526" s="51" t="n"/>
      <c r="Q526" s="51" t="n"/>
      <c r="S526" s="51" t="n"/>
      <c r="T526" s="51" t="n"/>
      <c r="U526" s="51" t="inlineStr"/>
      <c r="V526" s="55" t="n"/>
      <c r="W526" s="51" t="inlineStr"/>
      <c r="X526" s="51" t="inlineStr"/>
      <c r="Y526" s="51" t="n"/>
      <c r="AB526" s="57" t="n"/>
      <c r="AC526" s="90" t="n"/>
      <c r="AD526" s="90" t="n"/>
      <c r="AE526" s="88" t="n"/>
      <c r="AF526" s="91" t="n"/>
      <c r="AG526" s="91" t="n"/>
      <c r="AH526" s="88" t="n"/>
      <c r="AI526" s="88" t="n"/>
      <c r="AJ526" s="90" t="n"/>
      <c r="AK526" s="88" t="n"/>
      <c r="AL526" s="91" t="n"/>
      <c r="AM526" s="88" t="n"/>
      <c r="AN526" s="95" t="n"/>
      <c r="AO526" s="90" t="n"/>
      <c r="AP526" s="90" t="n"/>
    </row>
    <row r="527" ht="14.25" customHeight="1" s="84">
      <c r="A527" s="51" t="n"/>
      <c r="B527" s="47" t="n"/>
      <c r="C527" s="51" t="n"/>
      <c r="D527" s="51" t="n"/>
      <c r="E527" s="51" t="n"/>
      <c r="F527" s="51" t="n"/>
      <c r="G527" s="47" t="n"/>
      <c r="H527" s="51" t="n"/>
      <c r="I527" s="51" t="n"/>
      <c r="J527" s="51" t="n"/>
      <c r="K527" s="51" t="n"/>
      <c r="L527" s="51" t="n"/>
      <c r="N527" s="51" t="n"/>
      <c r="Q527" s="51" t="n"/>
      <c r="S527" s="51" t="n"/>
      <c r="T527" s="51" t="n"/>
      <c r="U527" s="51" t="inlineStr"/>
      <c r="V527" s="55" t="n"/>
      <c r="W527" s="51" t="inlineStr"/>
      <c r="X527" s="51" t="inlineStr"/>
      <c r="Y527" s="51" t="n"/>
      <c r="AB527" s="57" t="n"/>
      <c r="AC527" s="90" t="n"/>
      <c r="AD527" s="90" t="n"/>
      <c r="AE527" s="88" t="n"/>
      <c r="AF527" s="91" t="n"/>
      <c r="AG527" s="91" t="n"/>
      <c r="AH527" s="88" t="n"/>
      <c r="AI527" s="88" t="n"/>
      <c r="AJ527" s="90" t="n"/>
      <c r="AK527" s="88" t="n"/>
      <c r="AL527" s="91" t="n"/>
      <c r="AM527" s="88" t="n"/>
      <c r="AN527" s="95" t="n"/>
      <c r="AO527" s="90" t="n"/>
      <c r="AP527" s="90" t="n"/>
    </row>
    <row r="528" ht="14.25" customHeight="1" s="84">
      <c r="A528" s="51" t="n"/>
      <c r="B528" s="47" t="n"/>
      <c r="C528" s="51" t="n"/>
      <c r="D528" s="51" t="n"/>
      <c r="E528" s="51" t="n"/>
      <c r="F528" s="51" t="n"/>
      <c r="G528" s="47" t="n"/>
      <c r="H528" s="51" t="n"/>
      <c r="I528" s="51" t="n"/>
      <c r="J528" s="51" t="n"/>
      <c r="K528" s="51" t="n"/>
      <c r="L528" s="51" t="n"/>
      <c r="N528" s="51" t="n"/>
      <c r="Q528" s="51" t="n"/>
      <c r="S528" s="51" t="n"/>
      <c r="T528" s="51" t="n"/>
      <c r="U528" s="51" t="inlineStr"/>
      <c r="V528" s="55" t="n"/>
      <c r="W528" s="51" t="inlineStr"/>
      <c r="X528" s="51" t="inlineStr"/>
      <c r="Y528" s="51" t="n"/>
      <c r="AB528" s="57" t="n"/>
      <c r="AC528" s="90" t="n"/>
      <c r="AD528" s="90" t="n"/>
      <c r="AE528" s="88" t="n"/>
      <c r="AF528" s="91" t="n"/>
      <c r="AG528" s="91" t="n"/>
      <c r="AH528" s="88" t="n"/>
      <c r="AI528" s="88" t="n"/>
      <c r="AJ528" s="90" t="n"/>
      <c r="AK528" s="88" t="n"/>
      <c r="AL528" s="91" t="n"/>
      <c r="AM528" s="88" t="n"/>
      <c r="AN528" s="95" t="n"/>
      <c r="AO528" s="90" t="n"/>
      <c r="AP528" s="90" t="n"/>
    </row>
    <row r="529" ht="14.25" customHeight="1" s="84">
      <c r="A529" s="51" t="n"/>
      <c r="B529" s="47" t="n"/>
      <c r="C529" s="51" t="n"/>
      <c r="D529" s="51" t="n"/>
      <c r="E529" s="51" t="n"/>
      <c r="F529" s="51" t="n"/>
      <c r="G529" s="47" t="n"/>
      <c r="H529" s="51" t="n"/>
      <c r="I529" s="51" t="n"/>
      <c r="J529" s="51" t="n"/>
      <c r="K529" s="51" t="n"/>
      <c r="L529" s="51" t="n"/>
      <c r="N529" s="51" t="n"/>
      <c r="Q529" s="51" t="n"/>
      <c r="S529" s="51" t="n"/>
      <c r="T529" s="51" t="n"/>
      <c r="U529" s="51" t="inlineStr"/>
      <c r="V529" s="55" t="n"/>
      <c r="W529" s="51" t="inlineStr"/>
      <c r="X529" s="51" t="inlineStr"/>
      <c r="Y529" s="51" t="n"/>
      <c r="AB529" s="57" t="n"/>
      <c r="AC529" s="90" t="n"/>
      <c r="AD529" s="90" t="n"/>
      <c r="AE529" s="88" t="n"/>
      <c r="AF529" s="91" t="n"/>
      <c r="AG529" s="91" t="n"/>
      <c r="AH529" s="88" t="n"/>
      <c r="AI529" s="88" t="n"/>
      <c r="AJ529" s="90" t="n"/>
      <c r="AK529" s="88" t="n"/>
      <c r="AL529" s="91" t="n"/>
      <c r="AM529" s="88" t="n"/>
      <c r="AN529" s="95" t="n"/>
      <c r="AO529" s="90" t="n"/>
      <c r="AP529" s="90" t="n"/>
    </row>
    <row r="530" ht="14.25" customHeight="1" s="84">
      <c r="A530" s="51" t="n"/>
      <c r="B530" s="47" t="n"/>
      <c r="C530" s="51" t="n"/>
      <c r="D530" s="51" t="n"/>
      <c r="E530" s="51" t="n"/>
      <c r="F530" s="51" t="n"/>
      <c r="G530" s="47" t="n"/>
      <c r="H530" s="51" t="n"/>
      <c r="I530" s="51" t="n"/>
      <c r="J530" s="51" t="n"/>
      <c r="K530" s="51" t="n"/>
      <c r="L530" s="51" t="n"/>
      <c r="N530" s="51" t="n"/>
      <c r="Q530" s="51" t="n"/>
      <c r="S530" s="51" t="n"/>
      <c r="T530" s="51" t="n"/>
      <c r="U530" s="51" t="inlineStr"/>
      <c r="V530" s="55" t="n"/>
      <c r="W530" s="51" t="inlineStr"/>
      <c r="X530" s="51" t="inlineStr"/>
      <c r="Y530" s="51" t="n"/>
      <c r="AB530" s="57" t="n"/>
      <c r="AC530" s="90" t="n"/>
      <c r="AD530" s="90" t="n"/>
      <c r="AE530" s="88" t="n"/>
      <c r="AF530" s="91" t="n"/>
      <c r="AG530" s="91" t="n"/>
      <c r="AH530" s="88" t="n"/>
      <c r="AI530" s="88" t="n"/>
      <c r="AJ530" s="90" t="n"/>
      <c r="AK530" s="88" t="n"/>
      <c r="AL530" s="91" t="n"/>
      <c r="AM530" s="88" t="n"/>
      <c r="AN530" s="95" t="n"/>
      <c r="AO530" s="90" t="n"/>
      <c r="AP530" s="90" t="n"/>
    </row>
    <row r="531" ht="14.25" customHeight="1" s="84">
      <c r="A531" s="51" t="n"/>
      <c r="B531" s="47" t="n"/>
      <c r="C531" s="51" t="n"/>
      <c r="D531" s="51" t="n"/>
      <c r="E531" s="51" t="n"/>
      <c r="F531" s="51" t="n"/>
      <c r="G531" s="47" t="n"/>
      <c r="H531" s="51" t="n"/>
      <c r="I531" s="51" t="n"/>
      <c r="J531" s="51" t="n"/>
      <c r="K531" s="51" t="n"/>
      <c r="L531" s="51" t="n"/>
      <c r="N531" s="51" t="n"/>
      <c r="Q531" s="51" t="n"/>
      <c r="S531" s="51" t="n"/>
      <c r="T531" s="51" t="n"/>
      <c r="U531" s="51" t="inlineStr"/>
      <c r="V531" s="55" t="n"/>
      <c r="W531" s="51" t="inlineStr"/>
      <c r="X531" s="51" t="inlineStr"/>
      <c r="Y531" s="51" t="n"/>
      <c r="AB531" s="57" t="n"/>
      <c r="AC531" s="90" t="n"/>
      <c r="AD531" s="90" t="n"/>
      <c r="AE531" s="88" t="n"/>
      <c r="AF531" s="91" t="n"/>
      <c r="AG531" s="91" t="n"/>
      <c r="AH531" s="88" t="n"/>
      <c r="AI531" s="88" t="n"/>
      <c r="AJ531" s="90" t="n"/>
      <c r="AK531" s="88" t="n"/>
      <c r="AL531" s="91" t="n"/>
      <c r="AM531" s="88" t="n"/>
      <c r="AN531" s="95" t="n"/>
      <c r="AO531" s="90" t="n"/>
      <c r="AP531" s="90" t="n"/>
    </row>
    <row r="532" ht="14.25" customHeight="1" s="84">
      <c r="A532" s="51" t="n"/>
      <c r="B532" s="47" t="n"/>
      <c r="C532" s="51" t="n"/>
      <c r="D532" s="51" t="n"/>
      <c r="E532" s="51" t="n"/>
      <c r="F532" s="51" t="n"/>
      <c r="G532" s="47" t="n"/>
      <c r="H532" s="51" t="n"/>
      <c r="I532" s="51" t="n"/>
      <c r="J532" s="51" t="n"/>
      <c r="K532" s="51" t="n"/>
      <c r="L532" s="51" t="n"/>
      <c r="N532" s="51" t="n"/>
      <c r="Q532" s="51" t="n"/>
      <c r="S532" s="51" t="n"/>
      <c r="T532" s="51" t="n"/>
      <c r="U532" s="51" t="inlineStr"/>
      <c r="V532" s="55" t="n"/>
      <c r="W532" s="51" t="inlineStr"/>
      <c r="X532" s="51" t="inlineStr"/>
      <c r="Y532" s="51" t="n"/>
      <c r="AB532" s="57" t="n"/>
      <c r="AC532" s="90" t="n"/>
      <c r="AD532" s="90" t="n"/>
      <c r="AE532" s="88" t="n"/>
      <c r="AF532" s="91" t="n"/>
      <c r="AG532" s="91" t="n"/>
      <c r="AH532" s="88" t="n"/>
      <c r="AI532" s="88" t="n"/>
      <c r="AJ532" s="90" t="n"/>
      <c r="AK532" s="88" t="n"/>
      <c r="AL532" s="91" t="n"/>
      <c r="AM532" s="88" t="n"/>
      <c r="AN532" s="95" t="n"/>
      <c r="AO532" s="90" t="n"/>
      <c r="AP532" s="90" t="n"/>
    </row>
    <row r="533" ht="14.25" customHeight="1" s="84">
      <c r="A533" s="51" t="n"/>
      <c r="B533" s="47" t="n"/>
      <c r="C533" s="51" t="n"/>
      <c r="D533" s="51" t="n"/>
      <c r="E533" s="51" t="n"/>
      <c r="F533" s="51" t="n"/>
      <c r="G533" s="47" t="n"/>
      <c r="H533" s="51" t="n"/>
      <c r="I533" s="51" t="n"/>
      <c r="J533" s="51" t="n"/>
      <c r="K533" s="51" t="n"/>
      <c r="L533" s="51" t="n"/>
      <c r="N533" s="51" t="n"/>
      <c r="Q533" s="51" t="n"/>
      <c r="S533" s="51" t="n"/>
      <c r="T533" s="51" t="n"/>
      <c r="U533" s="51" t="inlineStr"/>
      <c r="V533" s="55" t="n"/>
      <c r="W533" s="51" t="inlineStr"/>
      <c r="X533" s="51" t="inlineStr"/>
      <c r="Y533" s="51" t="n"/>
      <c r="AB533" s="57" t="n"/>
      <c r="AC533" s="90" t="n"/>
      <c r="AD533" s="90" t="n"/>
      <c r="AE533" s="88" t="n"/>
      <c r="AF533" s="91" t="n"/>
      <c r="AG533" s="91" t="n"/>
      <c r="AH533" s="88" t="n"/>
      <c r="AI533" s="88" t="n"/>
      <c r="AJ533" s="90" t="n"/>
      <c r="AK533" s="88" t="n"/>
      <c r="AL533" s="91" t="n"/>
      <c r="AM533" s="88" t="n"/>
      <c r="AN533" s="95" t="n"/>
      <c r="AO533" s="90" t="n"/>
      <c r="AP533" s="90" t="n"/>
    </row>
    <row r="534" ht="14.25" customHeight="1" s="84">
      <c r="A534" s="51" t="n"/>
      <c r="B534" s="47" t="n"/>
      <c r="C534" s="51" t="n"/>
      <c r="D534" s="51" t="n"/>
      <c r="E534" s="51" t="n"/>
      <c r="F534" s="51" t="n"/>
      <c r="G534" s="47" t="n"/>
      <c r="H534" s="51" t="n"/>
      <c r="I534" s="51" t="n"/>
      <c r="J534" s="51" t="n"/>
      <c r="K534" s="51" t="n"/>
      <c r="L534" s="51" t="n"/>
      <c r="N534" s="51" t="n"/>
      <c r="Q534" s="51" t="n"/>
      <c r="S534" s="51" t="n"/>
      <c r="T534" s="51" t="n"/>
      <c r="U534" s="51" t="inlineStr"/>
      <c r="V534" s="55" t="n"/>
      <c r="W534" s="51" t="inlineStr"/>
      <c r="X534" s="51" t="inlineStr"/>
      <c r="Y534" s="51" t="n"/>
      <c r="AB534" s="57" t="n"/>
      <c r="AC534" s="90" t="n"/>
      <c r="AD534" s="90" t="n"/>
      <c r="AE534" s="88" t="n"/>
      <c r="AF534" s="91" t="n"/>
      <c r="AG534" s="91" t="n"/>
      <c r="AH534" s="88" t="n"/>
      <c r="AI534" s="88" t="n"/>
      <c r="AJ534" s="90" t="n"/>
      <c r="AK534" s="88" t="n"/>
      <c r="AL534" s="91" t="n"/>
      <c r="AM534" s="88" t="n"/>
      <c r="AN534" s="95" t="n"/>
      <c r="AO534" s="90" t="n"/>
      <c r="AP534" s="90" t="n"/>
    </row>
    <row r="535" ht="14.25" customHeight="1" s="84">
      <c r="A535" s="51" t="n"/>
      <c r="B535" s="47" t="n"/>
      <c r="C535" s="51" t="n"/>
      <c r="D535" s="51" t="n"/>
      <c r="E535" s="51" t="n"/>
      <c r="F535" s="51" t="n"/>
      <c r="G535" s="47" t="n"/>
      <c r="H535" s="51" t="n"/>
      <c r="I535" s="51" t="n"/>
      <c r="J535" s="51" t="n"/>
      <c r="K535" s="51" t="n"/>
      <c r="L535" s="51" t="n"/>
      <c r="N535" s="51" t="n"/>
      <c r="Q535" s="51" t="n"/>
      <c r="S535" s="51" t="n"/>
      <c r="T535" s="51" t="n"/>
      <c r="U535" s="51" t="inlineStr"/>
      <c r="V535" s="55" t="n"/>
      <c r="W535" s="51" t="inlineStr"/>
      <c r="X535" s="51" t="inlineStr"/>
      <c r="Y535" s="51" t="n"/>
      <c r="AB535" s="57" t="n"/>
      <c r="AC535" s="90" t="n"/>
      <c r="AD535" s="90" t="n"/>
      <c r="AE535" s="88" t="n"/>
      <c r="AF535" s="91" t="n"/>
      <c r="AG535" s="91" t="n"/>
      <c r="AH535" s="88" t="n"/>
      <c r="AI535" s="88" t="n"/>
      <c r="AJ535" s="90" t="n"/>
      <c r="AK535" s="88" t="n"/>
      <c r="AL535" s="91" t="n"/>
      <c r="AM535" s="88" t="n"/>
      <c r="AN535" s="95" t="n"/>
      <c r="AO535" s="90" t="n"/>
      <c r="AP535" s="90" t="n"/>
    </row>
    <row r="536" ht="14.25" customHeight="1" s="84">
      <c r="A536" s="51" t="n"/>
      <c r="B536" s="47" t="n"/>
      <c r="C536" s="51" t="n"/>
      <c r="D536" s="51" t="n"/>
      <c r="E536" s="51" t="n"/>
      <c r="F536" s="51" t="n"/>
      <c r="G536" s="47" t="n"/>
      <c r="H536" s="51" t="n"/>
      <c r="I536" s="51" t="n"/>
      <c r="J536" s="51" t="n"/>
      <c r="K536" s="51" t="n"/>
      <c r="L536" s="51" t="n"/>
      <c r="N536" s="51" t="n"/>
      <c r="Q536" s="51" t="n"/>
      <c r="S536" s="51" t="n"/>
      <c r="T536" s="51" t="n"/>
      <c r="U536" s="51" t="inlineStr"/>
      <c r="V536" s="55" t="n"/>
      <c r="W536" s="51" t="inlineStr"/>
      <c r="X536" s="51" t="inlineStr"/>
      <c r="Y536" s="51" t="n"/>
      <c r="AB536" s="57" t="n"/>
      <c r="AC536" s="90" t="n"/>
      <c r="AD536" s="90" t="n"/>
      <c r="AE536" s="88" t="n"/>
      <c r="AF536" s="91" t="n"/>
      <c r="AG536" s="91" t="n"/>
      <c r="AH536" s="88" t="n"/>
      <c r="AI536" s="88" t="n"/>
      <c r="AJ536" s="90" t="n"/>
      <c r="AK536" s="88" t="n"/>
      <c r="AL536" s="91" t="n"/>
      <c r="AM536" s="88" t="n"/>
      <c r="AN536" s="95" t="n"/>
      <c r="AO536" s="90" t="n"/>
      <c r="AP536" s="90" t="n"/>
    </row>
    <row r="537" ht="14.25" customHeight="1" s="84">
      <c r="A537" s="51" t="n"/>
      <c r="B537" s="47" t="n"/>
      <c r="C537" s="51" t="n"/>
      <c r="D537" s="51" t="n"/>
      <c r="E537" s="51" t="n"/>
      <c r="F537" s="51" t="n"/>
      <c r="G537" s="47" t="n"/>
      <c r="H537" s="51" t="n"/>
      <c r="I537" s="51" t="n"/>
      <c r="J537" s="51" t="n"/>
      <c r="K537" s="51" t="n"/>
      <c r="L537" s="51" t="n"/>
      <c r="N537" s="51" t="n"/>
      <c r="Q537" s="51" t="n"/>
      <c r="S537" s="51" t="n"/>
      <c r="T537" s="51" t="n"/>
      <c r="U537" s="51" t="inlineStr"/>
      <c r="V537" s="55" t="n"/>
      <c r="W537" s="51" t="inlineStr"/>
      <c r="X537" s="51" t="inlineStr"/>
      <c r="Y537" s="51" t="n"/>
      <c r="AB537" s="57" t="n"/>
      <c r="AC537" s="90" t="n"/>
      <c r="AD537" s="90" t="n"/>
      <c r="AE537" s="88" t="n"/>
      <c r="AF537" s="91" t="n"/>
      <c r="AG537" s="91" t="n"/>
      <c r="AH537" s="88" t="n"/>
      <c r="AI537" s="88" t="n"/>
      <c r="AJ537" s="90" t="n"/>
      <c r="AK537" s="88" t="n"/>
      <c r="AL537" s="91" t="n"/>
      <c r="AM537" s="88" t="n"/>
      <c r="AN537" s="95" t="n"/>
      <c r="AO537" s="90" t="n"/>
      <c r="AP537" s="90" t="n"/>
    </row>
    <row r="538" ht="14.25" customHeight="1" s="84">
      <c r="A538" s="51" t="n"/>
      <c r="B538" s="47" t="n"/>
      <c r="C538" s="51" t="n"/>
      <c r="D538" s="51" t="n"/>
      <c r="E538" s="51" t="n"/>
      <c r="F538" s="51" t="n"/>
      <c r="G538" s="47" t="n"/>
      <c r="H538" s="51" t="n"/>
      <c r="I538" s="51" t="n"/>
      <c r="J538" s="51" t="n"/>
      <c r="K538" s="51" t="n"/>
      <c r="L538" s="51" t="n"/>
      <c r="N538" s="51" t="n"/>
      <c r="Q538" s="51" t="n"/>
      <c r="S538" s="51" t="n"/>
      <c r="T538" s="51" t="n"/>
      <c r="U538" s="51" t="inlineStr"/>
      <c r="V538" s="55" t="n"/>
      <c r="W538" s="51" t="inlineStr"/>
      <c r="X538" s="51" t="inlineStr"/>
      <c r="Y538" s="51" t="n"/>
      <c r="AB538" s="57" t="n"/>
      <c r="AC538" s="90" t="n"/>
      <c r="AD538" s="90" t="n"/>
      <c r="AE538" s="88" t="n"/>
      <c r="AF538" s="91" t="n"/>
      <c r="AG538" s="91" t="n"/>
      <c r="AH538" s="88" t="n"/>
      <c r="AI538" s="88" t="n"/>
      <c r="AJ538" s="90" t="n"/>
      <c r="AK538" s="88" t="n"/>
      <c r="AL538" s="91" t="n"/>
      <c r="AM538" s="88" t="n"/>
      <c r="AN538" s="95" t="n"/>
      <c r="AO538" s="90" t="n"/>
      <c r="AP538" s="90" t="n"/>
    </row>
    <row r="539" ht="14.25" customHeight="1" s="84">
      <c r="A539" s="51" t="n"/>
      <c r="B539" s="47" t="n"/>
      <c r="C539" s="51" t="n"/>
      <c r="D539" s="51" t="n"/>
      <c r="E539" s="51" t="n"/>
      <c r="F539" s="51" t="n"/>
      <c r="G539" s="47" t="n"/>
      <c r="H539" s="51" t="n"/>
      <c r="I539" s="51" t="n"/>
      <c r="J539" s="51" t="n"/>
      <c r="K539" s="51" t="n"/>
      <c r="L539" s="51" t="n"/>
      <c r="N539" s="51" t="n"/>
      <c r="Q539" s="51" t="n"/>
      <c r="S539" s="51" t="n"/>
      <c r="T539" s="51" t="n"/>
      <c r="U539" s="51" t="inlineStr"/>
      <c r="V539" s="55" t="n"/>
      <c r="W539" s="51" t="inlineStr"/>
      <c r="X539" s="51" t="inlineStr"/>
      <c r="Y539" s="51" t="n"/>
      <c r="AB539" s="57" t="n"/>
      <c r="AC539" s="90" t="n"/>
      <c r="AD539" s="90" t="n"/>
      <c r="AE539" s="88" t="n"/>
      <c r="AF539" s="91" t="n"/>
      <c r="AG539" s="91" t="n"/>
      <c r="AH539" s="88" t="n"/>
      <c r="AI539" s="88" t="n"/>
      <c r="AJ539" s="90" t="n"/>
      <c r="AK539" s="88" t="n"/>
      <c r="AL539" s="91" t="n"/>
      <c r="AM539" s="88" t="n"/>
      <c r="AN539" s="95" t="n"/>
      <c r="AO539" s="90" t="n"/>
      <c r="AP539" s="90" t="n"/>
    </row>
    <row r="540" ht="14.25" customHeight="1" s="84">
      <c r="A540" s="51" t="n"/>
      <c r="B540" s="47" t="n"/>
      <c r="C540" s="51" t="n"/>
      <c r="D540" s="51" t="n"/>
      <c r="E540" s="51" t="n"/>
      <c r="F540" s="51" t="n"/>
      <c r="G540" s="47" t="n"/>
      <c r="H540" s="51" t="n"/>
      <c r="I540" s="51" t="n"/>
      <c r="J540" s="51" t="n"/>
      <c r="K540" s="51" t="n"/>
      <c r="L540" s="51" t="n"/>
      <c r="N540" s="51" t="n"/>
      <c r="Q540" s="51" t="n"/>
      <c r="S540" s="51" t="n"/>
      <c r="T540" s="51" t="n"/>
      <c r="U540" s="51" t="inlineStr"/>
      <c r="V540" s="55" t="n"/>
      <c r="W540" s="51" t="inlineStr"/>
      <c r="X540" s="51" t="inlineStr"/>
      <c r="Y540" s="51" t="n"/>
      <c r="AB540" s="57" t="n"/>
      <c r="AC540" s="90" t="n"/>
      <c r="AD540" s="90" t="n"/>
      <c r="AE540" s="88" t="n"/>
      <c r="AF540" s="91" t="n"/>
      <c r="AG540" s="91" t="n"/>
      <c r="AH540" s="88" t="n"/>
      <c r="AI540" s="88" t="n"/>
      <c r="AJ540" s="90" t="n"/>
      <c r="AK540" s="88" t="n"/>
      <c r="AL540" s="91" t="n"/>
      <c r="AM540" s="88" t="n"/>
      <c r="AN540" s="95" t="n"/>
      <c r="AO540" s="90" t="n"/>
      <c r="AP540" s="90" t="n"/>
    </row>
    <row r="541" ht="14.25" customHeight="1" s="84">
      <c r="A541" s="51" t="n"/>
      <c r="B541" s="47" t="n"/>
      <c r="C541" s="51" t="n"/>
      <c r="D541" s="51" t="n"/>
      <c r="E541" s="51" t="n"/>
      <c r="F541" s="51" t="n"/>
      <c r="G541" s="47" t="n"/>
      <c r="H541" s="51" t="n"/>
      <c r="I541" s="51" t="n"/>
      <c r="J541" s="51" t="n"/>
      <c r="K541" s="51" t="n"/>
      <c r="L541" s="51" t="n"/>
      <c r="N541" s="51" t="n"/>
      <c r="Q541" s="51" t="n"/>
      <c r="S541" s="51" t="n"/>
      <c r="T541" s="51" t="n"/>
      <c r="U541" s="51" t="inlineStr"/>
      <c r="V541" s="55" t="n"/>
      <c r="W541" s="51" t="inlineStr"/>
      <c r="X541" s="51" t="inlineStr"/>
      <c r="Y541" s="51" t="n"/>
      <c r="AB541" s="57" t="n"/>
      <c r="AC541" s="90" t="n"/>
      <c r="AD541" s="90" t="n"/>
      <c r="AE541" s="88" t="n"/>
      <c r="AF541" s="91" t="n"/>
      <c r="AG541" s="91" t="n"/>
      <c r="AH541" s="88" t="n"/>
      <c r="AI541" s="88" t="n"/>
      <c r="AJ541" s="90" t="n"/>
      <c r="AK541" s="88" t="n"/>
      <c r="AL541" s="91" t="n"/>
      <c r="AM541" s="88" t="n"/>
      <c r="AN541" s="95" t="n"/>
      <c r="AO541" s="90" t="n"/>
      <c r="AP541" s="90" t="n"/>
    </row>
    <row r="542" ht="14.25" customHeight="1" s="84">
      <c r="A542" s="51" t="n"/>
      <c r="B542" s="47" t="n"/>
      <c r="C542" s="51" t="n"/>
      <c r="D542" s="51" t="n"/>
      <c r="E542" s="51" t="n"/>
      <c r="F542" s="51" t="n"/>
      <c r="G542" s="47" t="n"/>
      <c r="H542" s="51" t="n"/>
      <c r="I542" s="51" t="n"/>
      <c r="J542" s="51" t="n"/>
      <c r="K542" s="51" t="n"/>
      <c r="L542" s="51" t="n"/>
      <c r="N542" s="51" t="n"/>
      <c r="Q542" s="51" t="n"/>
      <c r="S542" s="51" t="n"/>
      <c r="T542" s="51" t="n"/>
      <c r="U542" s="51" t="inlineStr"/>
      <c r="V542" s="55" t="n"/>
      <c r="W542" s="51" t="inlineStr"/>
      <c r="X542" s="51" t="inlineStr"/>
      <c r="Y542" s="51" t="n"/>
      <c r="AB542" s="57" t="n"/>
      <c r="AC542" s="90" t="n"/>
      <c r="AD542" s="90" t="n"/>
      <c r="AE542" s="88" t="n"/>
      <c r="AF542" s="91" t="n"/>
      <c r="AG542" s="91" t="n"/>
      <c r="AH542" s="88" t="n"/>
      <c r="AI542" s="88" t="n"/>
      <c r="AJ542" s="90" t="n"/>
      <c r="AK542" s="88" t="n"/>
      <c r="AL542" s="91" t="n"/>
      <c r="AM542" s="88" t="n"/>
      <c r="AN542" s="95" t="n"/>
      <c r="AO542" s="90" t="n"/>
      <c r="AP542" s="90" t="n"/>
    </row>
    <row r="543" ht="14.25" customHeight="1" s="84">
      <c r="A543" s="51" t="n"/>
      <c r="B543" s="47" t="n"/>
      <c r="C543" s="51" t="n"/>
      <c r="D543" s="51" t="n"/>
      <c r="E543" s="51" t="n"/>
      <c r="F543" s="51" t="n"/>
      <c r="G543" s="47" t="n"/>
      <c r="H543" s="51" t="n"/>
      <c r="I543" s="51" t="n"/>
      <c r="J543" s="51" t="n"/>
      <c r="K543" s="51" t="n"/>
      <c r="L543" s="51" t="n"/>
      <c r="N543" s="51" t="n"/>
      <c r="Q543" s="51" t="n"/>
      <c r="S543" s="51" t="n"/>
      <c r="T543" s="51" t="n"/>
      <c r="U543" s="51" t="inlineStr"/>
      <c r="V543" s="55" t="n"/>
      <c r="W543" s="51" t="inlineStr"/>
      <c r="X543" s="51" t="inlineStr"/>
      <c r="Y543" s="51" t="n"/>
      <c r="AB543" s="57" t="n"/>
      <c r="AC543" s="90" t="n"/>
      <c r="AD543" s="90" t="n"/>
      <c r="AE543" s="88" t="n"/>
      <c r="AF543" s="91" t="n"/>
      <c r="AG543" s="91" t="n"/>
      <c r="AH543" s="88" t="n"/>
      <c r="AI543" s="88" t="n"/>
      <c r="AJ543" s="90" t="n"/>
      <c r="AK543" s="88" t="n"/>
      <c r="AL543" s="91" t="n"/>
      <c r="AM543" s="88" t="n"/>
      <c r="AN543" s="95" t="n"/>
      <c r="AO543" s="90" t="n"/>
      <c r="AP543" s="90" t="n"/>
    </row>
    <row r="544" ht="14.25" customHeight="1" s="84">
      <c r="A544" s="51" t="n"/>
      <c r="B544" s="47" t="n"/>
      <c r="C544" s="51" t="n"/>
      <c r="D544" s="51" t="n"/>
      <c r="E544" s="51" t="n"/>
      <c r="F544" s="51" t="n"/>
      <c r="G544" s="47" t="n"/>
      <c r="H544" s="51" t="n"/>
      <c r="I544" s="51" t="n"/>
      <c r="J544" s="51" t="n"/>
      <c r="K544" s="51" t="n"/>
      <c r="L544" s="51" t="n"/>
      <c r="N544" s="51" t="n"/>
      <c r="Q544" s="51" t="n"/>
      <c r="S544" s="51" t="n"/>
      <c r="T544" s="51" t="n"/>
      <c r="U544" s="51" t="inlineStr"/>
      <c r="V544" s="55" t="n"/>
      <c r="W544" s="51" t="inlineStr"/>
      <c r="X544" s="51" t="inlineStr"/>
      <c r="Y544" s="51" t="n"/>
      <c r="AB544" s="57" t="n"/>
      <c r="AC544" s="90" t="n"/>
      <c r="AD544" s="90" t="n"/>
      <c r="AE544" s="88" t="n"/>
      <c r="AF544" s="91" t="n"/>
      <c r="AG544" s="91" t="n"/>
      <c r="AH544" s="88" t="n"/>
      <c r="AI544" s="88" t="n"/>
      <c r="AJ544" s="90" t="n"/>
      <c r="AK544" s="88" t="n"/>
      <c r="AL544" s="91" t="n"/>
      <c r="AM544" s="88" t="n"/>
      <c r="AN544" s="95" t="n"/>
      <c r="AO544" s="90" t="n"/>
      <c r="AP544" s="90" t="n"/>
    </row>
    <row r="545" ht="14.25" customHeight="1" s="84">
      <c r="A545" s="51" t="n"/>
      <c r="B545" s="47" t="n"/>
      <c r="C545" s="51" t="n"/>
      <c r="D545" s="51" t="n"/>
      <c r="E545" s="51" t="n"/>
      <c r="F545" s="51" t="n"/>
      <c r="G545" s="47" t="n"/>
      <c r="H545" s="51" t="n"/>
      <c r="I545" s="51" t="n"/>
      <c r="J545" s="51" t="n"/>
      <c r="K545" s="51" t="n"/>
      <c r="L545" s="51" t="n"/>
      <c r="N545" s="51" t="n"/>
      <c r="Q545" s="51" t="n"/>
      <c r="S545" s="51" t="n"/>
      <c r="T545" s="51" t="n"/>
      <c r="U545" s="51" t="inlineStr"/>
      <c r="V545" s="55" t="n"/>
      <c r="W545" s="51" t="inlineStr"/>
      <c r="X545" s="51" t="inlineStr"/>
      <c r="Y545" s="51" t="n"/>
      <c r="AB545" s="57" t="n"/>
      <c r="AC545" s="90" t="n"/>
      <c r="AD545" s="90" t="n"/>
      <c r="AE545" s="88" t="n"/>
      <c r="AF545" s="91" t="n"/>
      <c r="AG545" s="91" t="n"/>
      <c r="AH545" s="88" t="n"/>
      <c r="AI545" s="88" t="n"/>
      <c r="AJ545" s="90" t="n"/>
      <c r="AK545" s="88" t="n"/>
      <c r="AL545" s="91" t="n"/>
      <c r="AM545" s="88" t="n"/>
      <c r="AN545" s="95" t="n"/>
      <c r="AO545" s="90" t="n"/>
      <c r="AP545" s="90" t="n"/>
    </row>
    <row r="546" ht="14.25" customHeight="1" s="84">
      <c r="A546" s="51" t="n"/>
      <c r="B546" s="47" t="n"/>
      <c r="C546" s="51" t="n"/>
      <c r="D546" s="51" t="n"/>
      <c r="E546" s="51" t="n"/>
      <c r="F546" s="51" t="n"/>
      <c r="G546" s="47" t="n"/>
      <c r="H546" s="51" t="n"/>
      <c r="I546" s="51" t="n"/>
      <c r="J546" s="51" t="n"/>
      <c r="K546" s="51" t="n"/>
      <c r="L546" s="51" t="n"/>
      <c r="N546" s="51" t="n"/>
      <c r="Q546" s="51" t="n"/>
      <c r="S546" s="51" t="n"/>
      <c r="T546" s="51" t="n"/>
      <c r="U546" s="51" t="inlineStr"/>
      <c r="V546" s="55" t="n"/>
      <c r="W546" s="51" t="inlineStr"/>
      <c r="X546" s="51" t="inlineStr"/>
      <c r="Y546" s="51" t="n"/>
      <c r="AB546" s="57" t="n"/>
      <c r="AC546" s="90" t="n"/>
      <c r="AD546" s="90" t="n"/>
      <c r="AE546" s="88" t="n"/>
      <c r="AF546" s="91" t="n"/>
      <c r="AG546" s="91" t="n"/>
      <c r="AH546" s="88" t="n"/>
      <c r="AI546" s="88" t="n"/>
      <c r="AJ546" s="90" t="n"/>
      <c r="AK546" s="88" t="n"/>
      <c r="AL546" s="91" t="n"/>
      <c r="AM546" s="88" t="n"/>
      <c r="AN546" s="95" t="n"/>
      <c r="AO546" s="90" t="n"/>
      <c r="AP546" s="90" t="n"/>
    </row>
    <row r="547" ht="14.25" customHeight="1" s="84">
      <c r="A547" s="51" t="n"/>
      <c r="B547" s="47" t="n"/>
      <c r="C547" s="51" t="n"/>
      <c r="D547" s="51" t="n"/>
      <c r="E547" s="51" t="n"/>
      <c r="F547" s="51" t="n"/>
      <c r="G547" s="47" t="n"/>
      <c r="H547" s="51" t="n"/>
      <c r="I547" s="51" t="n"/>
      <c r="J547" s="51" t="n"/>
      <c r="K547" s="51" t="n"/>
      <c r="L547" s="51" t="n"/>
      <c r="N547" s="51" t="n"/>
      <c r="Q547" s="51" t="n"/>
      <c r="S547" s="51" t="n"/>
      <c r="T547" s="51" t="n"/>
      <c r="U547" s="51" t="inlineStr"/>
      <c r="V547" s="55" t="n"/>
      <c r="W547" s="51" t="inlineStr"/>
      <c r="X547" s="51" t="inlineStr"/>
      <c r="Y547" s="51" t="n"/>
      <c r="AB547" s="57" t="n"/>
      <c r="AC547" s="90" t="n"/>
      <c r="AD547" s="90" t="n"/>
      <c r="AE547" s="88" t="n"/>
      <c r="AF547" s="91" t="n"/>
      <c r="AG547" s="91" t="n"/>
      <c r="AH547" s="88" t="n"/>
      <c r="AI547" s="88" t="n"/>
      <c r="AJ547" s="90" t="n"/>
      <c r="AK547" s="88" t="n"/>
      <c r="AL547" s="91" t="n"/>
      <c r="AM547" s="88" t="n"/>
      <c r="AN547" s="95" t="n"/>
      <c r="AO547" s="90" t="n"/>
      <c r="AP547" s="90" t="n"/>
    </row>
    <row r="548" ht="14.25" customHeight="1" s="84">
      <c r="A548" s="51" t="n"/>
      <c r="B548" s="47" t="n"/>
      <c r="C548" s="51" t="n"/>
      <c r="D548" s="51" t="n"/>
      <c r="E548" s="51" t="n"/>
      <c r="F548" s="51" t="n"/>
      <c r="G548" s="47" t="n"/>
      <c r="H548" s="51" t="n"/>
      <c r="I548" s="51" t="n"/>
      <c r="J548" s="51" t="n"/>
      <c r="K548" s="51" t="n"/>
      <c r="L548" s="51" t="n"/>
      <c r="N548" s="51" t="n"/>
      <c r="Q548" s="51" t="n"/>
      <c r="S548" s="51" t="n"/>
      <c r="T548" s="51" t="n"/>
      <c r="U548" s="51" t="inlineStr"/>
      <c r="V548" s="55" t="n"/>
      <c r="W548" s="51" t="inlineStr"/>
      <c r="X548" s="51" t="inlineStr"/>
      <c r="Y548" s="51" t="n"/>
      <c r="AB548" s="57" t="n"/>
      <c r="AC548" s="90" t="n"/>
      <c r="AD548" s="90" t="n"/>
      <c r="AE548" s="88" t="n"/>
      <c r="AF548" s="91" t="n"/>
      <c r="AG548" s="91" t="n"/>
      <c r="AH548" s="88" t="n"/>
      <c r="AI548" s="88" t="n"/>
      <c r="AJ548" s="90" t="n"/>
      <c r="AK548" s="88" t="n"/>
      <c r="AL548" s="91" t="n"/>
      <c r="AM548" s="88" t="n"/>
      <c r="AN548" s="95" t="n"/>
      <c r="AO548" s="90" t="n"/>
      <c r="AP548" s="90" t="n"/>
    </row>
    <row r="549" ht="14.25" customHeight="1" s="84">
      <c r="A549" s="51" t="n"/>
      <c r="B549" s="47" t="n"/>
      <c r="C549" s="51" t="n"/>
      <c r="D549" s="51" t="n"/>
      <c r="E549" s="51" t="n"/>
      <c r="F549" s="51" t="n"/>
      <c r="G549" s="47" t="n"/>
      <c r="H549" s="51" t="n"/>
      <c r="I549" s="51" t="n"/>
      <c r="J549" s="51" t="n"/>
      <c r="K549" s="51" t="n"/>
      <c r="L549" s="51" t="n"/>
      <c r="N549" s="51" t="n"/>
      <c r="Q549" s="51" t="n"/>
      <c r="S549" s="51" t="n"/>
      <c r="T549" s="51" t="n"/>
      <c r="U549" s="51" t="inlineStr"/>
      <c r="V549" s="55" t="n"/>
      <c r="W549" s="51" t="inlineStr"/>
      <c r="X549" s="51" t="inlineStr"/>
      <c r="Y549" s="51" t="n"/>
      <c r="AB549" s="57" t="n"/>
      <c r="AC549" s="90" t="n"/>
      <c r="AD549" s="90" t="n"/>
      <c r="AE549" s="88" t="n"/>
      <c r="AF549" s="91" t="n"/>
      <c r="AG549" s="91" t="n"/>
      <c r="AH549" s="88" t="n"/>
      <c r="AI549" s="88" t="n"/>
      <c r="AJ549" s="90" t="n"/>
      <c r="AK549" s="88" t="n"/>
      <c r="AL549" s="91" t="n"/>
      <c r="AM549" s="88" t="n"/>
      <c r="AN549" s="95" t="n"/>
      <c r="AO549" s="90" t="n"/>
      <c r="AP549" s="90" t="n"/>
    </row>
    <row r="550" ht="14.25" customHeight="1" s="84">
      <c r="A550" s="51" t="n"/>
      <c r="B550" s="47" t="n"/>
      <c r="C550" s="51" t="n"/>
      <c r="D550" s="51" t="n"/>
      <c r="E550" s="51" t="n"/>
      <c r="F550" s="51" t="n"/>
      <c r="G550" s="47" t="n"/>
      <c r="H550" s="51" t="n"/>
      <c r="I550" s="51" t="n"/>
      <c r="J550" s="51" t="n"/>
      <c r="K550" s="51" t="n"/>
      <c r="L550" s="51" t="n"/>
      <c r="N550" s="51" t="n"/>
      <c r="Q550" s="51" t="n"/>
      <c r="S550" s="51" t="n"/>
      <c r="T550" s="51" t="n"/>
      <c r="U550" s="51" t="inlineStr"/>
      <c r="V550" s="55" t="n"/>
      <c r="W550" s="51" t="inlineStr"/>
      <c r="X550" s="51" t="inlineStr"/>
      <c r="Y550" s="51" t="n"/>
      <c r="AB550" s="57" t="n"/>
      <c r="AC550" s="90" t="n"/>
      <c r="AD550" s="90" t="n"/>
      <c r="AE550" s="88" t="n"/>
      <c r="AF550" s="91" t="n"/>
      <c r="AG550" s="91" t="n"/>
      <c r="AH550" s="88" t="n"/>
      <c r="AI550" s="88" t="n"/>
      <c r="AJ550" s="90" t="n"/>
      <c r="AK550" s="88" t="n"/>
      <c r="AL550" s="91" t="n"/>
      <c r="AM550" s="88" t="n"/>
      <c r="AN550" s="95" t="n"/>
      <c r="AO550" s="90" t="n"/>
      <c r="AP550" s="90" t="n"/>
    </row>
    <row r="551" ht="14.25" customHeight="1" s="84">
      <c r="A551" s="51" t="n"/>
      <c r="B551" s="47" t="n"/>
      <c r="C551" s="51" t="n"/>
      <c r="D551" s="51" t="n"/>
      <c r="E551" s="51" t="n"/>
      <c r="F551" s="51" t="n"/>
      <c r="G551" s="47" t="n"/>
      <c r="H551" s="51" t="n"/>
      <c r="I551" s="51" t="n"/>
      <c r="J551" s="51" t="n"/>
      <c r="K551" s="51" t="n"/>
      <c r="L551" s="51" t="n"/>
      <c r="N551" s="51" t="n"/>
      <c r="Q551" s="51" t="n"/>
      <c r="S551" s="51" t="n"/>
      <c r="T551" s="51" t="n"/>
      <c r="U551" s="51" t="inlineStr"/>
      <c r="V551" s="55" t="n"/>
      <c r="W551" s="51" t="inlineStr"/>
      <c r="X551" s="51" t="inlineStr"/>
      <c r="Y551" s="51" t="n"/>
      <c r="AB551" s="57" t="n"/>
      <c r="AC551" s="90" t="n"/>
      <c r="AD551" s="90" t="n"/>
      <c r="AE551" s="88" t="n"/>
      <c r="AF551" s="91" t="n"/>
      <c r="AG551" s="91" t="n"/>
      <c r="AH551" s="88" t="n"/>
      <c r="AI551" s="88" t="n"/>
      <c r="AJ551" s="90" t="n"/>
      <c r="AK551" s="88" t="n"/>
      <c r="AL551" s="91" t="n"/>
      <c r="AM551" s="88" t="n"/>
      <c r="AN551" s="95" t="n"/>
      <c r="AO551" s="90" t="n"/>
      <c r="AP551" s="90" t="n"/>
    </row>
    <row r="552" ht="14.25" customHeight="1" s="84">
      <c r="A552" s="51" t="n"/>
      <c r="B552" s="47" t="n"/>
      <c r="C552" s="51" t="n"/>
      <c r="D552" s="51" t="n"/>
      <c r="E552" s="51" t="n"/>
      <c r="F552" s="51" t="n"/>
      <c r="G552" s="47" t="n"/>
      <c r="H552" s="51" t="n"/>
      <c r="I552" s="51" t="n"/>
      <c r="J552" s="51" t="n"/>
      <c r="K552" s="51" t="n"/>
      <c r="L552" s="51" t="n"/>
      <c r="N552" s="51" t="n"/>
      <c r="Q552" s="51" t="n"/>
      <c r="S552" s="51" t="n"/>
      <c r="T552" s="51" t="n"/>
      <c r="U552" s="51" t="inlineStr"/>
      <c r="V552" s="55" t="n"/>
      <c r="W552" s="51" t="inlineStr"/>
      <c r="X552" s="51" t="inlineStr"/>
      <c r="Y552" s="51" t="n"/>
      <c r="AB552" s="57" t="n"/>
      <c r="AC552" s="90" t="n"/>
      <c r="AD552" s="90" t="n"/>
      <c r="AE552" s="88" t="n"/>
      <c r="AF552" s="91" t="n"/>
      <c r="AG552" s="91" t="n"/>
      <c r="AH552" s="88" t="n"/>
      <c r="AI552" s="88" t="n"/>
      <c r="AJ552" s="90" t="n"/>
      <c r="AK552" s="88" t="n"/>
      <c r="AL552" s="91" t="n"/>
      <c r="AM552" s="88" t="n"/>
      <c r="AN552" s="95" t="n"/>
      <c r="AO552" s="90" t="n"/>
      <c r="AP552" s="90" t="n"/>
    </row>
    <row r="553" ht="14.25" customHeight="1" s="84">
      <c r="A553" s="51" t="n"/>
      <c r="B553" s="47" t="n"/>
      <c r="C553" s="51" t="n"/>
      <c r="D553" s="51" t="n"/>
      <c r="E553" s="51" t="n"/>
      <c r="F553" s="51" t="n"/>
      <c r="G553" s="47" t="n"/>
      <c r="H553" s="51" t="n"/>
      <c r="I553" s="51" t="n"/>
      <c r="J553" s="51" t="n"/>
      <c r="K553" s="51" t="n"/>
      <c r="L553" s="51" t="n"/>
      <c r="N553" s="51" t="n"/>
      <c r="Q553" s="51" t="n"/>
      <c r="S553" s="51" t="n"/>
      <c r="T553" s="51" t="n"/>
      <c r="U553" s="51" t="inlineStr"/>
      <c r="V553" s="55" t="n"/>
      <c r="W553" s="51" t="inlineStr"/>
      <c r="X553" s="51" t="inlineStr"/>
      <c r="Y553" s="51" t="n"/>
      <c r="AB553" s="57" t="n"/>
      <c r="AC553" s="90" t="n"/>
      <c r="AD553" s="90" t="n"/>
      <c r="AE553" s="88" t="n"/>
      <c r="AF553" s="91" t="n"/>
      <c r="AG553" s="91" t="n"/>
      <c r="AH553" s="88" t="n"/>
      <c r="AI553" s="88" t="n"/>
      <c r="AJ553" s="90" t="n"/>
      <c r="AK553" s="88" t="n"/>
      <c r="AL553" s="91" t="n"/>
      <c r="AM553" s="88" t="n"/>
      <c r="AN553" s="95" t="n"/>
      <c r="AO553" s="90" t="n"/>
      <c r="AP553" s="90" t="n"/>
    </row>
    <row r="554" ht="14.25" customHeight="1" s="84">
      <c r="A554" s="51" t="n"/>
      <c r="B554" s="47" t="n"/>
      <c r="C554" s="51" t="n"/>
      <c r="D554" s="51" t="n"/>
      <c r="E554" s="51" t="n"/>
      <c r="F554" s="51" t="n"/>
      <c r="G554" s="47" t="n"/>
      <c r="H554" s="51" t="n"/>
      <c r="I554" s="51" t="n"/>
      <c r="J554" s="51" t="n"/>
      <c r="K554" s="51" t="n"/>
      <c r="L554" s="51" t="n"/>
      <c r="N554" s="51" t="n"/>
      <c r="Q554" s="51" t="n"/>
      <c r="S554" s="51" t="n"/>
      <c r="T554" s="51" t="n"/>
      <c r="U554" s="51" t="inlineStr"/>
      <c r="V554" s="55" t="n"/>
      <c r="W554" s="51" t="inlineStr"/>
      <c r="X554" s="51" t="inlineStr"/>
      <c r="Y554" s="51" t="n"/>
      <c r="AB554" s="57" t="n"/>
      <c r="AC554" s="90" t="n"/>
      <c r="AD554" s="90" t="n"/>
      <c r="AE554" s="88" t="n"/>
      <c r="AF554" s="91" t="n"/>
      <c r="AG554" s="91" t="n"/>
      <c r="AH554" s="88" t="n"/>
      <c r="AI554" s="88" t="n"/>
      <c r="AJ554" s="90" t="n"/>
      <c r="AK554" s="88" t="n"/>
      <c r="AL554" s="91" t="n"/>
      <c r="AM554" s="88" t="n"/>
      <c r="AN554" s="95" t="n"/>
      <c r="AO554" s="90" t="n"/>
      <c r="AP554" s="90" t="n"/>
    </row>
    <row r="555" ht="14.25" customHeight="1" s="84">
      <c r="A555" s="51" t="n"/>
      <c r="B555" s="47" t="n"/>
      <c r="C555" s="51" t="n"/>
      <c r="D555" s="51" t="n"/>
      <c r="E555" s="51" t="n"/>
      <c r="F555" s="51" t="n"/>
      <c r="G555" s="47" t="n"/>
      <c r="H555" s="51" t="n"/>
      <c r="I555" s="51" t="n"/>
      <c r="J555" s="51" t="n"/>
      <c r="K555" s="51" t="n"/>
      <c r="L555" s="51" t="n"/>
      <c r="N555" s="51" t="n"/>
      <c r="Q555" s="51" t="n"/>
      <c r="S555" s="51" t="n"/>
      <c r="T555" s="51" t="n"/>
      <c r="U555" s="51" t="inlineStr"/>
      <c r="V555" s="55" t="n"/>
      <c r="W555" s="51" t="inlineStr"/>
      <c r="X555" s="51" t="inlineStr"/>
      <c r="Y555" s="51" t="n"/>
      <c r="AB555" s="57" t="n"/>
      <c r="AC555" s="90" t="n"/>
      <c r="AD555" s="90" t="n"/>
      <c r="AE555" s="88" t="n"/>
      <c r="AF555" s="91" t="n"/>
      <c r="AG555" s="91" t="n"/>
      <c r="AH555" s="88" t="n"/>
      <c r="AI555" s="88" t="n"/>
      <c r="AJ555" s="90" t="n"/>
      <c r="AK555" s="88" t="n"/>
      <c r="AL555" s="91" t="n"/>
      <c r="AM555" s="88" t="n"/>
      <c r="AN555" s="95" t="n"/>
      <c r="AO555" s="90" t="n"/>
      <c r="AP555" s="90" t="n"/>
    </row>
    <row r="556" ht="14.25" customHeight="1" s="84">
      <c r="A556" s="51" t="n"/>
      <c r="B556" s="47" t="n"/>
      <c r="C556" s="51" t="n"/>
      <c r="D556" s="51" t="n"/>
      <c r="E556" s="51" t="n"/>
      <c r="F556" s="51" t="n"/>
      <c r="G556" s="47" t="n"/>
      <c r="H556" s="51" t="n"/>
      <c r="I556" s="51" t="n"/>
      <c r="J556" s="51" t="n"/>
      <c r="K556" s="51" t="n"/>
      <c r="L556" s="51" t="n"/>
      <c r="N556" s="51" t="n"/>
      <c r="Q556" s="51" t="n"/>
      <c r="S556" s="51" t="n"/>
      <c r="T556" s="51" t="n"/>
      <c r="U556" s="51" t="inlineStr"/>
      <c r="V556" s="55" t="n"/>
      <c r="W556" s="51" t="inlineStr"/>
      <c r="X556" s="51" t="inlineStr"/>
      <c r="Y556" s="51" t="n"/>
      <c r="AB556" s="57" t="n"/>
      <c r="AC556" s="90" t="n"/>
      <c r="AD556" s="90" t="n"/>
      <c r="AE556" s="88" t="n"/>
      <c r="AF556" s="91" t="n"/>
      <c r="AG556" s="91" t="n"/>
      <c r="AH556" s="88" t="n"/>
      <c r="AI556" s="88" t="n"/>
      <c r="AJ556" s="90" t="n"/>
      <c r="AK556" s="88" t="n"/>
      <c r="AL556" s="91" t="n"/>
      <c r="AM556" s="88" t="n"/>
      <c r="AN556" s="95" t="n"/>
      <c r="AO556" s="90" t="n"/>
      <c r="AP556" s="90" t="n"/>
    </row>
    <row r="557" ht="14.25" customHeight="1" s="84">
      <c r="A557" s="51" t="n"/>
      <c r="B557" s="47" t="n"/>
      <c r="C557" s="51" t="n"/>
      <c r="D557" s="51" t="n"/>
      <c r="E557" s="51" t="n"/>
      <c r="F557" s="51" t="n"/>
      <c r="G557" s="47" t="n"/>
      <c r="H557" s="51" t="n"/>
      <c r="I557" s="51" t="n"/>
      <c r="J557" s="51" t="n"/>
      <c r="K557" s="51" t="n"/>
      <c r="L557" s="51" t="n"/>
      <c r="N557" s="51" t="n"/>
      <c r="Q557" s="51" t="n"/>
      <c r="S557" s="51" t="n"/>
      <c r="T557" s="51" t="n"/>
      <c r="U557" s="51" t="inlineStr"/>
      <c r="V557" s="55" t="n"/>
      <c r="W557" s="51" t="inlineStr"/>
      <c r="X557" s="51" t="inlineStr"/>
      <c r="Y557" s="51" t="n"/>
      <c r="AB557" s="57" t="n"/>
      <c r="AC557" s="90" t="n"/>
      <c r="AD557" s="90" t="n"/>
      <c r="AE557" s="88" t="n"/>
      <c r="AF557" s="91" t="n"/>
      <c r="AG557" s="91" t="n"/>
      <c r="AH557" s="88" t="n"/>
      <c r="AI557" s="88" t="n"/>
      <c r="AJ557" s="90" t="n"/>
      <c r="AK557" s="88" t="n"/>
      <c r="AL557" s="91" t="n"/>
      <c r="AM557" s="88" t="n"/>
      <c r="AN557" s="95" t="n"/>
      <c r="AO557" s="90" t="n"/>
      <c r="AP557" s="90" t="n"/>
    </row>
    <row r="558" ht="14.25" customHeight="1" s="84">
      <c r="A558" s="51" t="n"/>
      <c r="B558" s="47" t="n"/>
      <c r="C558" s="51" t="n"/>
      <c r="D558" s="51" t="n"/>
      <c r="E558" s="51" t="n"/>
      <c r="F558" s="51" t="n"/>
      <c r="G558" s="47" t="n"/>
      <c r="H558" s="51" t="n"/>
      <c r="I558" s="51" t="n"/>
      <c r="J558" s="51" t="n"/>
      <c r="K558" s="51" t="n"/>
      <c r="L558" s="51" t="n"/>
      <c r="N558" s="51" t="n"/>
      <c r="Q558" s="51" t="n"/>
      <c r="S558" s="51" t="n"/>
      <c r="T558" s="51" t="n"/>
      <c r="U558" s="51" t="inlineStr"/>
      <c r="V558" s="55" t="n"/>
      <c r="W558" s="51" t="inlineStr"/>
      <c r="X558" s="51" t="inlineStr"/>
      <c r="Y558" s="51" t="n"/>
      <c r="AB558" s="57" t="n"/>
      <c r="AC558" s="90" t="n"/>
      <c r="AD558" s="90" t="n"/>
      <c r="AE558" s="88" t="n"/>
      <c r="AF558" s="91" t="n"/>
      <c r="AG558" s="91" t="n"/>
      <c r="AH558" s="88" t="n"/>
      <c r="AI558" s="88" t="n"/>
      <c r="AJ558" s="90" t="n"/>
      <c r="AK558" s="88" t="n"/>
      <c r="AL558" s="91" t="n"/>
      <c r="AM558" s="88" t="n"/>
      <c r="AN558" s="95" t="n"/>
      <c r="AO558" s="90" t="n"/>
      <c r="AP558" s="90" t="n"/>
    </row>
    <row r="559" ht="14.25" customHeight="1" s="84">
      <c r="A559" s="51" t="n"/>
      <c r="B559" s="47" t="n"/>
      <c r="C559" s="51" t="n"/>
      <c r="D559" s="51" t="n"/>
      <c r="E559" s="51" t="n"/>
      <c r="F559" s="51" t="n"/>
      <c r="G559" s="47" t="n"/>
      <c r="H559" s="51" t="n"/>
      <c r="I559" s="51" t="n"/>
      <c r="J559" s="51" t="n"/>
      <c r="K559" s="51" t="n"/>
      <c r="L559" s="51" t="n"/>
      <c r="N559" s="51" t="n"/>
      <c r="Q559" s="51" t="n"/>
      <c r="S559" s="51" t="n"/>
      <c r="T559" s="51" t="n"/>
      <c r="U559" s="51" t="inlineStr"/>
      <c r="V559" s="55" t="n"/>
      <c r="W559" s="51" t="inlineStr"/>
      <c r="X559" s="51" t="inlineStr"/>
      <c r="Y559" s="51" t="n"/>
      <c r="AB559" s="57" t="n"/>
      <c r="AC559" s="90" t="n"/>
      <c r="AD559" s="90" t="n"/>
      <c r="AE559" s="88" t="n"/>
      <c r="AF559" s="91" t="n"/>
      <c r="AG559" s="91" t="n"/>
      <c r="AH559" s="88" t="n"/>
      <c r="AI559" s="88" t="n"/>
      <c r="AJ559" s="90" t="n"/>
      <c r="AK559" s="88" t="n"/>
      <c r="AL559" s="91" t="n"/>
      <c r="AM559" s="88" t="n"/>
      <c r="AN559" s="95" t="n"/>
      <c r="AO559" s="90" t="n"/>
      <c r="AP559" s="90" t="n"/>
    </row>
    <row r="560" ht="14.25" customHeight="1" s="84">
      <c r="A560" s="51" t="n"/>
      <c r="B560" s="47" t="n"/>
      <c r="C560" s="51" t="n"/>
      <c r="D560" s="51" t="n"/>
      <c r="E560" s="51" t="n"/>
      <c r="F560" s="51" t="n"/>
      <c r="G560" s="47" t="n"/>
      <c r="H560" s="51" t="n"/>
      <c r="I560" s="51" t="n"/>
      <c r="J560" s="51" t="n"/>
      <c r="K560" s="51" t="n"/>
      <c r="L560" s="51" t="n"/>
      <c r="N560" s="51" t="n"/>
      <c r="Q560" s="51" t="n"/>
      <c r="S560" s="51" t="n"/>
      <c r="T560" s="51" t="n"/>
      <c r="U560" s="51" t="inlineStr"/>
      <c r="V560" s="55" t="n"/>
      <c r="W560" s="51" t="inlineStr"/>
      <c r="X560" s="51" t="inlineStr"/>
      <c r="Y560" s="51" t="n"/>
      <c r="AB560" s="57" t="n"/>
      <c r="AC560" s="90" t="n"/>
      <c r="AD560" s="90" t="n"/>
      <c r="AE560" s="88" t="n"/>
      <c r="AF560" s="91" t="n"/>
      <c r="AG560" s="91" t="n"/>
      <c r="AH560" s="88" t="n"/>
      <c r="AI560" s="88" t="n"/>
      <c r="AJ560" s="90" t="n"/>
      <c r="AK560" s="88" t="n"/>
      <c r="AL560" s="91" t="n"/>
      <c r="AM560" s="88" t="n"/>
      <c r="AN560" s="95" t="n"/>
      <c r="AO560" s="90" t="n"/>
      <c r="AP560" s="90" t="n"/>
    </row>
    <row r="561" ht="14.25" customHeight="1" s="84">
      <c r="A561" s="51" t="n"/>
      <c r="B561" s="47" t="n"/>
      <c r="C561" s="51" t="n"/>
      <c r="D561" s="51" t="n"/>
      <c r="E561" s="51" t="n"/>
      <c r="F561" s="51" t="n"/>
      <c r="G561" s="47" t="n"/>
      <c r="H561" s="51" t="n"/>
      <c r="I561" s="51" t="n"/>
      <c r="J561" s="51" t="n"/>
      <c r="K561" s="51" t="n"/>
      <c r="L561" s="51" t="n"/>
      <c r="N561" s="51" t="n"/>
      <c r="Q561" s="51" t="n"/>
      <c r="S561" s="51" t="n"/>
      <c r="T561" s="51" t="n"/>
      <c r="U561" s="51" t="inlineStr"/>
      <c r="V561" s="55" t="n"/>
      <c r="W561" s="51" t="inlineStr"/>
      <c r="X561" s="51" t="inlineStr"/>
      <c r="Y561" s="51" t="n"/>
      <c r="AB561" s="57" t="n"/>
      <c r="AC561" s="90" t="n"/>
      <c r="AD561" s="90" t="n"/>
      <c r="AE561" s="88" t="n"/>
      <c r="AF561" s="91" t="n"/>
      <c r="AG561" s="91" t="n"/>
      <c r="AH561" s="88" t="n"/>
      <c r="AI561" s="88" t="n"/>
      <c r="AJ561" s="90" t="n"/>
      <c r="AK561" s="88" t="n"/>
      <c r="AL561" s="91" t="n"/>
      <c r="AM561" s="88" t="n"/>
      <c r="AN561" s="95" t="n"/>
      <c r="AO561" s="90" t="n"/>
      <c r="AP561" s="90" t="n"/>
    </row>
    <row r="562" ht="14.25" customHeight="1" s="84">
      <c r="A562" s="51" t="n"/>
      <c r="B562" s="47" t="n"/>
      <c r="C562" s="51" t="n"/>
      <c r="D562" s="51" t="n"/>
      <c r="E562" s="51" t="n"/>
      <c r="F562" s="51" t="n"/>
      <c r="G562" s="47" t="n"/>
      <c r="H562" s="51" t="n"/>
      <c r="I562" s="51" t="n"/>
      <c r="J562" s="51" t="n"/>
      <c r="K562" s="51" t="n"/>
      <c r="L562" s="51" t="n"/>
      <c r="N562" s="51" t="n"/>
      <c r="Q562" s="51" t="n"/>
      <c r="S562" s="51" t="n"/>
      <c r="T562" s="51" t="n"/>
      <c r="U562" s="51" t="inlineStr"/>
      <c r="V562" s="55" t="n"/>
      <c r="W562" s="51" t="inlineStr"/>
      <c r="X562" s="51" t="inlineStr"/>
      <c r="Y562" s="51" t="n"/>
      <c r="AB562" s="57" t="n"/>
      <c r="AC562" s="90" t="n"/>
      <c r="AD562" s="90" t="n"/>
      <c r="AE562" s="88" t="n"/>
      <c r="AF562" s="91" t="n"/>
      <c r="AG562" s="91" t="n"/>
      <c r="AH562" s="88" t="n"/>
      <c r="AI562" s="88" t="n"/>
      <c r="AJ562" s="90" t="n"/>
      <c r="AK562" s="88" t="n"/>
      <c r="AL562" s="91" t="n"/>
      <c r="AM562" s="88" t="n"/>
      <c r="AN562" s="95" t="n"/>
      <c r="AO562" s="90" t="n"/>
      <c r="AP562" s="90" t="n"/>
    </row>
    <row r="563" ht="14.25" customHeight="1" s="84">
      <c r="A563" s="51" t="n"/>
      <c r="B563" s="47" t="n"/>
      <c r="C563" s="51" t="n"/>
      <c r="D563" s="51" t="n"/>
      <c r="E563" s="51" t="n"/>
      <c r="F563" s="51" t="n"/>
      <c r="G563" s="47" t="n"/>
      <c r="H563" s="51" t="n"/>
      <c r="I563" s="51" t="n"/>
      <c r="J563" s="51" t="n"/>
      <c r="K563" s="51" t="n"/>
      <c r="L563" s="51" t="n"/>
      <c r="N563" s="51" t="n"/>
      <c r="Q563" s="51" t="n"/>
      <c r="S563" s="51" t="n"/>
      <c r="T563" s="51" t="n"/>
      <c r="U563" s="51" t="inlineStr"/>
      <c r="V563" s="55" t="n"/>
      <c r="W563" s="51" t="inlineStr"/>
      <c r="X563" s="51" t="inlineStr"/>
      <c r="Y563" s="51" t="n"/>
      <c r="AB563" s="57" t="n"/>
      <c r="AC563" s="90" t="n"/>
      <c r="AD563" s="90" t="n"/>
      <c r="AE563" s="88" t="n"/>
      <c r="AF563" s="91" t="n"/>
      <c r="AG563" s="91" t="n"/>
      <c r="AH563" s="88" t="n"/>
      <c r="AI563" s="88" t="n"/>
      <c r="AJ563" s="90" t="n"/>
      <c r="AK563" s="88" t="n"/>
      <c r="AL563" s="91" t="n"/>
      <c r="AM563" s="88" t="n"/>
      <c r="AN563" s="95" t="n"/>
      <c r="AO563" s="90" t="n"/>
      <c r="AP563" s="90" t="n"/>
    </row>
    <row r="564" ht="14.25" customHeight="1" s="84">
      <c r="A564" s="51" t="n"/>
      <c r="B564" s="47" t="n"/>
      <c r="C564" s="51" t="n"/>
      <c r="D564" s="51" t="n"/>
      <c r="E564" s="51" t="n"/>
      <c r="F564" s="51" t="n"/>
      <c r="G564" s="47" t="n"/>
      <c r="H564" s="51" t="n"/>
      <c r="I564" s="51" t="n"/>
      <c r="J564" s="51" t="n"/>
      <c r="K564" s="51" t="n"/>
      <c r="L564" s="51" t="n"/>
      <c r="N564" s="51" t="n"/>
      <c r="Q564" s="51" t="n"/>
      <c r="S564" s="51" t="n"/>
      <c r="T564" s="51" t="n"/>
      <c r="U564" s="51" t="inlineStr"/>
      <c r="V564" s="55" t="n"/>
      <c r="W564" s="51" t="inlineStr"/>
      <c r="X564" s="51" t="inlineStr"/>
      <c r="Y564" s="51" t="n"/>
      <c r="AB564" s="57" t="n"/>
      <c r="AC564" s="90" t="n"/>
      <c r="AD564" s="90" t="n"/>
      <c r="AE564" s="88" t="n"/>
      <c r="AF564" s="91" t="n"/>
      <c r="AG564" s="91" t="n"/>
      <c r="AH564" s="88" t="n"/>
      <c r="AI564" s="88" t="n"/>
      <c r="AJ564" s="90" t="n"/>
      <c r="AK564" s="88" t="n"/>
      <c r="AL564" s="91" t="n"/>
      <c r="AM564" s="88" t="n"/>
      <c r="AN564" s="95" t="n"/>
      <c r="AO564" s="90" t="n"/>
      <c r="AP564" s="90" t="n"/>
    </row>
    <row r="565" ht="14.25" customHeight="1" s="84">
      <c r="A565" s="51" t="n"/>
      <c r="B565" s="47" t="n"/>
      <c r="C565" s="51" t="n"/>
      <c r="D565" s="51" t="n"/>
      <c r="E565" s="51" t="n"/>
      <c r="F565" s="51" t="n"/>
      <c r="G565" s="47" t="n"/>
      <c r="H565" s="51" t="n"/>
      <c r="I565" s="51" t="n"/>
      <c r="J565" s="51" t="n"/>
      <c r="K565" s="51" t="n"/>
      <c r="L565" s="51" t="n"/>
      <c r="N565" s="51" t="n"/>
      <c r="Q565" s="51" t="n"/>
      <c r="S565" s="51" t="n"/>
      <c r="T565" s="51" t="n"/>
      <c r="U565" s="51" t="inlineStr"/>
      <c r="V565" s="55" t="n"/>
      <c r="W565" s="51" t="inlineStr"/>
      <c r="X565" s="51" t="inlineStr"/>
      <c r="Y565" s="51" t="n"/>
      <c r="AB565" s="57" t="n"/>
      <c r="AC565" s="90" t="n"/>
      <c r="AD565" s="90" t="n"/>
      <c r="AE565" s="88" t="n"/>
      <c r="AF565" s="91" t="n"/>
      <c r="AG565" s="91" t="n"/>
      <c r="AH565" s="88" t="n"/>
      <c r="AI565" s="88" t="n"/>
      <c r="AJ565" s="90" t="n"/>
      <c r="AK565" s="88" t="n"/>
      <c r="AL565" s="91" t="n"/>
      <c r="AM565" s="88" t="n"/>
      <c r="AN565" s="95" t="n"/>
      <c r="AO565" s="90" t="n"/>
      <c r="AP565" s="90" t="n"/>
    </row>
    <row r="566" ht="14.25" customHeight="1" s="84">
      <c r="A566" s="51" t="n"/>
      <c r="B566" s="47" t="n"/>
      <c r="C566" s="51" t="n"/>
      <c r="D566" s="51" t="n"/>
      <c r="E566" s="51" t="n"/>
      <c r="F566" s="51" t="n"/>
      <c r="G566" s="47" t="n"/>
      <c r="H566" s="51" t="n"/>
      <c r="I566" s="51" t="n"/>
      <c r="J566" s="51" t="n"/>
      <c r="K566" s="51" t="n"/>
      <c r="L566" s="51" t="n"/>
      <c r="N566" s="51" t="n"/>
      <c r="Q566" s="51" t="n"/>
      <c r="S566" s="51" t="n"/>
      <c r="T566" s="51" t="n"/>
      <c r="U566" s="51" t="inlineStr"/>
      <c r="V566" s="55" t="n"/>
      <c r="W566" s="51" t="inlineStr"/>
      <c r="X566" s="51" t="inlineStr"/>
      <c r="Y566" s="51" t="n"/>
      <c r="AB566" s="57" t="n"/>
      <c r="AC566" s="90" t="n"/>
      <c r="AD566" s="90" t="n"/>
      <c r="AE566" s="88" t="n"/>
      <c r="AF566" s="91" t="n"/>
      <c r="AG566" s="91" t="n"/>
      <c r="AH566" s="88" t="n"/>
      <c r="AI566" s="88" t="n"/>
      <c r="AJ566" s="90" t="n"/>
      <c r="AK566" s="88" t="n"/>
      <c r="AL566" s="91" t="n"/>
      <c r="AM566" s="88" t="n"/>
      <c r="AN566" s="95" t="n"/>
      <c r="AO566" s="90" t="n"/>
      <c r="AP566" s="90" t="n"/>
    </row>
    <row r="567" ht="14.25" customHeight="1" s="84">
      <c r="A567" s="51" t="n"/>
      <c r="B567" s="47" t="n"/>
      <c r="C567" s="51" t="n"/>
      <c r="D567" s="51" t="n"/>
      <c r="E567" s="51" t="n"/>
      <c r="F567" s="51" t="n"/>
      <c r="G567" s="47" t="n"/>
      <c r="H567" s="51" t="n"/>
      <c r="I567" s="51" t="n"/>
      <c r="J567" s="51" t="n"/>
      <c r="K567" s="51" t="n"/>
      <c r="L567" s="51" t="n"/>
      <c r="N567" s="51" t="n"/>
      <c r="Q567" s="51" t="n"/>
      <c r="S567" s="51" t="n"/>
      <c r="T567" s="51" t="n"/>
      <c r="U567" s="51" t="inlineStr"/>
      <c r="V567" s="55" t="n"/>
      <c r="W567" s="51" t="inlineStr"/>
      <c r="X567" s="51" t="inlineStr"/>
      <c r="Y567" s="51" t="n"/>
      <c r="AB567" s="57" t="n"/>
      <c r="AC567" s="90" t="n"/>
      <c r="AD567" s="90" t="n"/>
      <c r="AE567" s="88" t="n"/>
      <c r="AF567" s="91" t="n"/>
      <c r="AG567" s="91" t="n"/>
      <c r="AH567" s="88" t="n"/>
      <c r="AI567" s="88" t="n"/>
      <c r="AJ567" s="90" t="n"/>
      <c r="AK567" s="88" t="n"/>
      <c r="AL567" s="91" t="n"/>
      <c r="AM567" s="88" t="n"/>
      <c r="AN567" s="95" t="n"/>
      <c r="AO567" s="90" t="n"/>
      <c r="AP567" s="90" t="n"/>
    </row>
    <row r="568" ht="14.25" customHeight="1" s="84">
      <c r="A568" s="51" t="n"/>
      <c r="B568" s="47" t="n"/>
      <c r="C568" s="51" t="n"/>
      <c r="D568" s="51" t="n"/>
      <c r="E568" s="51" t="n"/>
      <c r="F568" s="51" t="n"/>
      <c r="G568" s="47" t="n"/>
      <c r="H568" s="51" t="n"/>
      <c r="I568" s="51" t="n"/>
      <c r="J568" s="51" t="n"/>
      <c r="K568" s="51" t="n"/>
      <c r="L568" s="51" t="n"/>
      <c r="N568" s="51" t="n"/>
      <c r="Q568" s="51" t="n"/>
      <c r="S568" s="51" t="n"/>
      <c r="T568" s="51" t="n"/>
      <c r="U568" s="51" t="inlineStr"/>
      <c r="V568" s="55" t="n"/>
      <c r="W568" s="51" t="inlineStr"/>
      <c r="X568" s="51" t="inlineStr"/>
      <c r="Y568" s="51" t="n"/>
      <c r="AB568" s="57" t="n"/>
      <c r="AC568" s="90" t="n"/>
      <c r="AD568" s="90" t="n"/>
      <c r="AE568" s="88" t="n"/>
      <c r="AF568" s="91" t="n"/>
      <c r="AG568" s="91" t="n"/>
      <c r="AH568" s="88" t="n"/>
      <c r="AI568" s="88" t="n"/>
      <c r="AJ568" s="90" t="n"/>
      <c r="AK568" s="88" t="n"/>
      <c r="AL568" s="91" t="n"/>
      <c r="AM568" s="88" t="n"/>
      <c r="AN568" s="95" t="n"/>
      <c r="AO568" s="90" t="n"/>
      <c r="AP568" s="90" t="n"/>
    </row>
    <row r="569" ht="14.25" customHeight="1" s="84">
      <c r="A569" s="51" t="n"/>
      <c r="B569" s="47" t="n"/>
      <c r="C569" s="51" t="n"/>
      <c r="D569" s="51" t="n"/>
      <c r="E569" s="51" t="n"/>
      <c r="F569" s="51" t="n"/>
      <c r="G569" s="47" t="n"/>
      <c r="H569" s="51" t="n"/>
      <c r="I569" s="51" t="n"/>
      <c r="J569" s="51" t="n"/>
      <c r="K569" s="51" t="n"/>
      <c r="L569" s="51" t="n"/>
      <c r="N569" s="51" t="n"/>
      <c r="Q569" s="51" t="n"/>
      <c r="S569" s="51" t="n"/>
      <c r="T569" s="51" t="n"/>
      <c r="U569" s="51" t="inlineStr"/>
      <c r="V569" s="55" t="n"/>
      <c r="W569" s="51" t="inlineStr"/>
      <c r="X569" s="51" t="inlineStr"/>
      <c r="Y569" s="51" t="n"/>
      <c r="AB569" s="57" t="n"/>
      <c r="AC569" s="90" t="n"/>
      <c r="AD569" s="90" t="n"/>
      <c r="AE569" s="88" t="n"/>
      <c r="AF569" s="91" t="n"/>
      <c r="AG569" s="91" t="n"/>
      <c r="AH569" s="88" t="n"/>
      <c r="AI569" s="88" t="n"/>
      <c r="AJ569" s="90" t="n"/>
      <c r="AK569" s="88" t="n"/>
      <c r="AL569" s="91" t="n"/>
      <c r="AM569" s="88" t="n"/>
      <c r="AN569" s="95" t="n"/>
      <c r="AO569" s="90" t="n"/>
      <c r="AP569" s="90" t="n"/>
    </row>
    <row r="570" ht="14.25" customHeight="1" s="84">
      <c r="A570" s="51" t="n"/>
      <c r="B570" s="47" t="n"/>
      <c r="C570" s="51" t="n"/>
      <c r="D570" s="51" t="n"/>
      <c r="E570" s="51" t="n"/>
      <c r="F570" s="51" t="n"/>
      <c r="G570" s="47" t="n"/>
      <c r="H570" s="51" t="n"/>
      <c r="I570" s="51" t="n"/>
      <c r="J570" s="51" t="n"/>
      <c r="K570" s="51" t="n"/>
      <c r="L570" s="51" t="n"/>
      <c r="N570" s="51" t="n"/>
      <c r="Q570" s="51" t="n"/>
      <c r="S570" s="51" t="n"/>
      <c r="T570" s="51" t="n"/>
      <c r="U570" s="51" t="inlineStr"/>
      <c r="V570" s="55" t="n"/>
      <c r="W570" s="51" t="inlineStr"/>
      <c r="X570" s="51" t="inlineStr"/>
      <c r="Y570" s="51" t="n"/>
      <c r="AB570" s="57" t="n"/>
      <c r="AC570" s="90" t="n"/>
      <c r="AD570" s="90" t="n"/>
      <c r="AE570" s="88" t="n"/>
      <c r="AF570" s="91" t="n"/>
      <c r="AG570" s="91" t="n"/>
      <c r="AH570" s="88" t="n"/>
      <c r="AI570" s="88" t="n"/>
      <c r="AJ570" s="90" t="n"/>
      <c r="AK570" s="88" t="n"/>
      <c r="AL570" s="91" t="n"/>
      <c r="AM570" s="88" t="n"/>
      <c r="AN570" s="95" t="n"/>
      <c r="AO570" s="90" t="n"/>
      <c r="AP570" s="90" t="n"/>
    </row>
    <row r="571" ht="14.25" customHeight="1" s="84">
      <c r="A571" s="51" t="n"/>
      <c r="B571" s="47" t="n"/>
      <c r="C571" s="51" t="n"/>
      <c r="D571" s="51" t="n"/>
      <c r="E571" s="51" t="n"/>
      <c r="F571" s="51" t="n"/>
      <c r="G571" s="47" t="n"/>
      <c r="H571" s="51" t="n"/>
      <c r="I571" s="51" t="n"/>
      <c r="J571" s="51" t="n"/>
      <c r="K571" s="51" t="n"/>
      <c r="L571" s="51" t="n"/>
      <c r="N571" s="51" t="n"/>
      <c r="Q571" s="51" t="n"/>
      <c r="S571" s="51" t="n"/>
      <c r="T571" s="51" t="n"/>
      <c r="U571" s="51" t="inlineStr"/>
      <c r="V571" s="55" t="n"/>
      <c r="W571" s="51" t="inlineStr"/>
      <c r="X571" s="51" t="inlineStr"/>
      <c r="Y571" s="51" t="n"/>
      <c r="AB571" s="57" t="n"/>
      <c r="AC571" s="90" t="n"/>
      <c r="AD571" s="90" t="n"/>
      <c r="AE571" s="88" t="n"/>
      <c r="AF571" s="91" t="n"/>
      <c r="AG571" s="91" t="n"/>
      <c r="AH571" s="88" t="n"/>
      <c r="AI571" s="88" t="n"/>
      <c r="AJ571" s="90" t="n"/>
      <c r="AK571" s="88" t="n"/>
      <c r="AL571" s="91" t="n"/>
      <c r="AM571" s="88" t="n"/>
      <c r="AN571" s="95" t="n"/>
      <c r="AO571" s="90" t="n"/>
      <c r="AP571" s="90" t="n"/>
    </row>
    <row r="572" ht="14.25" customHeight="1" s="84">
      <c r="A572" s="51" t="n"/>
      <c r="B572" s="47" t="n"/>
      <c r="C572" s="51" t="n"/>
      <c r="D572" s="51" t="n"/>
      <c r="E572" s="51" t="n"/>
      <c r="F572" s="51" t="n"/>
      <c r="G572" s="47" t="n"/>
      <c r="H572" s="51" t="n"/>
      <c r="I572" s="51" t="n"/>
      <c r="J572" s="51" t="n"/>
      <c r="K572" s="51" t="n"/>
      <c r="L572" s="51" t="n"/>
      <c r="N572" s="51" t="n"/>
      <c r="Q572" s="51" t="n"/>
      <c r="S572" s="51" t="n"/>
      <c r="T572" s="51" t="n"/>
      <c r="U572" s="51" t="inlineStr"/>
      <c r="V572" s="55" t="n"/>
      <c r="W572" s="51" t="inlineStr"/>
      <c r="X572" s="51" t="inlineStr"/>
      <c r="Y572" s="51" t="n"/>
      <c r="AB572" s="57" t="n"/>
      <c r="AC572" s="90" t="n"/>
      <c r="AD572" s="90" t="n"/>
      <c r="AE572" s="88" t="n"/>
      <c r="AF572" s="91" t="n"/>
      <c r="AG572" s="91" t="n"/>
      <c r="AH572" s="88" t="n"/>
      <c r="AI572" s="88" t="n"/>
      <c r="AJ572" s="90" t="n"/>
      <c r="AK572" s="88" t="n"/>
      <c r="AL572" s="91" t="n"/>
      <c r="AM572" s="88" t="n"/>
      <c r="AN572" s="95" t="n"/>
      <c r="AO572" s="90" t="n"/>
      <c r="AP572" s="90" t="n"/>
    </row>
    <row r="573" ht="14.25" customHeight="1" s="84">
      <c r="A573" s="51" t="n"/>
      <c r="B573" s="47" t="n"/>
      <c r="C573" s="51" t="n"/>
      <c r="D573" s="51" t="n"/>
      <c r="E573" s="51" t="n"/>
      <c r="F573" s="51" t="n"/>
      <c r="G573" s="47" t="n"/>
      <c r="H573" s="51" t="n"/>
      <c r="I573" s="51" t="n"/>
      <c r="J573" s="51" t="n"/>
      <c r="K573" s="51" t="n"/>
      <c r="L573" s="51" t="n"/>
      <c r="N573" s="51" t="n"/>
      <c r="Q573" s="51" t="n"/>
      <c r="S573" s="51" t="n"/>
      <c r="T573" s="51" t="n"/>
      <c r="U573" s="51" t="inlineStr"/>
      <c r="V573" s="55" t="n"/>
      <c r="W573" s="51" t="inlineStr"/>
      <c r="X573" s="51" t="inlineStr"/>
      <c r="Y573" s="51" t="n"/>
      <c r="AB573" s="57" t="n"/>
      <c r="AC573" s="90" t="n"/>
      <c r="AD573" s="90" t="n"/>
      <c r="AE573" s="88" t="n"/>
      <c r="AF573" s="91" t="n"/>
      <c r="AG573" s="91" t="n"/>
      <c r="AH573" s="88" t="n"/>
      <c r="AI573" s="88" t="n"/>
      <c r="AJ573" s="90" t="n"/>
      <c r="AK573" s="88" t="n"/>
      <c r="AL573" s="91" t="n"/>
      <c r="AM573" s="88" t="n"/>
      <c r="AN573" s="95" t="n"/>
      <c r="AO573" s="90" t="n"/>
      <c r="AP573" s="90" t="n"/>
    </row>
    <row r="574" ht="14.25" customHeight="1" s="84">
      <c r="A574" s="51" t="n"/>
      <c r="B574" s="47" t="n"/>
      <c r="C574" s="51" t="n"/>
      <c r="D574" s="51" t="n"/>
      <c r="E574" s="51" t="n"/>
      <c r="F574" s="51" t="n"/>
      <c r="G574" s="47" t="n"/>
      <c r="H574" s="51" t="n"/>
      <c r="I574" s="51" t="n"/>
      <c r="J574" s="51" t="n"/>
      <c r="K574" s="51" t="n"/>
      <c r="L574" s="51" t="n"/>
      <c r="N574" s="51" t="n"/>
      <c r="Q574" s="51" t="n"/>
      <c r="S574" s="51" t="n"/>
      <c r="T574" s="51" t="n"/>
      <c r="U574" s="51" t="inlineStr"/>
      <c r="V574" s="55" t="n"/>
      <c r="W574" s="51" t="inlineStr"/>
      <c r="X574" s="51" t="inlineStr"/>
      <c r="Y574" s="51" t="n"/>
      <c r="AB574" s="57" t="n"/>
      <c r="AC574" s="90" t="n"/>
      <c r="AD574" s="90" t="n"/>
      <c r="AE574" s="88" t="n"/>
      <c r="AF574" s="91" t="n"/>
      <c r="AG574" s="91" t="n"/>
      <c r="AH574" s="88" t="n"/>
      <c r="AI574" s="88" t="n"/>
      <c r="AJ574" s="90" t="n"/>
      <c r="AK574" s="88" t="n"/>
      <c r="AL574" s="91" t="n"/>
      <c r="AM574" s="88" t="n"/>
      <c r="AN574" s="95" t="n"/>
      <c r="AO574" s="90" t="n"/>
      <c r="AP574" s="90" t="n"/>
    </row>
    <row r="575" ht="14.25" customHeight="1" s="84">
      <c r="A575" s="51" t="n"/>
      <c r="B575" s="47" t="n"/>
      <c r="C575" s="51" t="n"/>
      <c r="D575" s="51" t="n"/>
      <c r="E575" s="51" t="n"/>
      <c r="F575" s="51" t="n"/>
      <c r="G575" s="47" t="n"/>
      <c r="H575" s="51" t="n"/>
      <c r="I575" s="51" t="n"/>
      <c r="J575" s="51" t="n"/>
      <c r="K575" s="51" t="n"/>
      <c r="L575" s="51" t="n"/>
      <c r="N575" s="51" t="n"/>
      <c r="Q575" s="51" t="n"/>
      <c r="S575" s="51" t="n"/>
      <c r="T575" s="51" t="n"/>
      <c r="U575" s="51" t="inlineStr"/>
      <c r="V575" s="55" t="n"/>
      <c r="W575" s="51" t="inlineStr"/>
      <c r="X575" s="51" t="inlineStr"/>
      <c r="Y575" s="51" t="n"/>
      <c r="AB575" s="57" t="n"/>
      <c r="AC575" s="90" t="n"/>
      <c r="AD575" s="90" t="n"/>
      <c r="AE575" s="88" t="n"/>
      <c r="AF575" s="91" t="n"/>
      <c r="AG575" s="91" t="n"/>
      <c r="AH575" s="88" t="n"/>
      <c r="AI575" s="88" t="n"/>
      <c r="AJ575" s="90" t="n"/>
      <c r="AK575" s="88" t="n"/>
      <c r="AL575" s="91" t="n"/>
      <c r="AM575" s="88" t="n"/>
      <c r="AN575" s="95" t="n"/>
      <c r="AO575" s="90" t="n"/>
      <c r="AP575" s="90" t="n"/>
    </row>
    <row r="576" ht="14.25" customHeight="1" s="84">
      <c r="A576" s="51" t="n"/>
      <c r="B576" s="47" t="n"/>
      <c r="C576" s="51" t="n"/>
      <c r="D576" s="51" t="n"/>
      <c r="E576" s="51" t="n"/>
      <c r="F576" s="51" t="n"/>
      <c r="G576" s="47" t="n"/>
      <c r="H576" s="51" t="n"/>
      <c r="I576" s="51" t="n"/>
      <c r="J576" s="51" t="n"/>
      <c r="K576" s="51" t="n"/>
      <c r="L576" s="51" t="n"/>
      <c r="N576" s="51" t="n"/>
      <c r="Q576" s="51" t="n"/>
      <c r="S576" s="51" t="n"/>
      <c r="T576" s="51" t="n"/>
      <c r="U576" s="51" t="inlineStr"/>
      <c r="V576" s="55" t="n"/>
      <c r="W576" s="51" t="inlineStr"/>
      <c r="X576" s="51" t="inlineStr"/>
      <c r="Y576" s="51" t="n"/>
      <c r="AB576" s="57" t="n"/>
      <c r="AC576" s="90" t="n"/>
      <c r="AD576" s="90" t="n"/>
      <c r="AE576" s="88" t="n"/>
      <c r="AF576" s="91" t="n"/>
      <c r="AG576" s="91" t="n"/>
      <c r="AH576" s="88" t="n"/>
      <c r="AI576" s="88" t="n"/>
      <c r="AJ576" s="90" t="n"/>
      <c r="AK576" s="88" t="n"/>
      <c r="AL576" s="91" t="n"/>
      <c r="AM576" s="88" t="n"/>
      <c r="AN576" s="95" t="n"/>
      <c r="AO576" s="90" t="n"/>
      <c r="AP576" s="90" t="n"/>
    </row>
    <row r="577" ht="14.25" customHeight="1" s="84">
      <c r="A577" s="51" t="n"/>
      <c r="B577" s="47" t="n"/>
      <c r="C577" s="51" t="n"/>
      <c r="D577" s="51" t="n"/>
      <c r="E577" s="51" t="n"/>
      <c r="F577" s="51" t="n"/>
      <c r="G577" s="47" t="n"/>
      <c r="H577" s="51" t="n"/>
      <c r="I577" s="51" t="n"/>
      <c r="J577" s="51" t="n"/>
      <c r="K577" s="51" t="n"/>
      <c r="L577" s="51" t="n"/>
      <c r="N577" s="51" t="n"/>
      <c r="Q577" s="51" t="n"/>
      <c r="S577" s="51" t="n"/>
      <c r="T577" s="51" t="n"/>
      <c r="U577" s="51" t="inlineStr"/>
      <c r="V577" s="55" t="n"/>
      <c r="W577" s="51" t="inlineStr"/>
      <c r="X577" s="51" t="inlineStr"/>
      <c r="Y577" s="51" t="n"/>
      <c r="AB577" s="57" t="n"/>
      <c r="AC577" s="90" t="n"/>
      <c r="AD577" s="90" t="n"/>
      <c r="AE577" s="88" t="n"/>
      <c r="AF577" s="91" t="n"/>
      <c r="AG577" s="91" t="n"/>
      <c r="AH577" s="88" t="n"/>
      <c r="AI577" s="88" t="n"/>
      <c r="AJ577" s="90" t="n"/>
      <c r="AK577" s="88" t="n"/>
      <c r="AL577" s="91" t="n"/>
      <c r="AM577" s="88" t="n"/>
      <c r="AN577" s="95" t="n"/>
      <c r="AO577" s="90" t="n"/>
      <c r="AP577" s="90" t="n"/>
    </row>
    <row r="578" ht="14.25" customHeight="1" s="84">
      <c r="A578" s="51" t="n"/>
      <c r="B578" s="47" t="n"/>
      <c r="C578" s="51" t="n"/>
      <c r="D578" s="51" t="n"/>
      <c r="E578" s="51" t="n"/>
      <c r="F578" s="51" t="n"/>
      <c r="G578" s="47" t="n"/>
      <c r="H578" s="51" t="n"/>
      <c r="I578" s="51" t="n"/>
      <c r="J578" s="51" t="n"/>
      <c r="K578" s="51" t="n"/>
      <c r="L578" s="51" t="n"/>
      <c r="N578" s="51" t="n"/>
      <c r="Q578" s="51" t="n"/>
      <c r="S578" s="51" t="n"/>
      <c r="T578" s="51" t="n"/>
      <c r="U578" s="51" t="inlineStr"/>
      <c r="V578" s="55" t="n"/>
      <c r="W578" s="51" t="inlineStr"/>
      <c r="X578" s="51" t="inlineStr"/>
      <c r="Y578" s="51" t="n"/>
      <c r="AB578" s="57" t="n"/>
      <c r="AC578" s="90" t="n"/>
      <c r="AD578" s="90" t="n"/>
      <c r="AE578" s="88" t="n"/>
      <c r="AF578" s="91" t="n"/>
      <c r="AG578" s="91" t="n"/>
      <c r="AH578" s="88" t="n"/>
      <c r="AI578" s="88" t="n"/>
      <c r="AJ578" s="90" t="n"/>
      <c r="AK578" s="88" t="n"/>
      <c r="AL578" s="91" t="n"/>
      <c r="AM578" s="88" t="n"/>
      <c r="AN578" s="95" t="n"/>
      <c r="AO578" s="90" t="n"/>
      <c r="AP578" s="90" t="n"/>
    </row>
    <row r="579" ht="14.25" customHeight="1" s="84">
      <c r="A579" s="51" t="n"/>
      <c r="B579" s="47" t="n"/>
      <c r="C579" s="51" t="n"/>
      <c r="D579" s="51" t="n"/>
      <c r="E579" s="51" t="n"/>
      <c r="F579" s="51" t="n"/>
      <c r="G579" s="47" t="n"/>
      <c r="H579" s="51" t="n"/>
      <c r="I579" s="51" t="n"/>
      <c r="J579" s="51" t="n"/>
      <c r="K579" s="51" t="n"/>
      <c r="L579" s="51" t="n"/>
      <c r="N579" s="51" t="n"/>
      <c r="Q579" s="51" t="n"/>
      <c r="S579" s="51" t="n"/>
      <c r="T579" s="51" t="n"/>
      <c r="U579" s="51" t="inlineStr"/>
      <c r="V579" s="55" t="n"/>
      <c r="W579" s="51" t="inlineStr"/>
      <c r="X579" s="51" t="inlineStr"/>
      <c r="Y579" s="51" t="n"/>
      <c r="AB579" s="57" t="n"/>
      <c r="AC579" s="90" t="n"/>
      <c r="AD579" s="90" t="n"/>
      <c r="AE579" s="88" t="n"/>
      <c r="AF579" s="91" t="n"/>
      <c r="AG579" s="91" t="n"/>
      <c r="AH579" s="88" t="n"/>
      <c r="AI579" s="88" t="n"/>
      <c r="AJ579" s="90" t="n"/>
      <c r="AK579" s="88" t="n"/>
      <c r="AL579" s="91" t="n"/>
      <c r="AM579" s="88" t="n"/>
      <c r="AN579" s="95" t="n"/>
      <c r="AO579" s="90" t="n"/>
      <c r="AP579" s="90" t="n"/>
    </row>
    <row r="580" ht="14.25" customHeight="1" s="84">
      <c r="A580" s="51" t="n"/>
      <c r="B580" s="47" t="n"/>
      <c r="C580" s="51" t="n"/>
      <c r="D580" s="51" t="n"/>
      <c r="E580" s="51" t="n"/>
      <c r="F580" s="51" t="n"/>
      <c r="G580" s="47" t="n"/>
      <c r="H580" s="51" t="n"/>
      <c r="I580" s="51" t="n"/>
      <c r="J580" s="51" t="n"/>
      <c r="K580" s="51" t="n"/>
      <c r="L580" s="51" t="n"/>
      <c r="N580" s="51" t="n"/>
      <c r="Q580" s="51" t="n"/>
      <c r="S580" s="51" t="n"/>
      <c r="T580" s="51" t="n"/>
      <c r="U580" s="51" t="inlineStr"/>
      <c r="V580" s="55" t="n"/>
      <c r="W580" s="51" t="inlineStr"/>
      <c r="X580" s="51" t="inlineStr"/>
      <c r="Y580" s="51" t="n"/>
      <c r="AB580" s="57" t="n"/>
      <c r="AC580" s="90" t="n"/>
      <c r="AD580" s="90" t="n"/>
      <c r="AE580" s="88" t="n"/>
      <c r="AF580" s="91" t="n"/>
      <c r="AG580" s="91" t="n"/>
      <c r="AH580" s="88" t="n"/>
      <c r="AI580" s="88" t="n"/>
      <c r="AJ580" s="90" t="n"/>
      <c r="AK580" s="88" t="n"/>
      <c r="AL580" s="91" t="n"/>
      <c r="AM580" s="88" t="n"/>
      <c r="AN580" s="95" t="n"/>
      <c r="AO580" s="90" t="n"/>
      <c r="AP580" s="90" t="n"/>
    </row>
    <row r="581" ht="14.25" customHeight="1" s="84">
      <c r="A581" s="51" t="n"/>
      <c r="B581" s="47" t="n"/>
      <c r="C581" s="51" t="n"/>
      <c r="D581" s="51" t="n"/>
      <c r="E581" s="51" t="n"/>
      <c r="F581" s="51" t="n"/>
      <c r="G581" s="47" t="n"/>
      <c r="H581" s="51" t="n"/>
      <c r="I581" s="51" t="n"/>
      <c r="J581" s="51" t="n"/>
      <c r="K581" s="51" t="n"/>
      <c r="L581" s="51" t="n"/>
      <c r="N581" s="51" t="n"/>
      <c r="Q581" s="51" t="n"/>
      <c r="S581" s="51" t="n"/>
      <c r="T581" s="51" t="n"/>
      <c r="U581" s="51" t="inlineStr"/>
      <c r="V581" s="55" t="n"/>
      <c r="W581" s="51" t="inlineStr"/>
      <c r="X581" s="51" t="inlineStr"/>
      <c r="Y581" s="51" t="n"/>
      <c r="AB581" s="57" t="n"/>
      <c r="AC581" s="90" t="n"/>
      <c r="AD581" s="90" t="n"/>
      <c r="AE581" s="88" t="n"/>
      <c r="AF581" s="91" t="n"/>
      <c r="AG581" s="91" t="n"/>
      <c r="AH581" s="88" t="n"/>
      <c r="AI581" s="88" t="n"/>
      <c r="AJ581" s="90" t="n"/>
      <c r="AK581" s="88" t="n"/>
      <c r="AL581" s="91" t="n"/>
      <c r="AM581" s="88" t="n"/>
      <c r="AN581" s="95" t="n"/>
      <c r="AO581" s="90" t="n"/>
      <c r="AP581" s="90" t="n"/>
    </row>
    <row r="582" ht="14.25" customHeight="1" s="84">
      <c r="A582" s="51" t="n"/>
      <c r="B582" s="47" t="n"/>
      <c r="C582" s="51" t="n"/>
      <c r="D582" s="51" t="n"/>
      <c r="E582" s="51" t="n"/>
      <c r="F582" s="51" t="n"/>
      <c r="G582" s="47" t="n"/>
      <c r="H582" s="51" t="n"/>
      <c r="I582" s="51" t="n"/>
      <c r="J582" s="51" t="n"/>
      <c r="K582" s="51" t="n"/>
      <c r="L582" s="51" t="n"/>
      <c r="N582" s="51" t="n"/>
      <c r="Q582" s="51" t="n"/>
      <c r="S582" s="51" t="n"/>
      <c r="T582" s="51" t="n"/>
      <c r="U582" s="51" t="inlineStr"/>
      <c r="V582" s="55" t="n"/>
      <c r="W582" s="51" t="inlineStr"/>
      <c r="X582" s="51" t="inlineStr"/>
      <c r="Y582" s="51" t="n"/>
      <c r="AB582" s="57" t="n"/>
      <c r="AC582" s="90" t="n"/>
      <c r="AD582" s="90" t="n"/>
      <c r="AE582" s="88" t="n"/>
      <c r="AF582" s="91" t="n"/>
      <c r="AG582" s="91" t="n"/>
      <c r="AH582" s="88" t="n"/>
      <c r="AI582" s="88" t="n"/>
      <c r="AJ582" s="90" t="n"/>
      <c r="AK582" s="88" t="n"/>
      <c r="AL582" s="91" t="n"/>
      <c r="AM582" s="88" t="n"/>
      <c r="AN582" s="95" t="n"/>
      <c r="AO582" s="90" t="n"/>
      <c r="AP582" s="90" t="n"/>
    </row>
    <row r="583" ht="14.25" customHeight="1" s="84">
      <c r="A583" s="51" t="n"/>
      <c r="B583" s="47" t="n"/>
      <c r="C583" s="51" t="n"/>
      <c r="D583" s="51" t="n"/>
      <c r="E583" s="51" t="n"/>
      <c r="F583" s="51" t="n"/>
      <c r="G583" s="47" t="n"/>
      <c r="H583" s="51" t="n"/>
      <c r="I583" s="51" t="n"/>
      <c r="J583" s="51" t="n"/>
      <c r="K583" s="51" t="n"/>
      <c r="L583" s="51" t="n"/>
      <c r="N583" s="51" t="n"/>
      <c r="Q583" s="51" t="n"/>
      <c r="S583" s="51" t="n"/>
      <c r="T583" s="51" t="n"/>
      <c r="U583" s="51" t="inlineStr"/>
      <c r="V583" s="55" t="n"/>
      <c r="W583" s="51" t="inlineStr"/>
      <c r="X583" s="51" t="inlineStr"/>
      <c r="Y583" s="51" t="n"/>
      <c r="AB583" s="57" t="n"/>
      <c r="AC583" s="90" t="n"/>
      <c r="AD583" s="90" t="n"/>
      <c r="AE583" s="88" t="n"/>
      <c r="AF583" s="91" t="n"/>
      <c r="AG583" s="91" t="n"/>
      <c r="AH583" s="88" t="n"/>
      <c r="AI583" s="88" t="n"/>
      <c r="AJ583" s="90" t="n"/>
      <c r="AK583" s="88" t="n"/>
      <c r="AL583" s="91" t="n"/>
      <c r="AM583" s="88" t="n"/>
      <c r="AN583" s="95" t="n"/>
      <c r="AO583" s="90" t="n"/>
      <c r="AP583" s="90" t="n"/>
    </row>
    <row r="584" ht="14.25" customHeight="1" s="84">
      <c r="A584" s="51" t="n"/>
      <c r="B584" s="47" t="n"/>
      <c r="C584" s="51" t="n"/>
      <c r="D584" s="51" t="n"/>
      <c r="E584" s="51" t="n"/>
      <c r="F584" s="51" t="n"/>
      <c r="G584" s="47" t="n"/>
      <c r="H584" s="51" t="n"/>
      <c r="I584" s="51" t="n"/>
      <c r="J584" s="51" t="n"/>
      <c r="K584" s="51" t="n"/>
      <c r="L584" s="51" t="n"/>
      <c r="N584" s="51" t="n"/>
      <c r="Q584" s="51" t="n"/>
      <c r="S584" s="51" t="n"/>
      <c r="T584" s="51" t="n"/>
      <c r="U584" s="51" t="inlineStr"/>
      <c r="V584" s="55" t="n"/>
      <c r="W584" s="51" t="inlineStr"/>
      <c r="X584" s="51" t="inlineStr"/>
      <c r="Y584" s="51" t="n"/>
      <c r="AB584" s="57" t="n"/>
      <c r="AC584" s="90" t="n"/>
      <c r="AD584" s="90" t="n"/>
      <c r="AE584" s="88" t="n"/>
      <c r="AF584" s="91" t="n"/>
      <c r="AG584" s="91" t="n"/>
      <c r="AH584" s="88" t="n"/>
      <c r="AI584" s="88" t="n"/>
      <c r="AJ584" s="90" t="n"/>
      <c r="AK584" s="88" t="n"/>
      <c r="AL584" s="91" t="n"/>
      <c r="AM584" s="88" t="n"/>
      <c r="AN584" s="95" t="n"/>
      <c r="AO584" s="90" t="n"/>
      <c r="AP584" s="90" t="n"/>
    </row>
    <row r="585" ht="14.25" customHeight="1" s="84">
      <c r="A585" s="51" t="n"/>
      <c r="B585" s="47" t="n"/>
      <c r="C585" s="51" t="n"/>
      <c r="D585" s="51" t="n"/>
      <c r="E585" s="51" t="n"/>
      <c r="F585" s="51" t="n"/>
      <c r="G585" s="47" t="n"/>
      <c r="H585" s="51" t="n"/>
      <c r="I585" s="51" t="n"/>
      <c r="J585" s="51" t="n"/>
      <c r="K585" s="51" t="n"/>
      <c r="L585" s="51" t="n"/>
      <c r="N585" s="51" t="n"/>
      <c r="Q585" s="51" t="n"/>
      <c r="S585" s="51" t="n"/>
      <c r="T585" s="51" t="n"/>
      <c r="U585" s="51" t="inlineStr"/>
      <c r="V585" s="55" t="n"/>
      <c r="W585" s="51" t="inlineStr"/>
      <c r="X585" s="51" t="inlineStr"/>
      <c r="Y585" s="51" t="n"/>
      <c r="AB585" s="57" t="n"/>
      <c r="AC585" s="90" t="n"/>
      <c r="AD585" s="90" t="n"/>
      <c r="AE585" s="88" t="n"/>
      <c r="AF585" s="91" t="n"/>
      <c r="AG585" s="91" t="n"/>
      <c r="AH585" s="88" t="n"/>
      <c r="AI585" s="88" t="n"/>
      <c r="AJ585" s="90" t="n"/>
      <c r="AK585" s="88" t="n"/>
      <c r="AL585" s="91" t="n"/>
      <c r="AM585" s="88" t="n"/>
      <c r="AN585" s="95" t="n"/>
      <c r="AO585" s="90" t="n"/>
      <c r="AP585" s="90" t="n"/>
    </row>
    <row r="586" ht="14.25" customHeight="1" s="84">
      <c r="A586" s="51" t="n"/>
      <c r="B586" s="47" t="n"/>
      <c r="C586" s="51" t="n"/>
      <c r="D586" s="51" t="n"/>
      <c r="E586" s="51" t="n"/>
      <c r="F586" s="51" t="n"/>
      <c r="G586" s="47" t="n"/>
      <c r="H586" s="51" t="n"/>
      <c r="I586" s="51" t="n"/>
      <c r="J586" s="51" t="n"/>
      <c r="K586" s="51" t="n"/>
      <c r="L586" s="51" t="n"/>
      <c r="N586" s="51" t="n"/>
      <c r="Q586" s="51" t="n"/>
      <c r="S586" s="51" t="n"/>
      <c r="T586" s="51" t="n"/>
      <c r="U586" s="51" t="inlineStr"/>
      <c r="V586" s="55" t="n"/>
      <c r="W586" s="51" t="inlineStr"/>
      <c r="X586" s="51" t="inlineStr"/>
      <c r="Y586" s="51" t="n"/>
      <c r="AB586" s="57" t="n"/>
      <c r="AC586" s="90" t="n"/>
      <c r="AD586" s="90" t="n"/>
      <c r="AE586" s="88" t="n"/>
      <c r="AF586" s="91" t="n"/>
      <c r="AG586" s="91" t="n"/>
      <c r="AH586" s="88" t="n"/>
      <c r="AI586" s="88" t="n"/>
      <c r="AJ586" s="90" t="n"/>
      <c r="AK586" s="88" t="n"/>
      <c r="AL586" s="91" t="n"/>
      <c r="AM586" s="88" t="n"/>
      <c r="AN586" s="95" t="n"/>
      <c r="AO586" s="90" t="n"/>
      <c r="AP586" s="90" t="n"/>
    </row>
    <row r="587" ht="14.25" customHeight="1" s="84">
      <c r="A587" s="51" t="n"/>
      <c r="B587" s="47" t="n"/>
      <c r="C587" s="51" t="n"/>
      <c r="D587" s="51" t="n"/>
      <c r="E587" s="51" t="n"/>
      <c r="F587" s="51" t="n"/>
      <c r="G587" s="47" t="n"/>
      <c r="H587" s="51" t="n"/>
      <c r="I587" s="51" t="n"/>
      <c r="J587" s="51" t="n"/>
      <c r="K587" s="51" t="n"/>
      <c r="L587" s="51" t="n"/>
      <c r="N587" s="51" t="n"/>
      <c r="Q587" s="51" t="n"/>
      <c r="S587" s="51" t="n"/>
      <c r="T587" s="51" t="n"/>
      <c r="U587" s="51" t="inlineStr"/>
      <c r="V587" s="55" t="n"/>
      <c r="W587" s="51" t="inlineStr"/>
      <c r="X587" s="51" t="inlineStr"/>
      <c r="Y587" s="51" t="n"/>
      <c r="AB587" s="57" t="n"/>
      <c r="AC587" s="90" t="n"/>
      <c r="AD587" s="90" t="n"/>
      <c r="AE587" s="88" t="n"/>
      <c r="AF587" s="91" t="n"/>
      <c r="AG587" s="91" t="n"/>
      <c r="AH587" s="88" t="n"/>
      <c r="AI587" s="88" t="n"/>
      <c r="AJ587" s="90" t="n"/>
      <c r="AK587" s="88" t="n"/>
      <c r="AL587" s="91" t="n"/>
      <c r="AM587" s="88" t="n"/>
      <c r="AN587" s="95" t="n"/>
      <c r="AO587" s="90" t="n"/>
      <c r="AP587" s="90" t="n"/>
    </row>
    <row r="588" ht="14.25" customHeight="1" s="84">
      <c r="A588" s="51" t="n"/>
      <c r="B588" s="47" t="n"/>
      <c r="C588" s="51" t="n"/>
      <c r="D588" s="51" t="n"/>
      <c r="E588" s="51" t="n"/>
      <c r="F588" s="51" t="n"/>
      <c r="G588" s="47" t="n"/>
      <c r="H588" s="51" t="n"/>
      <c r="I588" s="51" t="n"/>
      <c r="J588" s="51" t="n"/>
      <c r="K588" s="51" t="n"/>
      <c r="L588" s="51" t="n"/>
      <c r="N588" s="51" t="n"/>
      <c r="Q588" s="51" t="n"/>
      <c r="S588" s="51" t="n"/>
      <c r="T588" s="51" t="n"/>
      <c r="U588" s="51" t="inlineStr"/>
      <c r="V588" s="55" t="n"/>
      <c r="W588" s="51" t="inlineStr"/>
      <c r="X588" s="51" t="inlineStr"/>
      <c r="Y588" s="51" t="n"/>
      <c r="AB588" s="57" t="n"/>
      <c r="AC588" s="90" t="n"/>
      <c r="AD588" s="90" t="n"/>
      <c r="AE588" s="88" t="n"/>
      <c r="AF588" s="91" t="n"/>
      <c r="AG588" s="91" t="n"/>
      <c r="AH588" s="88" t="n"/>
      <c r="AI588" s="88" t="n"/>
      <c r="AJ588" s="90" t="n"/>
      <c r="AK588" s="88" t="n"/>
      <c r="AL588" s="91" t="n"/>
      <c r="AM588" s="88" t="n"/>
      <c r="AN588" s="95" t="n"/>
      <c r="AO588" s="90" t="n"/>
      <c r="AP588" s="90" t="n"/>
    </row>
    <row r="589" ht="14.25" customHeight="1" s="84">
      <c r="A589" s="51" t="n"/>
      <c r="B589" s="47" t="n"/>
      <c r="C589" s="51" t="n"/>
      <c r="D589" s="51" t="n"/>
      <c r="E589" s="51" t="n"/>
      <c r="F589" s="51" t="n"/>
      <c r="G589" s="47" t="n"/>
      <c r="H589" s="51" t="n"/>
      <c r="I589" s="51" t="n"/>
      <c r="J589" s="51" t="n"/>
      <c r="K589" s="51" t="n"/>
      <c r="L589" s="51" t="n"/>
      <c r="N589" s="51" t="n"/>
      <c r="Q589" s="51" t="n"/>
      <c r="S589" s="51" t="n"/>
      <c r="T589" s="51" t="n"/>
      <c r="U589" s="51" t="inlineStr"/>
      <c r="V589" s="55" t="n"/>
      <c r="W589" s="51" t="inlineStr"/>
      <c r="X589" s="51" t="inlineStr"/>
      <c r="Y589" s="51" t="n"/>
      <c r="AB589" s="57" t="n"/>
      <c r="AC589" s="90" t="n"/>
      <c r="AD589" s="90" t="n"/>
      <c r="AE589" s="88" t="n"/>
      <c r="AF589" s="91" t="n"/>
      <c r="AG589" s="91" t="n"/>
      <c r="AH589" s="88" t="n"/>
      <c r="AI589" s="88" t="n"/>
      <c r="AJ589" s="90" t="n"/>
      <c r="AK589" s="88" t="n"/>
      <c r="AL589" s="91" t="n"/>
      <c r="AM589" s="88" t="n"/>
      <c r="AN589" s="95" t="n"/>
      <c r="AO589" s="90" t="n"/>
      <c r="AP589" s="90" t="n"/>
    </row>
    <row r="590" ht="14.25" customHeight="1" s="84">
      <c r="A590" s="51" t="n"/>
      <c r="B590" s="47" t="n"/>
      <c r="C590" s="51" t="n"/>
      <c r="D590" s="51" t="n"/>
      <c r="E590" s="51" t="n"/>
      <c r="F590" s="51" t="n"/>
      <c r="G590" s="47" t="n"/>
      <c r="H590" s="51" t="n"/>
      <c r="I590" s="51" t="n"/>
      <c r="J590" s="51" t="n"/>
      <c r="K590" s="51" t="n"/>
      <c r="L590" s="51" t="n"/>
      <c r="N590" s="51" t="n"/>
      <c r="Q590" s="51" t="n"/>
      <c r="S590" s="51" t="n"/>
      <c r="T590" s="51" t="n"/>
      <c r="U590" s="51" t="inlineStr"/>
      <c r="V590" s="55" t="n"/>
      <c r="W590" s="51" t="inlineStr"/>
      <c r="X590" s="51" t="inlineStr"/>
      <c r="Y590" s="51" t="n"/>
      <c r="AB590" s="57" t="n"/>
      <c r="AC590" s="90" t="n"/>
      <c r="AD590" s="90" t="n"/>
      <c r="AE590" s="88" t="n"/>
      <c r="AF590" s="91" t="n"/>
      <c r="AG590" s="91" t="n"/>
      <c r="AH590" s="88" t="n"/>
      <c r="AI590" s="88" t="n"/>
      <c r="AJ590" s="90" t="n"/>
      <c r="AK590" s="88" t="n"/>
      <c r="AL590" s="91" t="n"/>
      <c r="AM590" s="88" t="n"/>
      <c r="AN590" s="95" t="n"/>
      <c r="AO590" s="90" t="n"/>
      <c r="AP590" s="90" t="n"/>
    </row>
    <row r="591" ht="14.25" customHeight="1" s="84">
      <c r="A591" s="51" t="n"/>
      <c r="B591" s="47" t="n"/>
      <c r="C591" s="51" t="n"/>
      <c r="D591" s="51" t="n"/>
      <c r="E591" s="51" t="n"/>
      <c r="F591" s="51" t="n"/>
      <c r="G591" s="47" t="n"/>
      <c r="H591" s="51" t="n"/>
      <c r="I591" s="51" t="n"/>
      <c r="J591" s="51" t="n"/>
      <c r="K591" s="51" t="n"/>
      <c r="L591" s="51" t="n"/>
      <c r="N591" s="51" t="n"/>
      <c r="Q591" s="51" t="n"/>
      <c r="S591" s="51" t="n"/>
      <c r="T591" s="51" t="n"/>
      <c r="U591" s="51" t="inlineStr"/>
      <c r="V591" s="55" t="n"/>
      <c r="W591" s="51" t="inlineStr"/>
      <c r="X591" s="51" t="inlineStr"/>
      <c r="Y591" s="51" t="n"/>
      <c r="AB591" s="57" t="n"/>
      <c r="AC591" s="90" t="n"/>
      <c r="AD591" s="90" t="n"/>
      <c r="AE591" s="88" t="n"/>
      <c r="AF591" s="91" t="n"/>
      <c r="AG591" s="91" t="n"/>
      <c r="AH591" s="88" t="n"/>
      <c r="AI591" s="88" t="n"/>
      <c r="AJ591" s="90" t="n"/>
      <c r="AK591" s="88" t="n"/>
      <c r="AL591" s="91" t="n"/>
      <c r="AM591" s="88" t="n"/>
      <c r="AN591" s="95" t="n"/>
      <c r="AO591" s="90" t="n"/>
      <c r="AP591" s="90" t="n"/>
    </row>
    <row r="592" ht="14.25" customHeight="1" s="84">
      <c r="A592" s="51" t="n"/>
      <c r="B592" s="47" t="n"/>
      <c r="C592" s="51" t="n"/>
      <c r="D592" s="51" t="n"/>
      <c r="E592" s="51" t="n"/>
      <c r="F592" s="51" t="n"/>
      <c r="G592" s="47" t="n"/>
      <c r="H592" s="51" t="n"/>
      <c r="I592" s="51" t="n"/>
      <c r="J592" s="51" t="n"/>
      <c r="K592" s="51" t="n"/>
      <c r="L592" s="51" t="n"/>
      <c r="N592" s="51" t="n"/>
      <c r="Q592" s="51" t="n"/>
      <c r="S592" s="51" t="n"/>
      <c r="T592" s="51" t="n"/>
      <c r="U592" s="51" t="inlineStr"/>
      <c r="V592" s="55" t="n"/>
      <c r="W592" s="51" t="inlineStr"/>
      <c r="X592" s="51" t="inlineStr"/>
      <c r="Y592" s="51" t="n"/>
      <c r="AB592" s="57" t="n"/>
      <c r="AC592" s="90" t="n"/>
      <c r="AD592" s="90" t="n"/>
      <c r="AE592" s="88" t="n"/>
      <c r="AF592" s="91" t="n"/>
      <c r="AG592" s="91" t="n"/>
      <c r="AH592" s="88" t="n"/>
      <c r="AI592" s="88" t="n"/>
      <c r="AJ592" s="90" t="n"/>
      <c r="AK592" s="88" t="n"/>
      <c r="AL592" s="91" t="n"/>
      <c r="AM592" s="88" t="n"/>
      <c r="AN592" s="95" t="n"/>
      <c r="AO592" s="90" t="n"/>
      <c r="AP592" s="90" t="n"/>
    </row>
    <row r="593" ht="14.25" customHeight="1" s="84">
      <c r="A593" s="51" t="n"/>
      <c r="B593" s="47" t="n"/>
      <c r="C593" s="51" t="n"/>
      <c r="D593" s="51" t="n"/>
      <c r="E593" s="51" t="n"/>
      <c r="F593" s="51" t="n"/>
      <c r="G593" s="47" t="n"/>
      <c r="H593" s="51" t="n"/>
      <c r="I593" s="51" t="n"/>
      <c r="J593" s="51" t="n"/>
      <c r="K593" s="51" t="n"/>
      <c r="L593" s="51" t="n"/>
      <c r="N593" s="51" t="n"/>
      <c r="Q593" s="51" t="n"/>
      <c r="S593" s="51" t="n"/>
      <c r="T593" s="51" t="n"/>
      <c r="U593" s="51" t="inlineStr"/>
      <c r="V593" s="55" t="n"/>
      <c r="W593" s="51" t="inlineStr"/>
      <c r="X593" s="51" t="inlineStr"/>
      <c r="Y593" s="51" t="n"/>
      <c r="AB593" s="57" t="n"/>
      <c r="AC593" s="90" t="n"/>
      <c r="AD593" s="90" t="n"/>
      <c r="AE593" s="88" t="n"/>
      <c r="AF593" s="91" t="n"/>
      <c r="AG593" s="91" t="n"/>
      <c r="AH593" s="88" t="n"/>
      <c r="AI593" s="88" t="n"/>
      <c r="AJ593" s="90" t="n"/>
      <c r="AK593" s="88" t="n"/>
      <c r="AL593" s="91" t="n"/>
      <c r="AM593" s="88" t="n"/>
      <c r="AN593" s="95" t="n"/>
      <c r="AO593" s="90" t="n"/>
      <c r="AP593" s="90" t="n"/>
    </row>
    <row r="594" ht="14.25" customHeight="1" s="84">
      <c r="A594" s="51" t="n"/>
      <c r="B594" s="47" t="n"/>
      <c r="C594" s="51" t="n"/>
      <c r="D594" s="51" t="n"/>
      <c r="E594" s="51" t="n"/>
      <c r="F594" s="51" t="n"/>
      <c r="G594" s="47" t="n"/>
      <c r="H594" s="51" t="n"/>
      <c r="I594" s="51" t="n"/>
      <c r="J594" s="51" t="n"/>
      <c r="K594" s="51" t="n"/>
      <c r="L594" s="51" t="n"/>
      <c r="N594" s="51" t="n"/>
      <c r="Q594" s="51" t="n"/>
      <c r="S594" s="51" t="n"/>
      <c r="T594" s="51" t="n"/>
      <c r="U594" s="51" t="inlineStr"/>
      <c r="V594" s="55" t="n"/>
      <c r="W594" s="51" t="inlineStr"/>
      <c r="X594" s="51" t="inlineStr"/>
      <c r="Y594" s="51" t="n"/>
      <c r="AB594" s="57" t="n"/>
      <c r="AC594" s="90" t="n"/>
      <c r="AD594" s="90" t="n"/>
      <c r="AE594" s="88" t="n"/>
      <c r="AF594" s="91" t="n"/>
      <c r="AG594" s="91" t="n"/>
      <c r="AH594" s="88" t="n"/>
      <c r="AI594" s="88" t="n"/>
      <c r="AJ594" s="90" t="n"/>
      <c r="AK594" s="88" t="n"/>
      <c r="AL594" s="91" t="n"/>
      <c r="AM594" s="88" t="n"/>
      <c r="AN594" s="95" t="n"/>
      <c r="AO594" s="90" t="n"/>
      <c r="AP594" s="90" t="n"/>
    </row>
    <row r="595" ht="14.25" customHeight="1" s="84">
      <c r="A595" s="51" t="n"/>
      <c r="B595" s="47" t="n"/>
      <c r="C595" s="51" t="n"/>
      <c r="D595" s="51" t="n"/>
      <c r="E595" s="51" t="n"/>
      <c r="F595" s="51" t="n"/>
      <c r="G595" s="47" t="n"/>
      <c r="H595" s="51" t="n"/>
      <c r="I595" s="51" t="n"/>
      <c r="J595" s="51" t="n"/>
      <c r="K595" s="51" t="n"/>
      <c r="L595" s="51" t="n"/>
      <c r="N595" s="51" t="n"/>
      <c r="Q595" s="51" t="n"/>
      <c r="S595" s="51" t="n"/>
      <c r="T595" s="51" t="n"/>
      <c r="U595" s="51" t="inlineStr"/>
      <c r="V595" s="55" t="n"/>
      <c r="W595" s="51" t="inlineStr"/>
      <c r="X595" s="51" t="inlineStr"/>
      <c r="Y595" s="51" t="n"/>
      <c r="AB595" s="57" t="n"/>
      <c r="AC595" s="90" t="n"/>
      <c r="AD595" s="90" t="n"/>
      <c r="AE595" s="88" t="n"/>
      <c r="AF595" s="91" t="n"/>
      <c r="AG595" s="91" t="n"/>
      <c r="AH595" s="88" t="n"/>
      <c r="AI595" s="88" t="n"/>
      <c r="AJ595" s="90" t="n"/>
      <c r="AK595" s="88" t="n"/>
      <c r="AL595" s="91" t="n"/>
      <c r="AM595" s="88" t="n"/>
      <c r="AN595" s="95" t="n"/>
      <c r="AO595" s="90" t="n"/>
      <c r="AP595" s="90" t="n"/>
    </row>
    <row r="596" ht="14.25" customHeight="1" s="84">
      <c r="A596" s="51" t="n"/>
      <c r="B596" s="47" t="n"/>
      <c r="C596" s="51" t="n"/>
      <c r="D596" s="51" t="n"/>
      <c r="E596" s="51" t="n"/>
      <c r="F596" s="51" t="n"/>
      <c r="G596" s="47" t="n"/>
      <c r="H596" s="51" t="n"/>
      <c r="I596" s="51" t="n"/>
      <c r="J596" s="51" t="n"/>
      <c r="K596" s="51" t="n"/>
      <c r="L596" s="51" t="n"/>
      <c r="N596" s="51" t="n"/>
      <c r="Q596" s="51" t="n"/>
      <c r="S596" s="51" t="n"/>
      <c r="T596" s="51" t="n"/>
      <c r="U596" s="51" t="inlineStr"/>
      <c r="V596" s="55" t="n"/>
      <c r="W596" s="51" t="inlineStr"/>
      <c r="X596" s="51" t="inlineStr"/>
      <c r="Y596" s="51" t="n"/>
      <c r="AB596" s="57" t="n"/>
      <c r="AC596" s="90" t="n"/>
      <c r="AD596" s="90" t="n"/>
      <c r="AE596" s="88" t="n"/>
      <c r="AF596" s="91" t="n"/>
      <c r="AG596" s="91" t="n"/>
      <c r="AH596" s="88" t="n"/>
      <c r="AI596" s="88" t="n"/>
      <c r="AJ596" s="90" t="n"/>
      <c r="AK596" s="88" t="n"/>
      <c r="AL596" s="91" t="n"/>
      <c r="AM596" s="88" t="n"/>
      <c r="AN596" s="95" t="n"/>
      <c r="AO596" s="90" t="n"/>
      <c r="AP596" s="90" t="n"/>
    </row>
    <row r="597" ht="14.25" customHeight="1" s="84">
      <c r="A597" s="51" t="n"/>
      <c r="B597" s="47" t="n"/>
      <c r="C597" s="51" t="n"/>
      <c r="D597" s="51" t="n"/>
      <c r="E597" s="51" t="n"/>
      <c r="F597" s="51" t="n"/>
      <c r="G597" s="47" t="n"/>
      <c r="H597" s="51" t="n"/>
      <c r="I597" s="51" t="n"/>
      <c r="J597" s="51" t="n"/>
      <c r="K597" s="51" t="n"/>
      <c r="L597" s="51" t="n"/>
      <c r="N597" s="51" t="n"/>
      <c r="Q597" s="51" t="n"/>
      <c r="S597" s="51" t="n"/>
      <c r="T597" s="51" t="n"/>
      <c r="U597" s="51" t="inlineStr"/>
      <c r="V597" s="55" t="n"/>
      <c r="W597" s="51" t="inlineStr"/>
      <c r="X597" s="51" t="inlineStr"/>
      <c r="Y597" s="51" t="n"/>
      <c r="AB597" s="57" t="n"/>
      <c r="AC597" s="90" t="n"/>
      <c r="AD597" s="90" t="n"/>
      <c r="AE597" s="88" t="n"/>
      <c r="AF597" s="91" t="n"/>
      <c r="AG597" s="91" t="n"/>
      <c r="AH597" s="88" t="n"/>
      <c r="AI597" s="88" t="n"/>
      <c r="AJ597" s="90" t="n"/>
      <c r="AK597" s="88" t="n"/>
      <c r="AL597" s="91" t="n"/>
      <c r="AM597" s="88" t="n"/>
      <c r="AN597" s="95" t="n"/>
      <c r="AO597" s="90" t="n"/>
      <c r="AP597" s="90" t="n"/>
    </row>
    <row r="598" ht="14.25" customHeight="1" s="84">
      <c r="A598" s="51" t="n"/>
      <c r="B598" s="47" t="n"/>
      <c r="C598" s="51" t="n"/>
      <c r="D598" s="51" t="n"/>
      <c r="E598" s="51" t="n"/>
      <c r="F598" s="51" t="n"/>
      <c r="G598" s="47" t="n"/>
      <c r="H598" s="51" t="n"/>
      <c r="I598" s="51" t="n"/>
      <c r="J598" s="51" t="n"/>
      <c r="K598" s="51" t="n"/>
      <c r="L598" s="51" t="n"/>
      <c r="N598" s="51" t="n"/>
      <c r="Q598" s="51" t="n"/>
      <c r="S598" s="51" t="n"/>
      <c r="T598" s="51" t="n"/>
      <c r="U598" s="51" t="inlineStr"/>
      <c r="V598" s="55" t="n"/>
      <c r="W598" s="51" t="inlineStr"/>
      <c r="X598" s="51" t="inlineStr"/>
      <c r="Y598" s="51" t="n"/>
      <c r="AB598" s="57" t="n"/>
      <c r="AC598" s="90" t="n"/>
      <c r="AD598" s="90" t="n"/>
      <c r="AE598" s="88" t="n"/>
      <c r="AF598" s="91" t="n"/>
      <c r="AG598" s="91" t="n"/>
      <c r="AH598" s="88" t="n"/>
      <c r="AI598" s="88" t="n"/>
      <c r="AJ598" s="90" t="n"/>
      <c r="AK598" s="88" t="n"/>
      <c r="AL598" s="91" t="n"/>
      <c r="AM598" s="88" t="n"/>
      <c r="AN598" s="95" t="n"/>
      <c r="AO598" s="90" t="n"/>
      <c r="AP598" s="90" t="n"/>
    </row>
    <row r="599" ht="14.25" customHeight="1" s="84">
      <c r="A599" s="51" t="n"/>
      <c r="B599" s="47" t="n"/>
      <c r="C599" s="51" t="n"/>
      <c r="D599" s="51" t="n"/>
      <c r="E599" s="51" t="n"/>
      <c r="F599" s="51" t="n"/>
      <c r="G599" s="47" t="n"/>
      <c r="H599" s="51" t="n"/>
      <c r="I599" s="51" t="n"/>
      <c r="J599" s="51" t="n"/>
      <c r="K599" s="51" t="n"/>
      <c r="L599" s="51" t="n"/>
      <c r="N599" s="51" t="n"/>
      <c r="Q599" s="51" t="n"/>
      <c r="S599" s="51" t="n"/>
      <c r="T599" s="51" t="n"/>
      <c r="U599" s="51" t="inlineStr"/>
      <c r="V599" s="55" t="n"/>
      <c r="W599" s="51" t="inlineStr"/>
      <c r="X599" s="51" t="inlineStr"/>
      <c r="Y599" s="51" t="n"/>
      <c r="AB599" s="57" t="n"/>
      <c r="AC599" s="90" t="n"/>
      <c r="AD599" s="90" t="n"/>
      <c r="AE599" s="88" t="n"/>
      <c r="AF599" s="91" t="n"/>
      <c r="AG599" s="91" t="n"/>
      <c r="AH599" s="88" t="n"/>
      <c r="AI599" s="88" t="n"/>
      <c r="AJ599" s="90" t="n"/>
      <c r="AK599" s="88" t="n"/>
      <c r="AL599" s="91" t="n"/>
      <c r="AM599" s="88" t="n"/>
      <c r="AN599" s="95" t="n"/>
      <c r="AO599" s="90" t="n"/>
      <c r="AP599" s="90" t="n"/>
    </row>
    <row r="600" ht="14.25" customHeight="1" s="84">
      <c r="A600" s="51" t="n"/>
      <c r="B600" s="47" t="n"/>
      <c r="C600" s="51" t="n"/>
      <c r="D600" s="51" t="n"/>
      <c r="E600" s="51" t="n"/>
      <c r="F600" s="51" t="n"/>
      <c r="G600" s="47" t="n"/>
      <c r="H600" s="51" t="n"/>
      <c r="I600" s="51" t="n"/>
      <c r="J600" s="51" t="n"/>
      <c r="K600" s="51" t="n"/>
      <c r="L600" s="51" t="n"/>
      <c r="N600" s="51" t="n"/>
      <c r="Q600" s="51" t="n"/>
      <c r="S600" s="51" t="n"/>
      <c r="T600" s="51" t="n"/>
      <c r="U600" s="51" t="inlineStr"/>
      <c r="V600" s="55" t="n"/>
      <c r="W600" s="51" t="inlineStr"/>
      <c r="X600" s="51" t="inlineStr"/>
      <c r="Y600" s="51" t="n"/>
      <c r="AB600" s="57" t="n"/>
      <c r="AC600" s="90" t="n"/>
      <c r="AD600" s="90" t="n"/>
      <c r="AE600" s="88" t="n"/>
      <c r="AF600" s="91" t="n"/>
      <c r="AG600" s="91" t="n"/>
      <c r="AH600" s="88" t="n"/>
      <c r="AI600" s="88" t="n"/>
      <c r="AJ600" s="90" t="n"/>
      <c r="AK600" s="88" t="n"/>
      <c r="AL600" s="91" t="n"/>
      <c r="AM600" s="88" t="n"/>
      <c r="AN600" s="95" t="n"/>
      <c r="AO600" s="90" t="n"/>
      <c r="AP600" s="90" t="n"/>
    </row>
    <row r="601" ht="14.25" customHeight="1" s="84">
      <c r="A601" s="51" t="n"/>
      <c r="B601" s="47" t="n"/>
      <c r="C601" s="51" t="n"/>
      <c r="D601" s="51" t="n"/>
      <c r="E601" s="51" t="n"/>
      <c r="F601" s="51" t="n"/>
      <c r="G601" s="47" t="n"/>
      <c r="H601" s="51" t="n"/>
      <c r="I601" s="51" t="n"/>
      <c r="J601" s="51" t="n"/>
      <c r="K601" s="51" t="n"/>
      <c r="L601" s="51" t="n"/>
      <c r="N601" s="51" t="n"/>
      <c r="Q601" s="51" t="n"/>
      <c r="S601" s="51" t="n"/>
      <c r="T601" s="51" t="n"/>
      <c r="U601" s="51" t="inlineStr"/>
      <c r="V601" s="55" t="n"/>
      <c r="W601" s="51" t="inlineStr"/>
      <c r="X601" s="51" t="inlineStr"/>
      <c r="Y601" s="51" t="n"/>
      <c r="AB601" s="57" t="n"/>
      <c r="AC601" s="90" t="n"/>
      <c r="AD601" s="90" t="n"/>
      <c r="AE601" s="88" t="n"/>
      <c r="AF601" s="91" t="n"/>
      <c r="AG601" s="91" t="n"/>
      <c r="AH601" s="88" t="n"/>
      <c r="AI601" s="88" t="n"/>
      <c r="AJ601" s="90" t="n"/>
      <c r="AK601" s="88" t="n"/>
      <c r="AL601" s="91" t="n"/>
      <c r="AM601" s="88" t="n"/>
      <c r="AN601" s="95" t="n"/>
      <c r="AO601" s="90" t="n"/>
      <c r="AP601" s="90" t="n"/>
    </row>
    <row r="602" ht="14.25" customHeight="1" s="84">
      <c r="A602" s="51" t="n"/>
      <c r="B602" s="47" t="n"/>
      <c r="C602" s="51" t="n"/>
      <c r="D602" s="51" t="n"/>
      <c r="E602" s="51" t="n"/>
      <c r="F602" s="51" t="n"/>
      <c r="G602" s="47" t="n"/>
      <c r="H602" s="51" t="n"/>
      <c r="I602" s="51" t="n"/>
      <c r="J602" s="51" t="n"/>
      <c r="K602" s="51" t="n"/>
      <c r="L602" s="51" t="n"/>
      <c r="N602" s="51" t="n"/>
      <c r="Q602" s="51" t="n"/>
      <c r="S602" s="51" t="n"/>
      <c r="T602" s="51" t="n"/>
      <c r="U602" s="51" t="inlineStr"/>
      <c r="V602" s="55" t="n"/>
      <c r="W602" s="51" t="inlineStr"/>
      <c r="X602" s="51" t="inlineStr"/>
      <c r="Y602" s="51" t="n"/>
      <c r="AB602" s="57" t="n"/>
      <c r="AC602" s="90" t="n"/>
      <c r="AD602" s="90" t="n"/>
      <c r="AE602" s="88" t="n"/>
      <c r="AF602" s="91" t="n"/>
      <c r="AG602" s="91" t="n"/>
      <c r="AH602" s="88" t="n"/>
      <c r="AI602" s="88" t="n"/>
      <c r="AJ602" s="90" t="n"/>
      <c r="AK602" s="88" t="n"/>
      <c r="AL602" s="91" t="n"/>
      <c r="AM602" s="88" t="n"/>
      <c r="AN602" s="95" t="n"/>
      <c r="AO602" s="90" t="n"/>
      <c r="AP602" s="90" t="n"/>
    </row>
    <row r="603" ht="14.25" customHeight="1" s="84">
      <c r="A603" s="51" t="n"/>
      <c r="B603" s="47" t="n"/>
      <c r="C603" s="51" t="n"/>
      <c r="D603" s="51" t="n"/>
      <c r="E603" s="51" t="n"/>
      <c r="F603" s="51" t="n"/>
      <c r="G603" s="47" t="n"/>
      <c r="H603" s="51" t="n"/>
      <c r="I603" s="51" t="n"/>
      <c r="J603" s="51" t="n"/>
      <c r="K603" s="51" t="n"/>
      <c r="L603" s="51" t="n"/>
      <c r="N603" s="51" t="n"/>
      <c r="Q603" s="51" t="n"/>
      <c r="S603" s="51" t="n"/>
      <c r="T603" s="51" t="n"/>
      <c r="U603" s="51" t="inlineStr"/>
      <c r="V603" s="55" t="n"/>
      <c r="W603" s="51" t="inlineStr"/>
      <c r="X603" s="51" t="inlineStr"/>
      <c r="Y603" s="51" t="n"/>
      <c r="AB603" s="57" t="n"/>
      <c r="AC603" s="90" t="n"/>
      <c r="AD603" s="90" t="n"/>
      <c r="AE603" s="88" t="n"/>
      <c r="AF603" s="91" t="n"/>
      <c r="AG603" s="91" t="n"/>
      <c r="AH603" s="88" t="n"/>
      <c r="AI603" s="88" t="n"/>
      <c r="AJ603" s="90" t="n"/>
      <c r="AK603" s="88" t="n"/>
      <c r="AL603" s="91" t="n"/>
      <c r="AM603" s="88" t="n"/>
      <c r="AN603" s="95" t="n"/>
      <c r="AO603" s="90" t="n"/>
      <c r="AP603" s="90" t="n"/>
    </row>
    <row r="604" ht="14.25" customHeight="1" s="84">
      <c r="A604" s="51" t="n"/>
      <c r="B604" s="47" t="n"/>
      <c r="C604" s="51" t="n"/>
      <c r="D604" s="51" t="n"/>
      <c r="E604" s="51" t="n"/>
      <c r="F604" s="51" t="n"/>
      <c r="G604" s="47" t="n"/>
      <c r="H604" s="51" t="n"/>
      <c r="I604" s="51" t="n"/>
      <c r="J604" s="51" t="n"/>
      <c r="K604" s="51" t="n"/>
      <c r="L604" s="51" t="n"/>
      <c r="N604" s="51" t="n"/>
      <c r="Q604" s="51" t="n"/>
      <c r="S604" s="51" t="n"/>
      <c r="T604" s="51" t="n"/>
      <c r="U604" s="51" t="inlineStr"/>
      <c r="V604" s="55" t="n"/>
      <c r="W604" s="51" t="inlineStr"/>
      <c r="X604" s="51" t="inlineStr"/>
      <c r="Y604" s="51" t="n"/>
      <c r="AB604" s="57" t="n"/>
      <c r="AC604" s="90" t="n"/>
      <c r="AD604" s="90" t="n"/>
      <c r="AE604" s="88" t="n"/>
      <c r="AF604" s="91" t="n"/>
      <c r="AG604" s="91" t="n"/>
      <c r="AH604" s="88" t="n"/>
      <c r="AI604" s="88" t="n"/>
      <c r="AJ604" s="90" t="n"/>
      <c r="AK604" s="88" t="n"/>
      <c r="AL604" s="91" t="n"/>
      <c r="AM604" s="88" t="n"/>
      <c r="AN604" s="95" t="n"/>
      <c r="AO604" s="90" t="n"/>
      <c r="AP604" s="90" t="n"/>
    </row>
    <row r="605" ht="14.25" customHeight="1" s="84">
      <c r="A605" s="51" t="n"/>
      <c r="B605" s="47" t="n"/>
      <c r="C605" s="51" t="n"/>
      <c r="D605" s="51" t="n"/>
      <c r="E605" s="51" t="n"/>
      <c r="F605" s="51" t="n"/>
      <c r="G605" s="47" t="n"/>
      <c r="H605" s="51" t="n"/>
      <c r="I605" s="51" t="n"/>
      <c r="J605" s="51" t="n"/>
      <c r="K605" s="51" t="n"/>
      <c r="L605" s="51" t="n"/>
      <c r="N605" s="51" t="n"/>
      <c r="Q605" s="51" t="n"/>
      <c r="S605" s="51" t="n"/>
      <c r="T605" s="51" t="n"/>
      <c r="U605" s="51" t="inlineStr"/>
      <c r="V605" s="55" t="n"/>
      <c r="W605" s="51" t="inlineStr"/>
      <c r="X605" s="51" t="inlineStr"/>
      <c r="Y605" s="51" t="n"/>
      <c r="AB605" s="57" t="n"/>
      <c r="AC605" s="90" t="n"/>
      <c r="AD605" s="90" t="n"/>
      <c r="AE605" s="88" t="n"/>
      <c r="AF605" s="91" t="n"/>
      <c r="AG605" s="91" t="n"/>
      <c r="AH605" s="88" t="n"/>
      <c r="AI605" s="88" t="n"/>
      <c r="AJ605" s="90" t="n"/>
      <c r="AK605" s="88" t="n"/>
      <c r="AL605" s="91" t="n"/>
      <c r="AM605" s="88" t="n"/>
      <c r="AN605" s="95" t="n"/>
      <c r="AO605" s="90" t="n"/>
      <c r="AP605" s="90" t="n"/>
    </row>
    <row r="606" ht="14.25" customHeight="1" s="84">
      <c r="A606" s="51" t="n"/>
      <c r="B606" s="47" t="n"/>
      <c r="C606" s="51" t="n"/>
      <c r="D606" s="51" t="n"/>
      <c r="E606" s="51" t="n"/>
      <c r="F606" s="51" t="n"/>
      <c r="G606" s="47" t="n"/>
      <c r="H606" s="51" t="n"/>
      <c r="I606" s="51" t="n"/>
      <c r="J606" s="51" t="n"/>
      <c r="K606" s="51" t="n"/>
      <c r="L606" s="51" t="n"/>
      <c r="N606" s="51" t="n"/>
      <c r="Q606" s="51" t="n"/>
      <c r="S606" s="51" t="n"/>
      <c r="T606" s="51" t="n"/>
      <c r="U606" s="51" t="inlineStr"/>
      <c r="V606" s="55" t="n"/>
      <c r="W606" s="51" t="inlineStr"/>
      <c r="X606" s="51" t="inlineStr"/>
      <c r="Y606" s="51" t="n"/>
      <c r="AB606" s="57" t="n"/>
      <c r="AC606" s="90" t="n"/>
      <c r="AD606" s="90" t="n"/>
      <c r="AE606" s="88" t="n"/>
      <c r="AF606" s="91" t="n"/>
      <c r="AG606" s="91" t="n"/>
      <c r="AH606" s="88" t="n"/>
      <c r="AI606" s="88" t="n"/>
      <c r="AJ606" s="90" t="n"/>
      <c r="AK606" s="88" t="n"/>
      <c r="AL606" s="91" t="n"/>
      <c r="AM606" s="88" t="n"/>
      <c r="AN606" s="95" t="n"/>
      <c r="AO606" s="90" t="n"/>
      <c r="AP606" s="90" t="n"/>
    </row>
    <row r="607" ht="14.25" customHeight="1" s="84">
      <c r="A607" s="51" t="n"/>
      <c r="B607" s="47" t="n"/>
      <c r="C607" s="51" t="n"/>
      <c r="D607" s="51" t="n"/>
      <c r="E607" s="51" t="n"/>
      <c r="F607" s="51" t="n"/>
      <c r="G607" s="47" t="n"/>
      <c r="H607" s="51" t="n"/>
      <c r="I607" s="51" t="n"/>
      <c r="J607" s="51" t="n"/>
      <c r="K607" s="51" t="n"/>
      <c r="L607" s="51" t="n"/>
      <c r="N607" s="51" t="n"/>
      <c r="Q607" s="51" t="n"/>
      <c r="S607" s="51" t="n"/>
      <c r="T607" s="51" t="n"/>
      <c r="U607" s="51" t="inlineStr"/>
      <c r="V607" s="55" t="n"/>
      <c r="W607" s="51" t="inlineStr"/>
      <c r="X607" s="51" t="inlineStr"/>
      <c r="Y607" s="51" t="n"/>
      <c r="AB607" s="57" t="n"/>
      <c r="AC607" s="90" t="n"/>
      <c r="AD607" s="90" t="n"/>
      <c r="AE607" s="88" t="n"/>
      <c r="AF607" s="91" t="n"/>
      <c r="AG607" s="91" t="n"/>
      <c r="AH607" s="88" t="n"/>
      <c r="AI607" s="88" t="n"/>
      <c r="AJ607" s="90" t="n"/>
      <c r="AK607" s="88" t="n"/>
      <c r="AL607" s="91" t="n"/>
      <c r="AM607" s="88" t="n"/>
      <c r="AN607" s="95" t="n"/>
      <c r="AO607" s="90" t="n"/>
      <c r="AP607" s="90" t="n"/>
    </row>
    <row r="608" ht="14.25" customHeight="1" s="84">
      <c r="A608" s="51" t="n"/>
      <c r="B608" s="47" t="n"/>
      <c r="C608" s="51" t="n"/>
      <c r="D608" s="51" t="n"/>
      <c r="E608" s="51" t="n"/>
      <c r="F608" s="51" t="n"/>
      <c r="G608" s="47" t="n"/>
      <c r="H608" s="51" t="n"/>
      <c r="I608" s="51" t="n"/>
      <c r="J608" s="51" t="n"/>
      <c r="K608" s="51" t="n"/>
      <c r="L608" s="51" t="n"/>
      <c r="N608" s="51" t="n"/>
      <c r="Q608" s="51" t="n"/>
      <c r="S608" s="51" t="n"/>
      <c r="T608" s="51" t="n"/>
      <c r="U608" s="51" t="inlineStr"/>
      <c r="V608" s="55" t="n"/>
      <c r="W608" s="51" t="inlineStr"/>
      <c r="X608" s="51" t="inlineStr"/>
      <c r="Y608" s="51" t="n"/>
      <c r="AB608" s="57" t="n"/>
      <c r="AC608" s="90" t="n"/>
      <c r="AD608" s="90" t="n"/>
      <c r="AE608" s="88" t="n"/>
      <c r="AF608" s="91" t="n"/>
      <c r="AG608" s="91" t="n"/>
      <c r="AH608" s="88" t="n"/>
      <c r="AI608" s="88" t="n"/>
      <c r="AJ608" s="90" t="n"/>
      <c r="AK608" s="88" t="n"/>
      <c r="AL608" s="91" t="n"/>
      <c r="AM608" s="88" t="n"/>
      <c r="AN608" s="95" t="n"/>
      <c r="AO608" s="90" t="n"/>
      <c r="AP608" s="90" t="n"/>
    </row>
    <row r="609" ht="14.25" customHeight="1" s="84">
      <c r="A609" s="51" t="n"/>
      <c r="B609" s="47" t="n"/>
      <c r="C609" s="51" t="n"/>
      <c r="D609" s="51" t="n"/>
      <c r="E609" s="51" t="n"/>
      <c r="F609" s="51" t="n"/>
      <c r="G609" s="47" t="n"/>
      <c r="H609" s="51" t="n"/>
      <c r="I609" s="51" t="n"/>
      <c r="J609" s="51" t="n"/>
      <c r="K609" s="51" t="n"/>
      <c r="L609" s="51" t="n"/>
      <c r="N609" s="51" t="n"/>
      <c r="Q609" s="51" t="n"/>
      <c r="S609" s="51" t="n"/>
      <c r="T609" s="51" t="n"/>
      <c r="U609" s="51" t="inlineStr"/>
      <c r="V609" s="55" t="n"/>
      <c r="W609" s="51" t="inlineStr"/>
      <c r="X609" s="51" t="inlineStr"/>
      <c r="Y609" s="51" t="n"/>
      <c r="AB609" s="57" t="n"/>
      <c r="AC609" s="90" t="n"/>
      <c r="AD609" s="90" t="n"/>
      <c r="AE609" s="88" t="n"/>
      <c r="AF609" s="91" t="n"/>
      <c r="AG609" s="91" t="n"/>
      <c r="AH609" s="88" t="n"/>
      <c r="AI609" s="88" t="n"/>
      <c r="AJ609" s="90" t="n"/>
      <c r="AK609" s="88" t="n"/>
      <c r="AL609" s="91" t="n"/>
      <c r="AM609" s="88" t="n"/>
      <c r="AN609" s="95" t="n"/>
      <c r="AO609" s="90" t="n"/>
      <c r="AP609" s="90" t="n"/>
    </row>
    <row r="610" ht="14.25" customHeight="1" s="84">
      <c r="A610" s="51" t="n"/>
      <c r="B610" s="47" t="n"/>
      <c r="C610" s="51" t="n"/>
      <c r="D610" s="51" t="n"/>
      <c r="E610" s="51" t="n"/>
      <c r="F610" s="51" t="n"/>
      <c r="G610" s="47" t="n"/>
      <c r="H610" s="51" t="n"/>
      <c r="I610" s="51" t="n"/>
      <c r="J610" s="51" t="n"/>
      <c r="K610" s="51" t="n"/>
      <c r="L610" s="51" t="n"/>
      <c r="N610" s="51" t="n"/>
      <c r="Q610" s="51" t="n"/>
      <c r="S610" s="51" t="n"/>
      <c r="T610" s="51" t="n"/>
      <c r="U610" s="51" t="inlineStr"/>
      <c r="V610" s="55" t="n"/>
      <c r="W610" s="51" t="inlineStr"/>
      <c r="X610" s="51" t="inlineStr"/>
      <c r="Y610" s="51" t="n"/>
      <c r="AB610" s="57" t="n"/>
      <c r="AC610" s="90" t="n"/>
      <c r="AD610" s="90" t="n"/>
      <c r="AE610" s="88" t="n"/>
      <c r="AF610" s="91" t="n"/>
      <c r="AG610" s="91" t="n"/>
      <c r="AH610" s="88" t="n"/>
      <c r="AI610" s="88" t="n"/>
      <c r="AJ610" s="90" t="n"/>
      <c r="AK610" s="88" t="n"/>
      <c r="AL610" s="91" t="n"/>
      <c r="AM610" s="88" t="n"/>
      <c r="AN610" s="95" t="n"/>
      <c r="AO610" s="90" t="n"/>
      <c r="AP610" s="90" t="n"/>
    </row>
    <row r="611" ht="14.25" customHeight="1" s="84">
      <c r="A611" s="51" t="n"/>
      <c r="B611" s="47" t="n"/>
      <c r="C611" s="51" t="n"/>
      <c r="D611" s="51" t="n"/>
      <c r="E611" s="51" t="n"/>
      <c r="F611" s="51" t="n"/>
      <c r="G611" s="47" t="n"/>
      <c r="H611" s="51" t="n"/>
      <c r="I611" s="51" t="n"/>
      <c r="J611" s="51" t="n"/>
      <c r="K611" s="51" t="n"/>
      <c r="L611" s="51" t="n"/>
      <c r="N611" s="51" t="n"/>
      <c r="Q611" s="51" t="n"/>
      <c r="S611" s="51" t="n"/>
      <c r="T611" s="51" t="n"/>
      <c r="U611" s="51" t="inlineStr"/>
      <c r="V611" s="55" t="n"/>
      <c r="W611" s="51" t="inlineStr"/>
      <c r="X611" s="51" t="inlineStr"/>
      <c r="Y611" s="51" t="n"/>
      <c r="AB611" s="57" t="n"/>
      <c r="AC611" s="90" t="n"/>
      <c r="AD611" s="90" t="n"/>
      <c r="AE611" s="88" t="n"/>
      <c r="AF611" s="91" t="n"/>
      <c r="AG611" s="91" t="n"/>
      <c r="AH611" s="88" t="n"/>
      <c r="AI611" s="88" t="n"/>
      <c r="AJ611" s="90" t="n"/>
      <c r="AK611" s="88" t="n"/>
      <c r="AL611" s="91" t="n"/>
      <c r="AM611" s="88" t="n"/>
      <c r="AN611" s="95" t="n"/>
      <c r="AO611" s="90" t="n"/>
      <c r="AP611" s="90" t="n"/>
    </row>
    <row r="612" ht="14.25" customHeight="1" s="84">
      <c r="A612" s="51" t="n"/>
      <c r="B612" s="47" t="n"/>
      <c r="C612" s="51" t="n"/>
      <c r="D612" s="51" t="n"/>
      <c r="E612" s="51" t="n"/>
      <c r="F612" s="51" t="n"/>
      <c r="G612" s="47" t="n"/>
      <c r="H612" s="51" t="n"/>
      <c r="I612" s="51" t="n"/>
      <c r="J612" s="51" t="n"/>
      <c r="K612" s="51" t="n"/>
      <c r="L612" s="51" t="n"/>
      <c r="N612" s="51" t="n"/>
      <c r="Q612" s="51" t="n"/>
      <c r="S612" s="51" t="n"/>
      <c r="T612" s="51" t="n"/>
      <c r="U612" s="51" t="inlineStr"/>
      <c r="V612" s="55" t="n"/>
      <c r="W612" s="51" t="inlineStr"/>
      <c r="X612" s="51" t="inlineStr"/>
      <c r="Y612" s="51" t="n"/>
      <c r="AB612" s="57" t="n"/>
      <c r="AC612" s="90" t="n"/>
      <c r="AD612" s="90" t="n"/>
      <c r="AE612" s="88" t="n"/>
      <c r="AF612" s="91" t="n"/>
      <c r="AG612" s="91" t="n"/>
      <c r="AH612" s="88" t="n"/>
      <c r="AI612" s="88" t="n"/>
      <c r="AJ612" s="90" t="n"/>
      <c r="AK612" s="88" t="n"/>
      <c r="AL612" s="91" t="n"/>
      <c r="AM612" s="88" t="n"/>
      <c r="AN612" s="95" t="n"/>
      <c r="AO612" s="90" t="n"/>
      <c r="AP612" s="90" t="n"/>
    </row>
    <row r="613" ht="14.25" customHeight="1" s="84">
      <c r="A613" s="51" t="n"/>
      <c r="B613" s="47" t="n"/>
      <c r="C613" s="51" t="n"/>
      <c r="D613" s="51" t="n"/>
      <c r="E613" s="51" t="n"/>
      <c r="F613" s="51" t="n"/>
      <c r="G613" s="47" t="n"/>
      <c r="H613" s="51" t="n"/>
      <c r="I613" s="51" t="n"/>
      <c r="J613" s="51" t="n"/>
      <c r="K613" s="51" t="n"/>
      <c r="L613" s="51" t="n"/>
      <c r="N613" s="51" t="n"/>
      <c r="Q613" s="51" t="n"/>
      <c r="S613" s="51" t="n"/>
      <c r="T613" s="51" t="n"/>
      <c r="U613" s="51" t="inlineStr"/>
      <c r="V613" s="55" t="n"/>
      <c r="W613" s="51" t="inlineStr"/>
      <c r="X613" s="51" t="inlineStr"/>
      <c r="Y613" s="51" t="n"/>
      <c r="AB613" s="57" t="n"/>
      <c r="AC613" s="90" t="n"/>
      <c r="AD613" s="90" t="n"/>
      <c r="AE613" s="88" t="n"/>
      <c r="AF613" s="91" t="n"/>
      <c r="AG613" s="91" t="n"/>
      <c r="AH613" s="88" t="n"/>
      <c r="AI613" s="88" t="n"/>
      <c r="AJ613" s="90" t="n"/>
      <c r="AK613" s="88" t="n"/>
      <c r="AL613" s="91" t="n"/>
      <c r="AM613" s="88" t="n"/>
      <c r="AN613" s="95" t="n"/>
      <c r="AO613" s="90" t="n"/>
      <c r="AP613" s="90" t="n"/>
    </row>
    <row r="614" ht="14.25" customHeight="1" s="84">
      <c r="A614" s="51" t="n"/>
      <c r="B614" s="47" t="n"/>
      <c r="C614" s="51" t="n"/>
      <c r="D614" s="51" t="n"/>
      <c r="E614" s="51" t="n"/>
      <c r="F614" s="51" t="n"/>
      <c r="G614" s="47" t="n"/>
      <c r="H614" s="51" t="n"/>
      <c r="I614" s="51" t="n"/>
      <c r="J614" s="51" t="n"/>
      <c r="K614" s="51" t="n"/>
      <c r="L614" s="51" t="n"/>
      <c r="N614" s="51" t="n"/>
      <c r="Q614" s="51" t="n"/>
      <c r="S614" s="51" t="n"/>
      <c r="T614" s="51" t="n"/>
      <c r="U614" s="51" t="inlineStr"/>
      <c r="V614" s="55" t="n"/>
      <c r="W614" s="51" t="inlineStr"/>
      <c r="X614" s="51" t="inlineStr"/>
      <c r="Y614" s="51" t="n"/>
      <c r="AB614" s="57" t="n"/>
      <c r="AC614" s="90" t="n"/>
      <c r="AD614" s="90" t="n"/>
      <c r="AE614" s="88" t="n"/>
      <c r="AF614" s="91" t="n"/>
      <c r="AG614" s="91" t="n"/>
      <c r="AH614" s="88" t="n"/>
      <c r="AI614" s="88" t="n"/>
      <c r="AJ614" s="90" t="n"/>
      <c r="AK614" s="88" t="n"/>
      <c r="AL614" s="91" t="n"/>
      <c r="AM614" s="88" t="n"/>
      <c r="AN614" s="95" t="n"/>
      <c r="AO614" s="90" t="n"/>
      <c r="AP614" s="90" t="n"/>
    </row>
    <row r="615" ht="14.25" customHeight="1" s="84">
      <c r="A615" s="51" t="n"/>
      <c r="B615" s="47" t="n"/>
      <c r="C615" s="51" t="n"/>
      <c r="D615" s="51" t="n"/>
      <c r="E615" s="51" t="n"/>
      <c r="F615" s="51" t="n"/>
      <c r="G615" s="47" t="n"/>
      <c r="H615" s="51" t="n"/>
      <c r="I615" s="51" t="n"/>
      <c r="J615" s="51" t="n"/>
      <c r="K615" s="51" t="n"/>
      <c r="L615" s="51" t="n"/>
      <c r="N615" s="51" t="n"/>
      <c r="Q615" s="51" t="n"/>
      <c r="S615" s="51" t="n"/>
      <c r="T615" s="51" t="n"/>
      <c r="U615" s="51" t="inlineStr"/>
      <c r="V615" s="55" t="n"/>
      <c r="W615" s="51" t="inlineStr"/>
      <c r="X615" s="51" t="inlineStr"/>
      <c r="Y615" s="51" t="n"/>
      <c r="AB615" s="57" t="n"/>
      <c r="AC615" s="90" t="n"/>
      <c r="AD615" s="90" t="n"/>
      <c r="AE615" s="88" t="n"/>
      <c r="AF615" s="91" t="n"/>
      <c r="AG615" s="91" t="n"/>
      <c r="AH615" s="88" t="n"/>
      <c r="AI615" s="88" t="n"/>
      <c r="AJ615" s="90" t="n"/>
      <c r="AK615" s="88" t="n"/>
      <c r="AL615" s="91" t="n"/>
      <c r="AM615" s="88" t="n"/>
      <c r="AN615" s="95" t="n"/>
      <c r="AO615" s="90" t="n"/>
      <c r="AP615" s="90" t="n"/>
    </row>
    <row r="616" ht="14.25" customHeight="1" s="84">
      <c r="A616" s="51" t="n"/>
      <c r="B616" s="47" t="n"/>
      <c r="C616" s="51" t="n"/>
      <c r="D616" s="51" t="n"/>
      <c r="E616" s="51" t="n"/>
      <c r="F616" s="51" t="n"/>
      <c r="G616" s="47" t="n"/>
      <c r="H616" s="51" t="n"/>
      <c r="I616" s="51" t="n"/>
      <c r="J616" s="51" t="n"/>
      <c r="K616" s="51" t="n"/>
      <c r="L616" s="51" t="n"/>
      <c r="N616" s="51" t="n"/>
      <c r="Q616" s="51" t="n"/>
      <c r="S616" s="51" t="n"/>
      <c r="T616" s="51" t="n"/>
      <c r="U616" s="51" t="inlineStr"/>
      <c r="V616" s="55" t="n"/>
      <c r="W616" s="51" t="inlineStr"/>
      <c r="X616" s="51" t="inlineStr"/>
      <c r="Y616" s="51" t="n"/>
      <c r="AB616" s="57" t="n"/>
      <c r="AC616" s="90" t="n"/>
      <c r="AD616" s="90" t="n"/>
      <c r="AE616" s="88" t="n"/>
      <c r="AF616" s="91" t="n"/>
      <c r="AG616" s="91" t="n"/>
      <c r="AH616" s="88" t="n"/>
      <c r="AI616" s="88" t="n"/>
      <c r="AJ616" s="90" t="n"/>
      <c r="AK616" s="88" t="n"/>
      <c r="AL616" s="91" t="n"/>
      <c r="AM616" s="88" t="n"/>
      <c r="AN616" s="95" t="n"/>
      <c r="AO616" s="90" t="n"/>
      <c r="AP616" s="90" t="n"/>
    </row>
    <row r="617" ht="14.25" customHeight="1" s="84">
      <c r="A617" s="51" t="n"/>
      <c r="B617" s="47" t="n"/>
      <c r="C617" s="51" t="n"/>
      <c r="D617" s="51" t="n"/>
      <c r="E617" s="51" t="n"/>
      <c r="F617" s="51" t="n"/>
      <c r="G617" s="47" t="n"/>
      <c r="H617" s="51" t="n"/>
      <c r="I617" s="51" t="n"/>
      <c r="J617" s="51" t="n"/>
      <c r="K617" s="51" t="n"/>
      <c r="L617" s="51" t="n"/>
      <c r="N617" s="51" t="n"/>
      <c r="Q617" s="51" t="n"/>
      <c r="S617" s="51" t="n"/>
      <c r="T617" s="51" t="n"/>
      <c r="U617" s="51" t="inlineStr"/>
      <c r="V617" s="55" t="n"/>
      <c r="W617" s="51" t="inlineStr"/>
      <c r="X617" s="51" t="inlineStr"/>
      <c r="Y617" s="51" t="n"/>
      <c r="AB617" s="57" t="n"/>
      <c r="AC617" s="90" t="n"/>
      <c r="AD617" s="90" t="n"/>
      <c r="AE617" s="88" t="n"/>
      <c r="AF617" s="91" t="n"/>
      <c r="AG617" s="91" t="n"/>
      <c r="AH617" s="88" t="n"/>
      <c r="AI617" s="88" t="n"/>
      <c r="AJ617" s="90" t="n"/>
      <c r="AK617" s="88" t="n"/>
      <c r="AL617" s="91" t="n"/>
      <c r="AM617" s="88" t="n"/>
      <c r="AN617" s="95" t="n"/>
      <c r="AO617" s="90" t="n"/>
      <c r="AP617" s="90" t="n"/>
    </row>
    <row r="618" ht="14.25" customHeight="1" s="84">
      <c r="A618" s="51" t="n"/>
      <c r="B618" s="47" t="n"/>
      <c r="C618" s="51" t="n"/>
      <c r="D618" s="51" t="n"/>
      <c r="E618" s="51" t="n"/>
      <c r="F618" s="51" t="n"/>
      <c r="G618" s="47" t="n"/>
      <c r="H618" s="51" t="n"/>
      <c r="I618" s="51" t="n"/>
      <c r="J618" s="51" t="n"/>
      <c r="K618" s="51" t="n"/>
      <c r="L618" s="51" t="n"/>
      <c r="N618" s="51" t="n"/>
      <c r="Q618" s="51" t="n"/>
      <c r="S618" s="51" t="n"/>
      <c r="T618" s="51" t="n"/>
      <c r="U618" s="51" t="inlineStr"/>
      <c r="V618" s="55" t="n"/>
      <c r="W618" s="51" t="inlineStr"/>
      <c r="X618" s="51" t="inlineStr"/>
      <c r="Y618" s="51" t="n"/>
      <c r="AB618" s="57" t="n"/>
      <c r="AC618" s="90" t="n"/>
      <c r="AD618" s="90" t="n"/>
      <c r="AE618" s="88" t="n"/>
      <c r="AF618" s="91" t="n"/>
      <c r="AG618" s="91" t="n"/>
      <c r="AH618" s="88" t="n"/>
      <c r="AI618" s="88" t="n"/>
      <c r="AJ618" s="90" t="n"/>
      <c r="AK618" s="88" t="n"/>
      <c r="AL618" s="91" t="n"/>
      <c r="AM618" s="88" t="n"/>
      <c r="AN618" s="95" t="n"/>
      <c r="AO618" s="90" t="n"/>
      <c r="AP618" s="90" t="n"/>
    </row>
    <row r="619" ht="14.25" customHeight="1" s="84">
      <c r="A619" s="51" t="n"/>
      <c r="B619" s="47" t="n"/>
      <c r="C619" s="51" t="n"/>
      <c r="D619" s="51" t="n"/>
      <c r="E619" s="51" t="n"/>
      <c r="F619" s="51" t="n"/>
      <c r="G619" s="47" t="n"/>
      <c r="H619" s="51" t="n"/>
      <c r="I619" s="51" t="n"/>
      <c r="J619" s="51" t="n"/>
      <c r="K619" s="51" t="n"/>
      <c r="L619" s="51" t="n"/>
      <c r="N619" s="51" t="n"/>
      <c r="Q619" s="51" t="n"/>
      <c r="S619" s="51" t="n"/>
      <c r="T619" s="51" t="n"/>
      <c r="U619" s="51" t="inlineStr"/>
      <c r="V619" s="55" t="n"/>
      <c r="W619" s="51" t="inlineStr"/>
      <c r="X619" s="51" t="inlineStr"/>
      <c r="Y619" s="51" t="n"/>
      <c r="AB619" s="57" t="n"/>
      <c r="AC619" s="90" t="n"/>
      <c r="AD619" s="90" t="n"/>
      <c r="AE619" s="88" t="n"/>
      <c r="AF619" s="91" t="n"/>
      <c r="AG619" s="91" t="n"/>
      <c r="AH619" s="88" t="n"/>
      <c r="AI619" s="88" t="n"/>
      <c r="AJ619" s="90" t="n"/>
      <c r="AK619" s="88" t="n"/>
      <c r="AL619" s="91" t="n"/>
      <c r="AM619" s="88" t="n"/>
      <c r="AN619" s="95" t="n"/>
      <c r="AO619" s="90" t="n"/>
      <c r="AP619" s="90" t="n"/>
    </row>
    <row r="620" ht="14.25" customHeight="1" s="84">
      <c r="A620" s="51" t="n"/>
      <c r="B620" s="47" t="n"/>
      <c r="C620" s="51" t="n"/>
      <c r="D620" s="51" t="n"/>
      <c r="E620" s="51" t="n"/>
      <c r="F620" s="51" t="n"/>
      <c r="G620" s="47" t="n"/>
      <c r="H620" s="51" t="n"/>
      <c r="I620" s="51" t="n"/>
      <c r="J620" s="51" t="n"/>
      <c r="K620" s="51" t="n"/>
      <c r="L620" s="51" t="n"/>
      <c r="N620" s="51" t="n"/>
      <c r="Q620" s="51" t="n"/>
      <c r="S620" s="51" t="n"/>
      <c r="T620" s="51" t="n"/>
      <c r="U620" s="51" t="inlineStr"/>
      <c r="V620" s="55" t="n"/>
      <c r="W620" s="51" t="inlineStr"/>
      <c r="X620" s="51" t="inlineStr"/>
      <c r="Y620" s="51" t="n"/>
      <c r="AB620" s="57" t="n"/>
      <c r="AC620" s="90" t="n"/>
      <c r="AD620" s="90" t="n"/>
      <c r="AE620" s="88" t="n"/>
      <c r="AF620" s="91" t="n"/>
      <c r="AG620" s="91" t="n"/>
      <c r="AH620" s="88" t="n"/>
      <c r="AI620" s="88" t="n"/>
      <c r="AJ620" s="90" t="n"/>
      <c r="AK620" s="88" t="n"/>
      <c r="AL620" s="91" t="n"/>
      <c r="AM620" s="88" t="n"/>
      <c r="AN620" s="95" t="n"/>
      <c r="AO620" s="90" t="n"/>
      <c r="AP620" s="90" t="n"/>
    </row>
    <row r="621" ht="14.25" customHeight="1" s="84">
      <c r="A621" s="51" t="n"/>
      <c r="B621" s="47" t="n"/>
      <c r="C621" s="51" t="n"/>
      <c r="D621" s="51" t="n"/>
      <c r="E621" s="51" t="n"/>
      <c r="F621" s="51" t="n"/>
      <c r="G621" s="47" t="n"/>
      <c r="H621" s="51" t="n"/>
      <c r="I621" s="51" t="n"/>
      <c r="J621" s="51" t="n"/>
      <c r="K621" s="51" t="n"/>
      <c r="L621" s="51" t="n"/>
      <c r="N621" s="51" t="n"/>
      <c r="Q621" s="51" t="n"/>
      <c r="S621" s="51" t="n"/>
      <c r="T621" s="51" t="n"/>
      <c r="U621" s="51" t="inlineStr"/>
      <c r="V621" s="55" t="n"/>
      <c r="W621" s="51" t="inlineStr"/>
      <c r="X621" s="51" t="inlineStr"/>
      <c r="Y621" s="51" t="n"/>
      <c r="AB621" s="57" t="n"/>
      <c r="AC621" s="90" t="n"/>
      <c r="AD621" s="90" t="n"/>
      <c r="AE621" s="88" t="n"/>
      <c r="AF621" s="91" t="n"/>
      <c r="AG621" s="91" t="n"/>
      <c r="AH621" s="88" t="n"/>
      <c r="AI621" s="88" t="n"/>
      <c r="AJ621" s="90" t="n"/>
      <c r="AK621" s="88" t="n"/>
      <c r="AL621" s="91" t="n"/>
      <c r="AM621" s="88" t="n"/>
      <c r="AN621" s="95" t="n"/>
      <c r="AO621" s="90" t="n"/>
      <c r="AP621" s="90" t="n"/>
    </row>
    <row r="622" ht="14.25" customHeight="1" s="84">
      <c r="A622" s="51" t="n"/>
      <c r="B622" s="47" t="n"/>
      <c r="C622" s="51" t="n"/>
      <c r="D622" s="51" t="n"/>
      <c r="E622" s="51" t="n"/>
      <c r="F622" s="51" t="n"/>
      <c r="G622" s="47" t="n"/>
      <c r="H622" s="51" t="n"/>
      <c r="I622" s="51" t="n"/>
      <c r="J622" s="51" t="n"/>
      <c r="K622" s="51" t="n"/>
      <c r="L622" s="51" t="n"/>
      <c r="N622" s="51" t="n"/>
      <c r="Q622" s="51" t="n"/>
      <c r="S622" s="51" t="n"/>
      <c r="T622" s="51" t="n"/>
      <c r="U622" s="51" t="inlineStr"/>
      <c r="V622" s="55" t="n"/>
      <c r="W622" s="51" t="inlineStr"/>
      <c r="X622" s="51" t="inlineStr"/>
      <c r="Y622" s="51" t="n"/>
      <c r="AB622" s="57" t="n"/>
      <c r="AC622" s="90" t="n"/>
      <c r="AD622" s="90" t="n"/>
      <c r="AE622" s="88" t="n"/>
      <c r="AF622" s="91" t="n"/>
      <c r="AG622" s="91" t="n"/>
      <c r="AH622" s="88" t="n"/>
      <c r="AI622" s="88" t="n"/>
      <c r="AJ622" s="90" t="n"/>
      <c r="AK622" s="88" t="n"/>
      <c r="AL622" s="91" t="n"/>
      <c r="AM622" s="88" t="n"/>
      <c r="AN622" s="95" t="n"/>
      <c r="AO622" s="90" t="n"/>
      <c r="AP622" s="90" t="n"/>
    </row>
    <row r="623" ht="14.25" customHeight="1" s="84">
      <c r="A623" s="51" t="n"/>
      <c r="B623" s="47" t="n"/>
      <c r="C623" s="51" t="n"/>
      <c r="D623" s="51" t="n"/>
      <c r="E623" s="51" t="n"/>
      <c r="F623" s="51" t="n"/>
      <c r="G623" s="47" t="n"/>
      <c r="H623" s="51" t="n"/>
      <c r="I623" s="51" t="n"/>
      <c r="J623" s="51" t="n"/>
      <c r="K623" s="51" t="n"/>
      <c r="L623" s="51" t="n"/>
      <c r="N623" s="51" t="n"/>
      <c r="Q623" s="51" t="n"/>
      <c r="S623" s="51" t="n"/>
      <c r="T623" s="51" t="n"/>
      <c r="U623" s="51" t="inlineStr"/>
      <c r="V623" s="55" t="n"/>
      <c r="W623" s="51" t="inlineStr"/>
      <c r="X623" s="51" t="inlineStr"/>
      <c r="Y623" s="51" t="n"/>
      <c r="AB623" s="57" t="n"/>
      <c r="AC623" s="90" t="n"/>
      <c r="AD623" s="90" t="n"/>
      <c r="AE623" s="88" t="n"/>
      <c r="AF623" s="91" t="n"/>
      <c r="AG623" s="91" t="n"/>
      <c r="AH623" s="88" t="n"/>
      <c r="AI623" s="88" t="n"/>
      <c r="AJ623" s="90" t="n"/>
      <c r="AK623" s="88" t="n"/>
      <c r="AL623" s="91" t="n"/>
      <c r="AM623" s="88" t="n"/>
      <c r="AN623" s="95" t="n"/>
      <c r="AO623" s="90" t="n"/>
      <c r="AP623" s="90" t="n"/>
    </row>
    <row r="624" ht="14.25" customHeight="1" s="84">
      <c r="A624" s="51" t="n"/>
      <c r="B624" s="47" t="n"/>
      <c r="C624" s="51" t="n"/>
      <c r="D624" s="51" t="n"/>
      <c r="E624" s="51" t="n"/>
      <c r="F624" s="51" t="n"/>
      <c r="G624" s="47" t="n"/>
      <c r="H624" s="51" t="n"/>
      <c r="I624" s="51" t="n"/>
      <c r="J624" s="51" t="n"/>
      <c r="K624" s="51" t="n"/>
      <c r="L624" s="51" t="n"/>
      <c r="N624" s="51" t="n"/>
      <c r="Q624" s="51" t="n"/>
      <c r="S624" s="51" t="n"/>
      <c r="T624" s="51" t="n"/>
      <c r="U624" s="51" t="inlineStr"/>
      <c r="V624" s="55" t="n"/>
      <c r="W624" s="51" t="inlineStr"/>
      <c r="X624" s="51" t="inlineStr"/>
      <c r="Y624" s="51" t="n"/>
      <c r="AB624" s="57" t="n"/>
      <c r="AC624" s="90" t="n"/>
      <c r="AD624" s="90" t="n"/>
      <c r="AE624" s="88" t="n"/>
      <c r="AF624" s="91" t="n"/>
      <c r="AG624" s="91" t="n"/>
      <c r="AH624" s="88" t="n"/>
      <c r="AI624" s="88" t="n"/>
      <c r="AJ624" s="90" t="n"/>
      <c r="AK624" s="88" t="n"/>
      <c r="AL624" s="91" t="n"/>
      <c r="AM624" s="88" t="n"/>
      <c r="AN624" s="95" t="n"/>
      <c r="AO624" s="90" t="n"/>
      <c r="AP624" s="90" t="n"/>
    </row>
    <row r="625" ht="14.25" customHeight="1" s="84">
      <c r="A625" s="51" t="n"/>
      <c r="B625" s="47" t="n"/>
      <c r="C625" s="51" t="n"/>
      <c r="D625" s="51" t="n"/>
      <c r="E625" s="51" t="n"/>
      <c r="F625" s="51" t="n"/>
      <c r="G625" s="47" t="n"/>
      <c r="H625" s="51" t="n"/>
      <c r="I625" s="51" t="n"/>
      <c r="J625" s="51" t="n"/>
      <c r="K625" s="51" t="n"/>
      <c r="L625" s="51" t="n"/>
      <c r="N625" s="51" t="n"/>
      <c r="Q625" s="51" t="n"/>
      <c r="S625" s="51" t="n"/>
      <c r="T625" s="51" t="n"/>
      <c r="U625" s="51" t="inlineStr"/>
      <c r="V625" s="55" t="n"/>
      <c r="W625" s="51" t="inlineStr"/>
      <c r="X625" s="51" t="inlineStr"/>
      <c r="Y625" s="51" t="n"/>
      <c r="AB625" s="57" t="n"/>
      <c r="AC625" s="90" t="n"/>
      <c r="AD625" s="90" t="n"/>
      <c r="AE625" s="88" t="n"/>
      <c r="AF625" s="91" t="n"/>
      <c r="AG625" s="91" t="n"/>
      <c r="AH625" s="88" t="n"/>
      <c r="AI625" s="88" t="n"/>
      <c r="AJ625" s="90" t="n"/>
      <c r="AK625" s="88" t="n"/>
      <c r="AL625" s="91" t="n"/>
      <c r="AM625" s="88" t="n"/>
      <c r="AN625" s="95" t="n"/>
      <c r="AO625" s="90" t="n"/>
      <c r="AP625" s="90" t="n"/>
    </row>
    <row r="626" ht="14.25" customHeight="1" s="84">
      <c r="A626" s="51" t="n"/>
      <c r="B626" s="47" t="n"/>
      <c r="C626" s="51" t="n"/>
      <c r="D626" s="51" t="n"/>
      <c r="E626" s="51" t="n"/>
      <c r="F626" s="51" t="n"/>
      <c r="G626" s="47" t="n"/>
      <c r="H626" s="51" t="n"/>
      <c r="I626" s="51" t="n"/>
      <c r="J626" s="51" t="n"/>
      <c r="K626" s="51" t="n"/>
      <c r="L626" s="51" t="n"/>
      <c r="N626" s="51" t="n"/>
      <c r="Q626" s="51" t="n"/>
      <c r="S626" s="51" t="n"/>
      <c r="T626" s="51" t="n"/>
      <c r="U626" s="51" t="inlineStr"/>
      <c r="V626" s="55" t="n"/>
      <c r="W626" s="51" t="inlineStr"/>
      <c r="X626" s="51" t="inlineStr"/>
      <c r="Y626" s="51" t="n"/>
      <c r="AB626" s="57" t="n"/>
      <c r="AC626" s="90" t="n"/>
      <c r="AD626" s="90" t="n"/>
      <c r="AE626" s="88" t="n"/>
      <c r="AF626" s="91" t="n"/>
      <c r="AG626" s="91" t="n"/>
      <c r="AH626" s="88" t="n"/>
      <c r="AI626" s="88" t="n"/>
      <c r="AJ626" s="90" t="n"/>
      <c r="AK626" s="88" t="n"/>
      <c r="AL626" s="91" t="n"/>
      <c r="AM626" s="88" t="n"/>
      <c r="AN626" s="95" t="n"/>
      <c r="AO626" s="90" t="n"/>
      <c r="AP626" s="90" t="n"/>
    </row>
    <row r="627" ht="14.25" customHeight="1" s="84">
      <c r="A627" s="51" t="n"/>
      <c r="B627" s="47" t="n"/>
      <c r="C627" s="51" t="n"/>
      <c r="D627" s="51" t="n"/>
      <c r="E627" s="51" t="n"/>
      <c r="F627" s="51" t="n"/>
      <c r="G627" s="47" t="n"/>
      <c r="H627" s="51" t="n"/>
      <c r="I627" s="51" t="n"/>
      <c r="J627" s="51" t="n"/>
      <c r="K627" s="51" t="n"/>
      <c r="L627" s="51" t="n"/>
      <c r="N627" s="51" t="n"/>
      <c r="Q627" s="51" t="n"/>
      <c r="S627" s="51" t="n"/>
      <c r="T627" s="51" t="n"/>
      <c r="U627" s="51" t="inlineStr"/>
      <c r="V627" s="55" t="n"/>
      <c r="W627" s="51" t="inlineStr"/>
      <c r="X627" s="51" t="inlineStr"/>
      <c r="Y627" s="51" t="n"/>
      <c r="AB627" s="57" t="n"/>
      <c r="AC627" s="90" t="n"/>
      <c r="AD627" s="90" t="n"/>
      <c r="AE627" s="88" t="n"/>
      <c r="AF627" s="91" t="n"/>
      <c r="AG627" s="91" t="n"/>
      <c r="AH627" s="88" t="n"/>
      <c r="AI627" s="88" t="n"/>
      <c r="AJ627" s="90" t="n"/>
      <c r="AK627" s="88" t="n"/>
      <c r="AL627" s="91" t="n"/>
      <c r="AM627" s="88" t="n"/>
      <c r="AN627" s="95" t="n"/>
      <c r="AO627" s="90" t="n"/>
      <c r="AP627" s="90" t="n"/>
    </row>
    <row r="628" ht="14.25" customHeight="1" s="84">
      <c r="A628" s="51" t="n"/>
      <c r="B628" s="47" t="n"/>
      <c r="C628" s="51" t="n"/>
      <c r="D628" s="51" t="n"/>
      <c r="E628" s="51" t="n"/>
      <c r="F628" s="51" t="n"/>
      <c r="G628" s="47" t="n"/>
      <c r="H628" s="51" t="n"/>
      <c r="I628" s="51" t="n"/>
      <c r="J628" s="51" t="n"/>
      <c r="K628" s="51" t="n"/>
      <c r="L628" s="51" t="n"/>
      <c r="N628" s="51" t="n"/>
      <c r="Q628" s="51" t="n"/>
      <c r="S628" s="51" t="n"/>
      <c r="T628" s="51" t="n"/>
      <c r="U628" s="51" t="inlineStr"/>
      <c r="V628" s="55" t="n"/>
      <c r="W628" s="51" t="inlineStr"/>
      <c r="X628" s="51" t="inlineStr"/>
      <c r="Y628" s="51" t="n"/>
      <c r="AB628" s="57" t="n"/>
      <c r="AC628" s="90" t="n"/>
      <c r="AD628" s="90" t="n"/>
      <c r="AE628" s="88" t="n"/>
      <c r="AF628" s="91" t="n"/>
      <c r="AG628" s="91" t="n"/>
      <c r="AH628" s="88" t="n"/>
      <c r="AI628" s="88" t="n"/>
      <c r="AJ628" s="90" t="n"/>
      <c r="AK628" s="88" t="n"/>
      <c r="AL628" s="91" t="n"/>
      <c r="AM628" s="88" t="n"/>
      <c r="AN628" s="95" t="n"/>
      <c r="AO628" s="90" t="n"/>
      <c r="AP628" s="90" t="n"/>
    </row>
    <row r="629" ht="14.25" customHeight="1" s="84">
      <c r="A629" s="51" t="n"/>
      <c r="B629" s="47" t="n"/>
      <c r="C629" s="51" t="n"/>
      <c r="D629" s="51" t="n"/>
      <c r="E629" s="51" t="n"/>
      <c r="F629" s="51" t="n"/>
      <c r="G629" s="47" t="n"/>
      <c r="H629" s="51" t="n"/>
      <c r="I629" s="51" t="n"/>
      <c r="J629" s="51" t="n"/>
      <c r="K629" s="51" t="n"/>
      <c r="L629" s="51" t="n"/>
      <c r="N629" s="51" t="n"/>
      <c r="Q629" s="51" t="n"/>
      <c r="S629" s="51" t="n"/>
      <c r="T629" s="51" t="n"/>
      <c r="U629" s="51" t="inlineStr"/>
      <c r="V629" s="55" t="n"/>
      <c r="W629" s="51" t="inlineStr"/>
      <c r="X629" s="51" t="inlineStr"/>
      <c r="Y629" s="51" t="n"/>
      <c r="AB629" s="57" t="n"/>
      <c r="AC629" s="90" t="n"/>
      <c r="AD629" s="90" t="n"/>
      <c r="AE629" s="88" t="n"/>
      <c r="AF629" s="91" t="n"/>
      <c r="AG629" s="91" t="n"/>
      <c r="AH629" s="88" t="n"/>
      <c r="AI629" s="88" t="n"/>
      <c r="AJ629" s="90" t="n"/>
      <c r="AK629" s="88" t="n"/>
      <c r="AL629" s="91" t="n"/>
      <c r="AM629" s="88" t="n"/>
      <c r="AN629" s="95" t="n"/>
      <c r="AO629" s="90" t="n"/>
      <c r="AP629" s="90" t="n"/>
    </row>
    <row r="630" ht="14.25" customHeight="1" s="84">
      <c r="A630" s="51" t="n"/>
      <c r="B630" s="47" t="n"/>
      <c r="C630" s="51" t="n"/>
      <c r="D630" s="51" t="n"/>
      <c r="E630" s="51" t="n"/>
      <c r="F630" s="51" t="n"/>
      <c r="G630" s="47" t="n"/>
      <c r="H630" s="51" t="n"/>
      <c r="I630" s="51" t="n"/>
      <c r="J630" s="51" t="n"/>
      <c r="K630" s="51" t="n"/>
      <c r="L630" s="51" t="n"/>
      <c r="N630" s="51" t="n"/>
      <c r="Q630" s="51" t="n"/>
      <c r="S630" s="51" t="n"/>
      <c r="T630" s="51" t="n"/>
      <c r="U630" s="51" t="inlineStr"/>
      <c r="V630" s="55" t="n"/>
      <c r="W630" s="51" t="inlineStr"/>
      <c r="X630" s="51" t="inlineStr"/>
      <c r="Y630" s="51" t="n"/>
      <c r="AB630" s="57" t="n"/>
      <c r="AC630" s="90" t="n"/>
      <c r="AD630" s="90" t="n"/>
      <c r="AE630" s="88" t="n"/>
      <c r="AF630" s="91" t="n"/>
      <c r="AG630" s="91" t="n"/>
      <c r="AH630" s="88" t="n"/>
      <c r="AI630" s="88" t="n"/>
      <c r="AJ630" s="90" t="n"/>
      <c r="AK630" s="88" t="n"/>
      <c r="AL630" s="91" t="n"/>
      <c r="AM630" s="88" t="n"/>
      <c r="AN630" s="95" t="n"/>
      <c r="AO630" s="90" t="n"/>
      <c r="AP630" s="90" t="n"/>
    </row>
    <row r="631" ht="14.25" customHeight="1" s="84">
      <c r="A631" s="51" t="n"/>
      <c r="B631" s="47" t="n"/>
      <c r="C631" s="51" t="n"/>
      <c r="D631" s="51" t="n"/>
      <c r="E631" s="51" t="n"/>
      <c r="F631" s="51" t="n"/>
      <c r="G631" s="47" t="n"/>
      <c r="H631" s="51" t="n"/>
      <c r="I631" s="51" t="n"/>
      <c r="J631" s="51" t="n"/>
      <c r="K631" s="51" t="n"/>
      <c r="L631" s="51" t="n"/>
      <c r="N631" s="51" t="n"/>
      <c r="Q631" s="51" t="n"/>
      <c r="S631" s="51" t="n"/>
      <c r="T631" s="51" t="n"/>
      <c r="U631" s="51" t="inlineStr"/>
      <c r="V631" s="55" t="n"/>
      <c r="W631" s="51" t="inlineStr"/>
      <c r="X631" s="51" t="inlineStr"/>
      <c r="Y631" s="51" t="n"/>
      <c r="AB631" s="57" t="n"/>
      <c r="AC631" s="90" t="n"/>
      <c r="AD631" s="90" t="n"/>
      <c r="AE631" s="88" t="n"/>
      <c r="AF631" s="91" t="n"/>
      <c r="AG631" s="91" t="n"/>
      <c r="AH631" s="88" t="n"/>
      <c r="AI631" s="88" t="n"/>
      <c r="AJ631" s="90" t="n"/>
      <c r="AK631" s="88" t="n"/>
      <c r="AL631" s="91" t="n"/>
      <c r="AM631" s="88" t="n"/>
      <c r="AN631" s="95" t="n"/>
      <c r="AO631" s="90" t="n"/>
      <c r="AP631" s="90" t="n"/>
    </row>
    <row r="632" ht="14.25" customHeight="1" s="84">
      <c r="A632" s="51" t="n"/>
      <c r="B632" s="47" t="n"/>
      <c r="C632" s="51" t="n"/>
      <c r="D632" s="51" t="n"/>
      <c r="E632" s="51" t="n"/>
      <c r="F632" s="51" t="n"/>
      <c r="G632" s="47" t="n"/>
      <c r="H632" s="51" t="n"/>
      <c r="I632" s="51" t="n"/>
      <c r="J632" s="51" t="n"/>
      <c r="K632" s="51" t="n"/>
      <c r="L632" s="51" t="n"/>
      <c r="N632" s="51" t="n"/>
      <c r="Q632" s="51" t="n"/>
      <c r="S632" s="51" t="n"/>
      <c r="T632" s="51" t="n"/>
      <c r="U632" s="51" t="inlineStr"/>
      <c r="V632" s="55" t="n"/>
      <c r="W632" s="51" t="inlineStr"/>
      <c r="X632" s="51" t="inlineStr"/>
      <c r="Y632" s="51" t="n"/>
      <c r="AB632" s="57" t="n"/>
      <c r="AC632" s="90" t="n"/>
      <c r="AD632" s="90" t="n"/>
      <c r="AE632" s="88" t="n"/>
      <c r="AF632" s="91" t="n"/>
      <c r="AG632" s="91" t="n"/>
      <c r="AH632" s="88" t="n"/>
      <c r="AI632" s="88" t="n"/>
      <c r="AJ632" s="90" t="n"/>
      <c r="AK632" s="88" t="n"/>
      <c r="AL632" s="91" t="n"/>
      <c r="AM632" s="88" t="n"/>
      <c r="AN632" s="95" t="n"/>
      <c r="AO632" s="90" t="n"/>
      <c r="AP632" s="90" t="n"/>
    </row>
    <row r="633" ht="14.25" customHeight="1" s="84">
      <c r="A633" s="51" t="n"/>
      <c r="B633" s="47" t="n"/>
      <c r="C633" s="51" t="n"/>
      <c r="D633" s="51" t="n"/>
      <c r="E633" s="51" t="n"/>
      <c r="F633" s="51" t="n"/>
      <c r="G633" s="47" t="n"/>
      <c r="H633" s="51" t="n"/>
      <c r="I633" s="51" t="n"/>
      <c r="J633" s="51" t="n"/>
      <c r="K633" s="51" t="n"/>
      <c r="L633" s="51" t="n"/>
      <c r="N633" s="51" t="n"/>
      <c r="Q633" s="51" t="n"/>
      <c r="S633" s="51" t="n"/>
      <c r="T633" s="51" t="n"/>
      <c r="U633" s="51" t="inlineStr"/>
      <c r="V633" s="55" t="n"/>
      <c r="W633" s="51" t="inlineStr"/>
      <c r="X633" s="51" t="inlineStr"/>
      <c r="Y633" s="51" t="n"/>
      <c r="AB633" s="57" t="n"/>
      <c r="AC633" s="90" t="n"/>
      <c r="AD633" s="90" t="n"/>
      <c r="AE633" s="88" t="n"/>
      <c r="AF633" s="91" t="n"/>
      <c r="AG633" s="91" t="n"/>
      <c r="AH633" s="88" t="n"/>
      <c r="AI633" s="88" t="n"/>
      <c r="AJ633" s="90" t="n"/>
      <c r="AK633" s="88" t="n"/>
      <c r="AL633" s="91" t="n"/>
      <c r="AM633" s="88" t="n"/>
      <c r="AN633" s="95" t="n"/>
      <c r="AO633" s="90" t="n"/>
      <c r="AP633" s="90" t="n"/>
    </row>
    <row r="634" ht="14.25" customHeight="1" s="84">
      <c r="A634" s="51" t="n"/>
      <c r="B634" s="47" t="n"/>
      <c r="C634" s="51" t="n"/>
      <c r="D634" s="51" t="n"/>
      <c r="E634" s="51" t="n"/>
      <c r="F634" s="51" t="n"/>
      <c r="G634" s="47" t="n"/>
      <c r="H634" s="51" t="n"/>
      <c r="I634" s="51" t="n"/>
      <c r="J634" s="51" t="n"/>
      <c r="K634" s="51" t="n"/>
      <c r="L634" s="51" t="n"/>
      <c r="N634" s="51" t="n"/>
      <c r="Q634" s="51" t="n"/>
      <c r="S634" s="51" t="n"/>
      <c r="T634" s="51" t="n"/>
      <c r="U634" s="51" t="inlineStr"/>
      <c r="V634" s="55" t="n"/>
      <c r="W634" s="51" t="inlineStr"/>
      <c r="X634" s="51" t="inlineStr"/>
      <c r="Y634" s="51" t="n"/>
      <c r="AB634" s="57" t="n"/>
      <c r="AC634" s="90" t="n"/>
      <c r="AD634" s="90" t="n"/>
      <c r="AE634" s="88" t="n"/>
      <c r="AF634" s="91" t="n"/>
      <c r="AG634" s="91" t="n"/>
      <c r="AH634" s="88" t="n"/>
      <c r="AI634" s="88" t="n"/>
      <c r="AJ634" s="90" t="n"/>
      <c r="AK634" s="88" t="n"/>
      <c r="AL634" s="91" t="n"/>
      <c r="AM634" s="88" t="n"/>
      <c r="AN634" s="95" t="n"/>
      <c r="AO634" s="90" t="n"/>
      <c r="AP634" s="90" t="n"/>
    </row>
    <row r="635" ht="14.25" customHeight="1" s="84">
      <c r="A635" s="51" t="n"/>
      <c r="B635" s="47" t="n"/>
      <c r="C635" s="51" t="n"/>
      <c r="D635" s="51" t="n"/>
      <c r="E635" s="51" t="n"/>
      <c r="F635" s="51" t="n"/>
      <c r="G635" s="47" t="n"/>
      <c r="H635" s="51" t="n"/>
      <c r="I635" s="51" t="n"/>
      <c r="J635" s="51" t="n"/>
      <c r="K635" s="51" t="n"/>
      <c r="L635" s="51" t="n"/>
      <c r="N635" s="51" t="n"/>
      <c r="Q635" s="51" t="n"/>
      <c r="S635" s="51" t="n"/>
      <c r="T635" s="51" t="n"/>
      <c r="U635" s="51" t="inlineStr"/>
      <c r="V635" s="55" t="n"/>
      <c r="W635" s="51" t="inlineStr"/>
      <c r="X635" s="51" t="inlineStr"/>
      <c r="Y635" s="51" t="n"/>
      <c r="AB635" s="57" t="n"/>
      <c r="AC635" s="90" t="n"/>
      <c r="AD635" s="90" t="n"/>
      <c r="AE635" s="88" t="n"/>
      <c r="AF635" s="91" t="n"/>
      <c r="AG635" s="91" t="n"/>
      <c r="AH635" s="88" t="n"/>
      <c r="AI635" s="88" t="n"/>
      <c r="AJ635" s="90" t="n"/>
      <c r="AK635" s="88" t="n"/>
      <c r="AL635" s="91" t="n"/>
      <c r="AM635" s="88" t="n"/>
      <c r="AN635" s="95" t="n"/>
      <c r="AO635" s="90" t="n"/>
      <c r="AP635" s="90" t="n"/>
    </row>
    <row r="636" ht="14.25" customHeight="1" s="84">
      <c r="A636" s="51" t="n"/>
      <c r="B636" s="47" t="n"/>
      <c r="C636" s="51" t="n"/>
      <c r="D636" s="51" t="n"/>
      <c r="E636" s="51" t="n"/>
      <c r="F636" s="51" t="n"/>
      <c r="G636" s="47" t="n"/>
      <c r="H636" s="51" t="n"/>
      <c r="I636" s="51" t="n"/>
      <c r="J636" s="51" t="n"/>
      <c r="K636" s="51" t="n"/>
      <c r="L636" s="51" t="n"/>
      <c r="N636" s="51" t="n"/>
      <c r="Q636" s="51" t="n"/>
      <c r="S636" s="51" t="n"/>
      <c r="T636" s="51" t="n"/>
      <c r="U636" s="51" t="inlineStr"/>
      <c r="V636" s="55" t="n"/>
      <c r="W636" s="51" t="inlineStr"/>
      <c r="X636" s="51" t="inlineStr"/>
      <c r="Y636" s="51" t="n"/>
      <c r="AB636" s="57" t="n"/>
      <c r="AC636" s="90" t="n"/>
      <c r="AD636" s="90" t="n"/>
      <c r="AE636" s="88" t="n"/>
      <c r="AF636" s="91" t="n"/>
      <c r="AG636" s="91" t="n"/>
      <c r="AH636" s="88" t="n"/>
      <c r="AI636" s="88" t="n"/>
      <c r="AJ636" s="90" t="n"/>
      <c r="AK636" s="88" t="n"/>
      <c r="AL636" s="91" t="n"/>
      <c r="AM636" s="88" t="n"/>
      <c r="AN636" s="95" t="n"/>
      <c r="AO636" s="90" t="n"/>
      <c r="AP636" s="90" t="n"/>
    </row>
    <row r="637" ht="14.25" customHeight="1" s="84">
      <c r="A637" s="51" t="n"/>
      <c r="B637" s="47" t="n"/>
      <c r="C637" s="51" t="n"/>
      <c r="D637" s="51" t="n"/>
      <c r="E637" s="51" t="n"/>
      <c r="F637" s="51" t="n"/>
      <c r="G637" s="47" t="n"/>
      <c r="H637" s="51" t="n"/>
      <c r="I637" s="51" t="n"/>
      <c r="J637" s="51" t="n"/>
      <c r="K637" s="51" t="n"/>
      <c r="L637" s="51" t="n"/>
      <c r="N637" s="51" t="n"/>
      <c r="Q637" s="51" t="n"/>
      <c r="S637" s="51" t="n"/>
      <c r="T637" s="51" t="n"/>
      <c r="U637" s="51" t="inlineStr"/>
      <c r="V637" s="55" t="n"/>
      <c r="W637" s="51" t="inlineStr"/>
      <c r="X637" s="51" t="inlineStr"/>
      <c r="Y637" s="51" t="n"/>
      <c r="AB637" s="57" t="n"/>
      <c r="AC637" s="90" t="n"/>
      <c r="AD637" s="90" t="n"/>
      <c r="AE637" s="88" t="n"/>
      <c r="AF637" s="91" t="n"/>
      <c r="AG637" s="91" t="n"/>
      <c r="AH637" s="88" t="n"/>
      <c r="AI637" s="88" t="n"/>
      <c r="AJ637" s="90" t="n"/>
      <c r="AK637" s="88" t="n"/>
      <c r="AL637" s="91" t="n"/>
      <c r="AM637" s="88" t="n"/>
      <c r="AN637" s="95" t="n"/>
      <c r="AO637" s="90" t="n"/>
      <c r="AP637" s="90" t="n"/>
    </row>
    <row r="638" ht="14.25" customHeight="1" s="84">
      <c r="A638" s="51" t="n"/>
      <c r="B638" s="47" t="n"/>
      <c r="C638" s="51" t="n"/>
      <c r="D638" s="51" t="n"/>
      <c r="E638" s="51" t="n"/>
      <c r="F638" s="51" t="n"/>
      <c r="G638" s="47" t="n"/>
      <c r="H638" s="51" t="n"/>
      <c r="I638" s="51" t="n"/>
      <c r="J638" s="51" t="n"/>
      <c r="K638" s="51" t="n"/>
      <c r="L638" s="51" t="n"/>
      <c r="N638" s="51" t="n"/>
      <c r="Q638" s="51" t="n"/>
      <c r="S638" s="51" t="n"/>
      <c r="T638" s="51" t="n"/>
      <c r="U638" s="51" t="inlineStr"/>
      <c r="V638" s="55" t="n"/>
      <c r="W638" s="51" t="inlineStr"/>
      <c r="X638" s="51" t="inlineStr"/>
      <c r="Y638" s="51" t="n"/>
      <c r="AB638" s="57" t="n"/>
      <c r="AC638" s="90" t="n"/>
      <c r="AD638" s="90" t="n"/>
      <c r="AE638" s="88" t="n"/>
      <c r="AF638" s="91" t="n"/>
      <c r="AG638" s="91" t="n"/>
      <c r="AH638" s="88" t="n"/>
      <c r="AI638" s="88" t="n"/>
      <c r="AJ638" s="90" t="n"/>
      <c r="AK638" s="88" t="n"/>
      <c r="AL638" s="91" t="n"/>
      <c r="AM638" s="88" t="n"/>
      <c r="AN638" s="95" t="n"/>
      <c r="AO638" s="90" t="n"/>
      <c r="AP638" s="90" t="n"/>
    </row>
    <row r="639" ht="14.25" customHeight="1" s="84">
      <c r="A639" s="51" t="n"/>
      <c r="B639" s="47" t="n"/>
      <c r="C639" s="51" t="n"/>
      <c r="D639" s="51" t="n"/>
      <c r="E639" s="51" t="n"/>
      <c r="F639" s="51" t="n"/>
      <c r="G639" s="47" t="n"/>
      <c r="H639" s="51" t="n"/>
      <c r="I639" s="51" t="n"/>
      <c r="J639" s="51" t="n"/>
      <c r="K639" s="51" t="n"/>
      <c r="L639" s="51" t="n"/>
      <c r="N639" s="51" t="n"/>
      <c r="Q639" s="51" t="n"/>
      <c r="S639" s="51" t="n"/>
      <c r="T639" s="51" t="n"/>
      <c r="U639" s="51" t="inlineStr"/>
      <c r="V639" s="55" t="n"/>
      <c r="W639" s="51" t="inlineStr"/>
      <c r="X639" s="51" t="inlineStr"/>
      <c r="Y639" s="51" t="n"/>
      <c r="AB639" s="57" t="n"/>
      <c r="AC639" s="90" t="n"/>
      <c r="AD639" s="90" t="n"/>
      <c r="AE639" s="88" t="n"/>
      <c r="AF639" s="91" t="n"/>
      <c r="AG639" s="91" t="n"/>
      <c r="AH639" s="88" t="n"/>
      <c r="AI639" s="88" t="n"/>
      <c r="AJ639" s="90" t="n"/>
      <c r="AK639" s="88" t="n"/>
      <c r="AL639" s="91" t="n"/>
      <c r="AM639" s="88" t="n"/>
      <c r="AN639" s="95" t="n"/>
      <c r="AO639" s="90" t="n"/>
      <c r="AP639" s="90" t="n"/>
    </row>
    <row r="640" ht="14.25" customHeight="1" s="84">
      <c r="A640" s="51" t="n"/>
      <c r="B640" s="47" t="n"/>
      <c r="C640" s="51" t="n"/>
      <c r="D640" s="51" t="n"/>
      <c r="E640" s="51" t="n"/>
      <c r="F640" s="51" t="n"/>
      <c r="G640" s="47" t="n"/>
      <c r="H640" s="51" t="n"/>
      <c r="I640" s="51" t="n"/>
      <c r="J640" s="51" t="n"/>
      <c r="K640" s="51" t="n"/>
      <c r="L640" s="51" t="n"/>
      <c r="N640" s="51" t="n"/>
      <c r="Q640" s="51" t="n"/>
      <c r="S640" s="51" t="n"/>
      <c r="T640" s="51" t="n"/>
      <c r="U640" s="51" t="inlineStr"/>
      <c r="V640" s="55" t="n"/>
      <c r="W640" s="51" t="inlineStr"/>
      <c r="X640" s="51" t="inlineStr"/>
      <c r="Y640" s="51" t="n"/>
      <c r="AB640" s="57" t="n"/>
      <c r="AC640" s="90" t="n"/>
      <c r="AD640" s="90" t="n"/>
      <c r="AE640" s="88" t="n"/>
      <c r="AF640" s="91" t="n"/>
      <c r="AG640" s="91" t="n"/>
      <c r="AH640" s="88" t="n"/>
      <c r="AI640" s="88" t="n"/>
      <c r="AJ640" s="90" t="n"/>
      <c r="AK640" s="88" t="n"/>
      <c r="AL640" s="91" t="n"/>
      <c r="AM640" s="88" t="n"/>
      <c r="AN640" s="95" t="n"/>
      <c r="AO640" s="90" t="n"/>
      <c r="AP640" s="90" t="n"/>
    </row>
    <row r="641" ht="14.25" customHeight="1" s="84">
      <c r="A641" s="51" t="n"/>
      <c r="B641" s="47" t="n"/>
      <c r="C641" s="51" t="n"/>
      <c r="D641" s="51" t="n"/>
      <c r="E641" s="51" t="n"/>
      <c r="F641" s="51" t="n"/>
      <c r="G641" s="47" t="n"/>
      <c r="H641" s="51" t="n"/>
      <c r="I641" s="51" t="n"/>
      <c r="J641" s="51" t="n"/>
      <c r="K641" s="51" t="n"/>
      <c r="L641" s="51" t="n"/>
      <c r="N641" s="51" t="n"/>
      <c r="Q641" s="51" t="n"/>
      <c r="S641" s="51" t="n"/>
      <c r="T641" s="51" t="n"/>
      <c r="U641" s="51" t="inlineStr"/>
      <c r="V641" s="55" t="n"/>
      <c r="W641" s="51" t="inlineStr"/>
      <c r="X641" s="51" t="inlineStr"/>
      <c r="Y641" s="51" t="n"/>
      <c r="AB641" s="57" t="n"/>
      <c r="AC641" s="90" t="n"/>
      <c r="AD641" s="90" t="n"/>
      <c r="AE641" s="88" t="n"/>
      <c r="AF641" s="91" t="n"/>
      <c r="AG641" s="91" t="n"/>
      <c r="AH641" s="88" t="n"/>
      <c r="AI641" s="88" t="n"/>
      <c r="AJ641" s="90" t="n"/>
      <c r="AK641" s="88" t="n"/>
      <c r="AL641" s="91" t="n"/>
      <c r="AM641" s="88" t="n"/>
      <c r="AN641" s="95" t="n"/>
      <c r="AO641" s="90" t="n"/>
      <c r="AP641" s="90" t="n"/>
    </row>
    <row r="642" ht="14.25" customHeight="1" s="84">
      <c r="A642" s="51" t="n"/>
      <c r="B642" s="47" t="n"/>
      <c r="C642" s="51" t="n"/>
      <c r="D642" s="51" t="n"/>
      <c r="E642" s="51" t="n"/>
      <c r="F642" s="51" t="n"/>
      <c r="G642" s="47" t="n"/>
      <c r="H642" s="51" t="n"/>
      <c r="I642" s="51" t="n"/>
      <c r="J642" s="51" t="n"/>
      <c r="K642" s="51" t="n"/>
      <c r="L642" s="51" t="n"/>
      <c r="N642" s="51" t="n"/>
      <c r="Q642" s="51" t="n"/>
      <c r="S642" s="51" t="n"/>
      <c r="T642" s="51" t="n"/>
      <c r="U642" s="51" t="inlineStr"/>
      <c r="V642" s="55" t="n"/>
      <c r="W642" s="51" t="inlineStr"/>
      <c r="X642" s="51" t="inlineStr"/>
      <c r="Y642" s="51" t="n"/>
      <c r="AB642" s="57" t="n"/>
      <c r="AC642" s="90" t="n"/>
      <c r="AD642" s="90" t="n"/>
      <c r="AE642" s="88" t="n"/>
      <c r="AF642" s="91" t="n"/>
      <c r="AG642" s="91" t="n"/>
      <c r="AH642" s="88" t="n"/>
      <c r="AI642" s="88" t="n"/>
      <c r="AJ642" s="90" t="n"/>
      <c r="AK642" s="88" t="n"/>
      <c r="AL642" s="91" t="n"/>
      <c r="AM642" s="88" t="n"/>
      <c r="AN642" s="95" t="n"/>
      <c r="AO642" s="90" t="n"/>
      <c r="AP642" s="90" t="n"/>
    </row>
    <row r="643" ht="14.25" customHeight="1" s="84">
      <c r="A643" s="51" t="n"/>
      <c r="B643" s="47" t="n"/>
      <c r="C643" s="51" t="n"/>
      <c r="D643" s="51" t="n"/>
      <c r="E643" s="51" t="n"/>
      <c r="F643" s="51" t="n"/>
      <c r="G643" s="47" t="n"/>
      <c r="H643" s="51" t="n"/>
      <c r="I643" s="51" t="n"/>
      <c r="J643" s="51" t="n"/>
      <c r="K643" s="51" t="n"/>
      <c r="L643" s="51" t="n"/>
      <c r="N643" s="51" t="n"/>
      <c r="Q643" s="51" t="n"/>
      <c r="S643" s="51" t="n"/>
      <c r="T643" s="51" t="n"/>
      <c r="U643" s="51" t="inlineStr"/>
      <c r="V643" s="55" t="n"/>
      <c r="W643" s="51" t="inlineStr"/>
      <c r="X643" s="51" t="inlineStr"/>
      <c r="Y643" s="51" t="n"/>
      <c r="AB643" s="57" t="n"/>
      <c r="AC643" s="90" t="n"/>
      <c r="AD643" s="90" t="n"/>
      <c r="AE643" s="88" t="n"/>
      <c r="AF643" s="91" t="n"/>
      <c r="AG643" s="91" t="n"/>
      <c r="AH643" s="88" t="n"/>
      <c r="AI643" s="88" t="n"/>
      <c r="AJ643" s="90" t="n"/>
      <c r="AK643" s="88" t="n"/>
      <c r="AL643" s="91" t="n"/>
      <c r="AM643" s="88" t="n"/>
      <c r="AN643" s="95" t="n"/>
      <c r="AO643" s="90" t="n"/>
      <c r="AP643" s="90" t="n"/>
    </row>
    <row r="644" ht="14.25" customHeight="1" s="84">
      <c r="A644" s="51" t="n"/>
      <c r="B644" s="47" t="n"/>
      <c r="C644" s="51" t="n"/>
      <c r="D644" s="51" t="n"/>
      <c r="E644" s="51" t="n"/>
      <c r="F644" s="51" t="n"/>
      <c r="G644" s="47" t="n"/>
      <c r="H644" s="51" t="n"/>
      <c r="I644" s="51" t="n"/>
      <c r="J644" s="51" t="n"/>
      <c r="K644" s="51" t="n"/>
      <c r="L644" s="51" t="n"/>
      <c r="N644" s="51" t="n"/>
      <c r="Q644" s="51" t="n"/>
      <c r="S644" s="51" t="n"/>
      <c r="T644" s="51" t="n"/>
      <c r="U644" s="51" t="inlineStr"/>
      <c r="V644" s="55" t="n"/>
      <c r="W644" s="51" t="inlineStr"/>
      <c r="X644" s="51" t="inlineStr"/>
      <c r="Y644" s="51" t="n"/>
      <c r="AB644" s="57" t="n"/>
      <c r="AC644" s="90" t="n"/>
      <c r="AD644" s="90" t="n"/>
      <c r="AE644" s="88" t="n"/>
      <c r="AF644" s="91" t="n"/>
      <c r="AG644" s="91" t="n"/>
      <c r="AH644" s="88" t="n"/>
      <c r="AI644" s="88" t="n"/>
      <c r="AJ644" s="90" t="n"/>
      <c r="AK644" s="88" t="n"/>
      <c r="AL644" s="91" t="n"/>
      <c r="AM644" s="88" t="n"/>
      <c r="AN644" s="95" t="n"/>
      <c r="AO644" s="90" t="n"/>
      <c r="AP644" s="90" t="n"/>
    </row>
    <row r="645" ht="14.25" customHeight="1" s="84">
      <c r="A645" s="51" t="n"/>
      <c r="B645" s="47" t="n"/>
      <c r="C645" s="51" t="n"/>
      <c r="D645" s="51" t="n"/>
      <c r="E645" s="51" t="n"/>
      <c r="F645" s="51" t="n"/>
      <c r="G645" s="47" t="n"/>
      <c r="H645" s="51" t="n"/>
      <c r="I645" s="51" t="n"/>
      <c r="J645" s="51" t="n"/>
      <c r="K645" s="51" t="n"/>
      <c r="L645" s="51" t="n"/>
      <c r="N645" s="51" t="n"/>
      <c r="Q645" s="51" t="n"/>
      <c r="S645" s="51" t="n"/>
      <c r="T645" s="51" t="n"/>
      <c r="U645" s="51" t="inlineStr"/>
      <c r="V645" s="55" t="n"/>
      <c r="W645" s="51" t="inlineStr"/>
      <c r="X645" s="51" t="inlineStr"/>
      <c r="Y645" s="51" t="n"/>
      <c r="AB645" s="57" t="n"/>
      <c r="AC645" s="90" t="n"/>
      <c r="AD645" s="90" t="n"/>
      <c r="AE645" s="88" t="n"/>
      <c r="AF645" s="91" t="n"/>
      <c r="AG645" s="91" t="n"/>
      <c r="AH645" s="88" t="n"/>
      <c r="AI645" s="88" t="n"/>
      <c r="AJ645" s="90" t="n"/>
      <c r="AK645" s="88" t="n"/>
      <c r="AL645" s="91" t="n"/>
      <c r="AM645" s="88" t="n"/>
      <c r="AN645" s="95" t="n"/>
      <c r="AO645" s="90" t="n"/>
      <c r="AP645" s="90" t="n"/>
    </row>
    <row r="646" ht="14.25" customHeight="1" s="84">
      <c r="A646" s="51" t="n"/>
      <c r="B646" s="47" t="n"/>
      <c r="C646" s="51" t="n"/>
      <c r="D646" s="51" t="n"/>
      <c r="E646" s="51" t="n"/>
      <c r="F646" s="51" t="n"/>
      <c r="G646" s="47" t="n"/>
      <c r="H646" s="51" t="n"/>
      <c r="I646" s="51" t="n"/>
      <c r="J646" s="51" t="n"/>
      <c r="K646" s="51" t="n"/>
      <c r="L646" s="51" t="n"/>
      <c r="N646" s="51" t="n"/>
      <c r="Q646" s="51" t="n"/>
      <c r="S646" s="51" t="n"/>
      <c r="T646" s="51" t="n"/>
      <c r="U646" s="51" t="inlineStr"/>
      <c r="V646" s="55" t="n"/>
      <c r="W646" s="51" t="inlineStr"/>
      <c r="X646" s="51" t="inlineStr"/>
      <c r="Y646" s="51" t="n"/>
      <c r="AB646" s="57" t="n"/>
      <c r="AC646" s="90" t="n"/>
      <c r="AD646" s="90" t="n"/>
      <c r="AE646" s="88" t="n"/>
      <c r="AF646" s="91" t="n"/>
      <c r="AG646" s="91" t="n"/>
      <c r="AH646" s="88" t="n"/>
      <c r="AI646" s="88" t="n"/>
      <c r="AJ646" s="90" t="n"/>
      <c r="AK646" s="88" t="n"/>
      <c r="AL646" s="91" t="n"/>
      <c r="AM646" s="88" t="n"/>
      <c r="AN646" s="95" t="n"/>
      <c r="AO646" s="90" t="n"/>
      <c r="AP646" s="90" t="n"/>
    </row>
    <row r="647" ht="14.25" customHeight="1" s="84">
      <c r="A647" s="51" t="n"/>
      <c r="B647" s="47" t="n"/>
      <c r="C647" s="51" t="n"/>
      <c r="D647" s="51" t="n"/>
      <c r="E647" s="51" t="n"/>
      <c r="F647" s="51" t="n"/>
      <c r="G647" s="47" t="n"/>
      <c r="H647" s="51" t="n"/>
      <c r="I647" s="51" t="n"/>
      <c r="J647" s="51" t="n"/>
      <c r="K647" s="51" t="n"/>
      <c r="L647" s="51" t="n"/>
      <c r="N647" s="51" t="n"/>
      <c r="Q647" s="51" t="n"/>
      <c r="S647" s="51" t="n"/>
      <c r="T647" s="51" t="n"/>
      <c r="U647" s="51" t="inlineStr"/>
      <c r="V647" s="55" t="n"/>
      <c r="W647" s="51" t="inlineStr"/>
      <c r="X647" s="51" t="inlineStr"/>
      <c r="Y647" s="51" t="n"/>
      <c r="AB647" s="57" t="n"/>
      <c r="AC647" s="90" t="n"/>
      <c r="AD647" s="90" t="n"/>
      <c r="AE647" s="88" t="n"/>
      <c r="AF647" s="91" t="n"/>
      <c r="AG647" s="91" t="n"/>
      <c r="AH647" s="88" t="n"/>
      <c r="AI647" s="88" t="n"/>
      <c r="AJ647" s="90" t="n"/>
      <c r="AK647" s="88" t="n"/>
      <c r="AL647" s="91" t="n"/>
      <c r="AM647" s="88" t="n"/>
      <c r="AN647" s="95" t="n"/>
      <c r="AO647" s="90" t="n"/>
      <c r="AP647" s="90" t="n"/>
    </row>
    <row r="648" ht="14.25" customHeight="1" s="84">
      <c r="A648" s="51" t="n"/>
      <c r="B648" s="47" t="n"/>
      <c r="C648" s="51" t="n"/>
      <c r="D648" s="51" t="n"/>
      <c r="E648" s="51" t="n"/>
      <c r="F648" s="51" t="n"/>
      <c r="G648" s="47" t="n"/>
      <c r="H648" s="51" t="n"/>
      <c r="I648" s="51" t="n"/>
      <c r="J648" s="51" t="n"/>
      <c r="K648" s="51" t="n"/>
      <c r="L648" s="51" t="n"/>
      <c r="N648" s="51" t="n"/>
      <c r="Q648" s="51" t="n"/>
      <c r="S648" s="51" t="n"/>
      <c r="T648" s="51" t="n"/>
      <c r="U648" s="51" t="inlineStr"/>
      <c r="V648" s="55" t="n"/>
      <c r="W648" s="51" t="inlineStr"/>
      <c r="X648" s="51" t="inlineStr"/>
      <c r="Y648" s="51" t="n"/>
      <c r="AB648" s="57" t="n"/>
      <c r="AC648" s="90" t="n"/>
      <c r="AD648" s="90" t="n"/>
      <c r="AE648" s="88" t="n"/>
      <c r="AF648" s="91" t="n"/>
      <c r="AG648" s="91" t="n"/>
      <c r="AH648" s="88" t="n"/>
      <c r="AI648" s="88" t="n"/>
      <c r="AJ648" s="90" t="n"/>
      <c r="AK648" s="88" t="n"/>
      <c r="AL648" s="91" t="n"/>
      <c r="AM648" s="88" t="n"/>
      <c r="AN648" s="95" t="n"/>
      <c r="AO648" s="90" t="n"/>
      <c r="AP648" s="90" t="n"/>
    </row>
    <row r="649" ht="14.25" customHeight="1" s="84">
      <c r="A649" s="51" t="n"/>
      <c r="B649" s="47" t="n"/>
      <c r="C649" s="51" t="n"/>
      <c r="D649" s="51" t="n"/>
      <c r="E649" s="51" t="n"/>
      <c r="F649" s="51" t="n"/>
      <c r="G649" s="47" t="n"/>
      <c r="H649" s="51" t="n"/>
      <c r="I649" s="51" t="n"/>
      <c r="J649" s="51" t="n"/>
      <c r="K649" s="51" t="n"/>
      <c r="L649" s="51" t="n"/>
      <c r="N649" s="51" t="n"/>
      <c r="Q649" s="51" t="n"/>
      <c r="S649" s="51" t="n"/>
      <c r="T649" s="51" t="n"/>
      <c r="U649" s="51" t="inlineStr"/>
      <c r="V649" s="55" t="n"/>
      <c r="W649" s="51" t="inlineStr"/>
      <c r="X649" s="51" t="inlineStr"/>
      <c r="Y649" s="51" t="n"/>
      <c r="AB649" s="57" t="n"/>
      <c r="AC649" s="90" t="n"/>
      <c r="AD649" s="90" t="n"/>
      <c r="AE649" s="88" t="n"/>
      <c r="AF649" s="91" t="n"/>
      <c r="AG649" s="91" t="n"/>
      <c r="AH649" s="88" t="n"/>
      <c r="AI649" s="88" t="n"/>
      <c r="AJ649" s="90" t="n"/>
      <c r="AK649" s="88" t="n"/>
      <c r="AL649" s="91" t="n"/>
      <c r="AM649" s="88" t="n"/>
      <c r="AN649" s="95" t="n"/>
      <c r="AO649" s="90" t="n"/>
      <c r="AP649" s="90" t="n"/>
    </row>
    <row r="650" ht="14.25" customHeight="1" s="84">
      <c r="A650" s="51" t="n"/>
      <c r="B650" s="47" t="n"/>
      <c r="C650" s="51" t="n"/>
      <c r="D650" s="51" t="n"/>
      <c r="E650" s="51" t="n"/>
      <c r="F650" s="51" t="n"/>
      <c r="G650" s="47" t="n"/>
      <c r="H650" s="51" t="n"/>
      <c r="I650" s="51" t="n"/>
      <c r="J650" s="51" t="n"/>
      <c r="K650" s="51" t="n"/>
      <c r="L650" s="51" t="n"/>
      <c r="N650" s="51" t="n"/>
      <c r="Q650" s="51" t="n"/>
      <c r="S650" s="51" t="n"/>
      <c r="T650" s="51" t="n"/>
      <c r="U650" s="51" t="inlineStr"/>
      <c r="V650" s="55" t="n"/>
      <c r="W650" s="51" t="inlineStr"/>
      <c r="X650" s="51" t="inlineStr"/>
      <c r="Y650" s="51" t="n"/>
      <c r="AB650" s="57" t="n"/>
      <c r="AC650" s="90" t="n"/>
      <c r="AD650" s="90" t="n"/>
      <c r="AE650" s="88" t="n"/>
      <c r="AF650" s="91" t="n"/>
      <c r="AG650" s="91" t="n"/>
      <c r="AH650" s="88" t="n"/>
      <c r="AI650" s="88" t="n"/>
      <c r="AJ650" s="90" t="n"/>
      <c r="AK650" s="88" t="n"/>
      <c r="AL650" s="91" t="n"/>
      <c r="AM650" s="88" t="n"/>
      <c r="AN650" s="95" t="n"/>
      <c r="AO650" s="90" t="n"/>
      <c r="AP650" s="90" t="n"/>
    </row>
    <row r="651" ht="14.25" customHeight="1" s="84">
      <c r="A651" s="51" t="n"/>
      <c r="B651" s="47" t="n"/>
      <c r="C651" s="51" t="n"/>
      <c r="D651" s="51" t="n"/>
      <c r="E651" s="51" t="n"/>
      <c r="F651" s="51" t="n"/>
      <c r="G651" s="47" t="n"/>
      <c r="H651" s="51" t="n"/>
      <c r="I651" s="51" t="n"/>
      <c r="J651" s="51" t="n"/>
      <c r="K651" s="51" t="n"/>
      <c r="L651" s="51" t="n"/>
      <c r="N651" s="51" t="n"/>
      <c r="Q651" s="51" t="n"/>
      <c r="S651" s="51" t="n"/>
      <c r="T651" s="51" t="n"/>
      <c r="U651" s="51" t="inlineStr"/>
      <c r="V651" s="55" t="n"/>
      <c r="W651" s="51" t="inlineStr"/>
      <c r="X651" s="51" t="inlineStr"/>
      <c r="Y651" s="51" t="n"/>
      <c r="AB651" s="57" t="n"/>
      <c r="AC651" s="90" t="n"/>
      <c r="AD651" s="90" t="n"/>
      <c r="AE651" s="88" t="n"/>
      <c r="AF651" s="91" t="n"/>
      <c r="AG651" s="91" t="n"/>
      <c r="AH651" s="88" t="n"/>
      <c r="AI651" s="88" t="n"/>
      <c r="AJ651" s="90" t="n"/>
      <c r="AK651" s="88" t="n"/>
      <c r="AL651" s="91" t="n"/>
      <c r="AM651" s="88" t="n"/>
      <c r="AN651" s="95" t="n"/>
      <c r="AO651" s="90" t="n"/>
      <c r="AP651" s="90" t="n"/>
    </row>
    <row r="652" ht="14.25" customHeight="1" s="84">
      <c r="A652" s="51" t="n"/>
      <c r="B652" s="47" t="n"/>
      <c r="C652" s="51" t="n"/>
      <c r="D652" s="51" t="n"/>
      <c r="E652" s="51" t="n"/>
      <c r="F652" s="51" t="n"/>
      <c r="G652" s="47" t="n"/>
      <c r="H652" s="51" t="n"/>
      <c r="I652" s="51" t="n"/>
      <c r="J652" s="51" t="n"/>
      <c r="K652" s="51" t="n"/>
      <c r="L652" s="51" t="n"/>
      <c r="N652" s="51" t="n"/>
      <c r="Q652" s="51" t="n"/>
      <c r="S652" s="51" t="n"/>
      <c r="T652" s="51" t="n"/>
      <c r="U652" s="51" t="inlineStr"/>
      <c r="V652" s="55" t="n"/>
      <c r="W652" s="51" t="inlineStr"/>
      <c r="X652" s="51" t="inlineStr"/>
      <c r="Y652" s="51" t="n"/>
      <c r="AB652" s="57" t="n"/>
      <c r="AC652" s="90" t="n"/>
      <c r="AD652" s="90" t="n"/>
      <c r="AE652" s="88" t="n"/>
      <c r="AF652" s="91" t="n"/>
      <c r="AG652" s="91" t="n"/>
      <c r="AH652" s="88" t="n"/>
      <c r="AI652" s="88" t="n"/>
      <c r="AJ652" s="90" t="n"/>
      <c r="AK652" s="88" t="n"/>
      <c r="AL652" s="91" t="n"/>
      <c r="AM652" s="88" t="n"/>
      <c r="AN652" s="95" t="n"/>
      <c r="AO652" s="90" t="n"/>
      <c r="AP652" s="90" t="n"/>
    </row>
    <row r="653" ht="14.25" customHeight="1" s="84">
      <c r="A653" s="51" t="n"/>
      <c r="B653" s="47" t="n"/>
      <c r="C653" s="51" t="n"/>
      <c r="D653" s="51" t="n"/>
      <c r="E653" s="51" t="n"/>
      <c r="F653" s="51" t="n"/>
      <c r="G653" s="47" t="n"/>
      <c r="H653" s="51" t="n"/>
      <c r="I653" s="51" t="n"/>
      <c r="J653" s="51" t="n"/>
      <c r="K653" s="51" t="n"/>
      <c r="L653" s="51" t="n"/>
      <c r="N653" s="51" t="n"/>
      <c r="Q653" s="51" t="n"/>
      <c r="S653" s="51" t="n"/>
      <c r="T653" s="51" t="n"/>
      <c r="U653" s="51" t="inlineStr"/>
      <c r="V653" s="55" t="n"/>
      <c r="W653" s="51" t="inlineStr"/>
      <c r="X653" s="51" t="inlineStr"/>
      <c r="Y653" s="51" t="n"/>
      <c r="AB653" s="57" t="n"/>
      <c r="AC653" s="90" t="n"/>
      <c r="AD653" s="90" t="n"/>
      <c r="AE653" s="88" t="n"/>
      <c r="AF653" s="91" t="n"/>
      <c r="AG653" s="91" t="n"/>
      <c r="AH653" s="88" t="n"/>
      <c r="AI653" s="88" t="n"/>
      <c r="AJ653" s="90" t="n"/>
      <c r="AK653" s="88" t="n"/>
      <c r="AL653" s="91" t="n"/>
      <c r="AM653" s="88" t="n"/>
      <c r="AN653" s="95" t="n"/>
      <c r="AO653" s="90" t="n"/>
      <c r="AP653" s="90" t="n"/>
    </row>
    <row r="654" ht="14.25" customHeight="1" s="84">
      <c r="A654" s="51" t="n"/>
      <c r="B654" s="47" t="n"/>
      <c r="C654" s="51" t="n"/>
      <c r="D654" s="51" t="n"/>
      <c r="E654" s="51" t="n"/>
      <c r="F654" s="51" t="n"/>
      <c r="G654" s="47" t="n"/>
      <c r="H654" s="51" t="n"/>
      <c r="I654" s="51" t="n"/>
      <c r="J654" s="51" t="n"/>
      <c r="K654" s="51" t="n"/>
      <c r="L654" s="51" t="n"/>
      <c r="N654" s="51" t="n"/>
      <c r="Q654" s="51" t="n"/>
      <c r="S654" s="51" t="n"/>
      <c r="T654" s="51" t="n"/>
      <c r="U654" s="51" t="inlineStr"/>
      <c r="V654" s="55" t="n"/>
      <c r="W654" s="51" t="inlineStr"/>
      <c r="X654" s="51" t="inlineStr"/>
      <c r="Y654" s="51" t="n"/>
      <c r="AB654" s="57" t="n"/>
      <c r="AC654" s="90" t="n"/>
      <c r="AD654" s="90" t="n"/>
      <c r="AE654" s="88" t="n"/>
      <c r="AF654" s="91" t="n"/>
      <c r="AG654" s="91" t="n"/>
      <c r="AH654" s="88" t="n"/>
      <c r="AI654" s="88" t="n"/>
      <c r="AJ654" s="90" t="n"/>
      <c r="AK654" s="88" t="n"/>
      <c r="AL654" s="91" t="n"/>
      <c r="AM654" s="88" t="n"/>
      <c r="AN654" s="95" t="n"/>
      <c r="AO654" s="90" t="n"/>
      <c r="AP654" s="90" t="n"/>
    </row>
    <row r="655" ht="14.25" customHeight="1" s="84">
      <c r="A655" s="51" t="n"/>
      <c r="B655" s="47" t="n"/>
      <c r="C655" s="51" t="n"/>
      <c r="D655" s="51" t="n"/>
      <c r="E655" s="51" t="n"/>
      <c r="F655" s="51" t="n"/>
      <c r="G655" s="47" t="n"/>
      <c r="H655" s="51" t="n"/>
      <c r="I655" s="51" t="n"/>
      <c r="J655" s="51" t="n"/>
      <c r="K655" s="51" t="n"/>
      <c r="L655" s="51" t="n"/>
      <c r="N655" s="51" t="n"/>
      <c r="Q655" s="51" t="n"/>
      <c r="S655" s="51" t="n"/>
      <c r="T655" s="51" t="n"/>
      <c r="U655" s="51" t="inlineStr"/>
      <c r="V655" s="55" t="n"/>
      <c r="W655" s="51" t="inlineStr"/>
      <c r="X655" s="51" t="inlineStr"/>
      <c r="Y655" s="51" t="n"/>
      <c r="AB655" s="57" t="n"/>
      <c r="AC655" s="90" t="n"/>
      <c r="AD655" s="90" t="n"/>
      <c r="AE655" s="88" t="n"/>
      <c r="AF655" s="91" t="n"/>
      <c r="AG655" s="91" t="n"/>
      <c r="AH655" s="88" t="n"/>
      <c r="AI655" s="88" t="n"/>
      <c r="AJ655" s="90" t="n"/>
      <c r="AK655" s="88" t="n"/>
      <c r="AL655" s="91" t="n"/>
      <c r="AM655" s="88" t="n"/>
      <c r="AN655" s="95" t="n"/>
      <c r="AO655" s="90" t="n"/>
      <c r="AP655" s="90" t="n"/>
    </row>
    <row r="656" ht="14.25" customHeight="1" s="84">
      <c r="A656" s="51" t="n"/>
      <c r="B656" s="47" t="n"/>
      <c r="C656" s="51" t="n"/>
      <c r="D656" s="51" t="n"/>
      <c r="E656" s="51" t="n"/>
      <c r="F656" s="51" t="n"/>
      <c r="G656" s="47" t="n"/>
      <c r="H656" s="51" t="n"/>
      <c r="I656" s="51" t="n"/>
      <c r="J656" s="51" t="n"/>
      <c r="K656" s="51" t="n"/>
      <c r="L656" s="51" t="n"/>
      <c r="N656" s="51" t="n"/>
      <c r="Q656" s="51" t="n"/>
      <c r="S656" s="51" t="n"/>
      <c r="T656" s="51" t="n"/>
      <c r="U656" s="51" t="inlineStr"/>
      <c r="V656" s="55" t="n"/>
      <c r="W656" s="51" t="inlineStr"/>
      <c r="X656" s="51" t="inlineStr"/>
      <c r="Y656" s="51" t="n"/>
      <c r="AB656" s="57" t="n"/>
      <c r="AC656" s="90" t="n"/>
      <c r="AD656" s="90" t="n"/>
      <c r="AE656" s="88" t="n"/>
      <c r="AF656" s="91" t="n"/>
      <c r="AG656" s="91" t="n"/>
      <c r="AH656" s="88" t="n"/>
      <c r="AI656" s="88" t="n"/>
      <c r="AJ656" s="90" t="n"/>
      <c r="AK656" s="88" t="n"/>
      <c r="AL656" s="91" t="n"/>
      <c r="AM656" s="88" t="n"/>
      <c r="AN656" s="95" t="n"/>
      <c r="AO656" s="90" t="n"/>
      <c r="AP656" s="90" t="n"/>
    </row>
    <row r="657" ht="14.25" customHeight="1" s="84">
      <c r="A657" s="51" t="n"/>
      <c r="B657" s="47" t="n"/>
      <c r="C657" s="51" t="n"/>
      <c r="D657" s="51" t="n"/>
      <c r="E657" s="51" t="n"/>
      <c r="F657" s="51" t="n"/>
      <c r="G657" s="47" t="n"/>
      <c r="H657" s="51" t="n"/>
      <c r="I657" s="51" t="n"/>
      <c r="J657" s="51" t="n"/>
      <c r="K657" s="51" t="n"/>
      <c r="L657" s="51" t="n"/>
      <c r="N657" s="51" t="n"/>
      <c r="Q657" s="51" t="n"/>
      <c r="S657" s="51" t="n"/>
      <c r="T657" s="51" t="n"/>
      <c r="U657" s="51" t="inlineStr"/>
      <c r="V657" s="55" t="n"/>
      <c r="W657" s="51" t="inlineStr"/>
      <c r="X657" s="51" t="inlineStr"/>
      <c r="Y657" s="51" t="n"/>
      <c r="AB657" s="57" t="n"/>
      <c r="AC657" s="90" t="n"/>
      <c r="AD657" s="90" t="n"/>
      <c r="AE657" s="88" t="n"/>
      <c r="AF657" s="91" t="n"/>
      <c r="AG657" s="91" t="n"/>
      <c r="AH657" s="88" t="n"/>
      <c r="AI657" s="88" t="n"/>
      <c r="AJ657" s="90" t="n"/>
      <c r="AK657" s="88" t="n"/>
      <c r="AL657" s="91" t="n"/>
      <c r="AM657" s="88" t="n"/>
      <c r="AN657" s="95" t="n"/>
      <c r="AO657" s="90" t="n"/>
      <c r="AP657" s="90" t="n"/>
    </row>
    <row r="658" ht="14.25" customHeight="1" s="84">
      <c r="A658" s="51" t="n"/>
      <c r="B658" s="47" t="n"/>
      <c r="C658" s="51" t="n"/>
      <c r="D658" s="51" t="n"/>
      <c r="E658" s="51" t="n"/>
      <c r="F658" s="51" t="n"/>
      <c r="G658" s="47" t="n"/>
      <c r="H658" s="51" t="n"/>
      <c r="I658" s="51" t="n"/>
      <c r="J658" s="51" t="n"/>
      <c r="K658" s="51" t="n"/>
      <c r="L658" s="51" t="n"/>
      <c r="N658" s="51" t="n"/>
      <c r="Q658" s="51" t="n"/>
      <c r="S658" s="51" t="n"/>
      <c r="T658" s="51" t="n"/>
      <c r="U658" s="51" t="inlineStr"/>
      <c r="V658" s="55" t="n"/>
      <c r="W658" s="51" t="inlineStr"/>
      <c r="X658" s="51" t="inlineStr"/>
      <c r="Y658" s="51" t="n"/>
      <c r="AB658" s="57" t="n"/>
      <c r="AC658" s="90" t="n"/>
      <c r="AD658" s="90" t="n"/>
      <c r="AE658" s="88" t="n"/>
      <c r="AF658" s="91" t="n"/>
      <c r="AG658" s="91" t="n"/>
      <c r="AH658" s="88" t="n"/>
      <c r="AI658" s="88" t="n"/>
      <c r="AJ658" s="90" t="n"/>
      <c r="AK658" s="88" t="n"/>
      <c r="AL658" s="91" t="n"/>
      <c r="AM658" s="88" t="n"/>
      <c r="AN658" s="95" t="n"/>
      <c r="AO658" s="90" t="n"/>
      <c r="AP658" s="90" t="n"/>
    </row>
    <row r="659" ht="14.25" customHeight="1" s="84">
      <c r="A659" s="51" t="n"/>
      <c r="B659" s="47" t="n"/>
      <c r="C659" s="51" t="n"/>
      <c r="D659" s="51" t="n"/>
      <c r="E659" s="51" t="n"/>
      <c r="F659" s="51" t="n"/>
      <c r="G659" s="47" t="n"/>
      <c r="H659" s="51" t="n"/>
      <c r="I659" s="51" t="n"/>
      <c r="J659" s="51" t="n"/>
      <c r="K659" s="51" t="n"/>
      <c r="L659" s="51" t="n"/>
      <c r="N659" s="51" t="n"/>
      <c r="Q659" s="51" t="n"/>
      <c r="S659" s="51" t="n"/>
      <c r="T659" s="51" t="n"/>
      <c r="U659" s="51" t="inlineStr"/>
      <c r="V659" s="55" t="n"/>
      <c r="W659" s="51" t="inlineStr"/>
      <c r="X659" s="51" t="inlineStr"/>
      <c r="Y659" s="51" t="n"/>
      <c r="AB659" s="57" t="n"/>
      <c r="AC659" s="90" t="n"/>
      <c r="AD659" s="90" t="n"/>
      <c r="AE659" s="88" t="n"/>
      <c r="AF659" s="91" t="n"/>
      <c r="AG659" s="91" t="n"/>
      <c r="AH659" s="88" t="n"/>
      <c r="AI659" s="88" t="n"/>
      <c r="AJ659" s="90" t="n"/>
      <c r="AK659" s="88" t="n"/>
      <c r="AL659" s="91" t="n"/>
      <c r="AM659" s="88" t="n"/>
      <c r="AN659" s="95" t="n"/>
      <c r="AO659" s="90" t="n"/>
      <c r="AP659" s="90" t="n"/>
    </row>
    <row r="660" ht="14.25" customHeight="1" s="84">
      <c r="A660" s="51" t="n"/>
      <c r="B660" s="47" t="n"/>
      <c r="C660" s="51" t="n"/>
      <c r="D660" s="51" t="n"/>
      <c r="E660" s="51" t="n"/>
      <c r="F660" s="51" t="n"/>
      <c r="G660" s="47" t="n"/>
      <c r="H660" s="51" t="n"/>
      <c r="I660" s="51" t="n"/>
      <c r="J660" s="51" t="n"/>
      <c r="K660" s="51" t="n"/>
      <c r="L660" s="51" t="n"/>
      <c r="N660" s="51" t="n"/>
      <c r="Q660" s="51" t="n"/>
      <c r="S660" s="51" t="n"/>
      <c r="T660" s="51" t="n"/>
      <c r="U660" s="51" t="inlineStr"/>
      <c r="V660" s="55" t="n"/>
      <c r="W660" s="51" t="inlineStr"/>
      <c r="X660" s="51" t="inlineStr"/>
      <c r="Y660" s="51" t="n"/>
      <c r="AB660" s="57" t="n"/>
      <c r="AC660" s="90" t="n"/>
      <c r="AD660" s="90" t="n"/>
      <c r="AE660" s="88" t="n"/>
      <c r="AF660" s="91" t="n"/>
      <c r="AG660" s="91" t="n"/>
      <c r="AH660" s="88" t="n"/>
      <c r="AI660" s="88" t="n"/>
      <c r="AJ660" s="90" t="n"/>
      <c r="AK660" s="88" t="n"/>
      <c r="AL660" s="91" t="n"/>
      <c r="AM660" s="88" t="n"/>
      <c r="AN660" s="95" t="n"/>
      <c r="AO660" s="90" t="n"/>
      <c r="AP660" s="90" t="n"/>
    </row>
    <row r="661" ht="14.25" customHeight="1" s="84">
      <c r="A661" s="51" t="n"/>
      <c r="B661" s="47" t="n"/>
      <c r="C661" s="51" t="n"/>
      <c r="D661" s="51" t="n"/>
      <c r="E661" s="51" t="n"/>
      <c r="F661" s="51" t="n"/>
      <c r="G661" s="47" t="n"/>
      <c r="H661" s="51" t="n"/>
      <c r="I661" s="51" t="n"/>
      <c r="J661" s="51" t="n"/>
      <c r="K661" s="51" t="n"/>
      <c r="L661" s="51" t="n"/>
      <c r="N661" s="51" t="n"/>
      <c r="Q661" s="51" t="n"/>
      <c r="S661" s="51" t="n"/>
      <c r="T661" s="51" t="n"/>
      <c r="U661" s="51" t="inlineStr"/>
      <c r="V661" s="55" t="n"/>
      <c r="W661" s="51" t="inlineStr"/>
      <c r="X661" s="51" t="inlineStr"/>
      <c r="Y661" s="51" t="n"/>
      <c r="AB661" s="57" t="n"/>
      <c r="AC661" s="90" t="n"/>
      <c r="AD661" s="90" t="n"/>
      <c r="AE661" s="88" t="n"/>
      <c r="AF661" s="91" t="n"/>
      <c r="AG661" s="91" t="n"/>
      <c r="AH661" s="88" t="n"/>
      <c r="AI661" s="88" t="n"/>
      <c r="AJ661" s="90" t="n"/>
      <c r="AK661" s="88" t="n"/>
      <c r="AL661" s="91" t="n"/>
      <c r="AM661" s="88" t="n"/>
      <c r="AN661" s="95" t="n"/>
      <c r="AO661" s="90" t="n"/>
      <c r="AP661" s="90" t="n"/>
    </row>
    <row r="662" ht="14.25" customHeight="1" s="84">
      <c r="A662" s="51" t="n"/>
      <c r="B662" s="47" t="n"/>
      <c r="C662" s="51" t="n"/>
      <c r="D662" s="51" t="n"/>
      <c r="E662" s="51" t="n"/>
      <c r="F662" s="51" t="n"/>
      <c r="G662" s="47" t="n"/>
      <c r="H662" s="51" t="n"/>
      <c r="I662" s="51" t="n"/>
      <c r="J662" s="51" t="n"/>
      <c r="K662" s="51" t="n"/>
      <c r="L662" s="51" t="n"/>
      <c r="N662" s="51" t="n"/>
      <c r="Q662" s="51" t="n"/>
      <c r="S662" s="51" t="n"/>
      <c r="T662" s="51" t="n"/>
      <c r="U662" s="51" t="inlineStr"/>
      <c r="V662" s="55" t="n"/>
      <c r="W662" s="51" t="inlineStr"/>
      <c r="X662" s="51" t="inlineStr"/>
      <c r="Y662" s="51" t="n"/>
      <c r="AB662" s="57" t="n"/>
      <c r="AC662" s="90" t="n"/>
      <c r="AD662" s="90" t="n"/>
      <c r="AE662" s="88" t="n"/>
      <c r="AF662" s="91" t="n"/>
      <c r="AG662" s="91" t="n"/>
      <c r="AH662" s="88" t="n"/>
      <c r="AI662" s="88" t="n"/>
      <c r="AJ662" s="90" t="n"/>
      <c r="AK662" s="88" t="n"/>
      <c r="AL662" s="91" t="n"/>
      <c r="AM662" s="88" t="n"/>
      <c r="AN662" s="95" t="n"/>
      <c r="AO662" s="90" t="n"/>
      <c r="AP662" s="90" t="n"/>
    </row>
    <row r="663" ht="14.25" customHeight="1" s="84">
      <c r="A663" s="51" t="n"/>
      <c r="B663" s="47" t="n"/>
      <c r="C663" s="51" t="n"/>
      <c r="D663" s="51" t="n"/>
      <c r="E663" s="51" t="n"/>
      <c r="F663" s="51" t="n"/>
      <c r="G663" s="47" t="n"/>
      <c r="H663" s="51" t="n"/>
      <c r="I663" s="51" t="n"/>
      <c r="J663" s="51" t="n"/>
      <c r="K663" s="51" t="n"/>
      <c r="L663" s="51" t="n"/>
      <c r="N663" s="51" t="n"/>
      <c r="Q663" s="51" t="n"/>
      <c r="S663" s="51" t="n"/>
      <c r="T663" s="51" t="n"/>
      <c r="U663" s="51" t="inlineStr"/>
      <c r="V663" s="55" t="n"/>
      <c r="W663" s="51" t="inlineStr"/>
      <c r="X663" s="51" t="inlineStr"/>
      <c r="Y663" s="51" t="n"/>
      <c r="AB663" s="57" t="n"/>
      <c r="AC663" s="90" t="n"/>
      <c r="AD663" s="90" t="n"/>
      <c r="AE663" s="88" t="n"/>
      <c r="AF663" s="91" t="n"/>
      <c r="AG663" s="91" t="n"/>
      <c r="AH663" s="88" t="n"/>
      <c r="AI663" s="88" t="n"/>
      <c r="AJ663" s="90" t="n"/>
      <c r="AK663" s="88" t="n"/>
      <c r="AL663" s="91" t="n"/>
      <c r="AM663" s="88" t="n"/>
      <c r="AN663" s="95" t="n"/>
      <c r="AO663" s="90" t="n"/>
      <c r="AP663" s="90" t="n"/>
    </row>
    <row r="664" ht="14.25" customHeight="1" s="84">
      <c r="A664" s="51" t="n"/>
      <c r="B664" s="47" t="n"/>
      <c r="C664" s="51" t="n"/>
      <c r="D664" s="51" t="n"/>
      <c r="E664" s="51" t="n"/>
      <c r="F664" s="51" t="n"/>
      <c r="G664" s="47" t="n"/>
      <c r="H664" s="51" t="n"/>
      <c r="I664" s="51" t="n"/>
      <c r="J664" s="51" t="n"/>
      <c r="K664" s="51" t="n"/>
      <c r="L664" s="51" t="n"/>
      <c r="N664" s="51" t="n"/>
      <c r="Q664" s="51" t="n"/>
      <c r="S664" s="51" t="n"/>
      <c r="T664" s="51" t="n"/>
      <c r="U664" s="51" t="inlineStr"/>
      <c r="V664" s="55" t="n"/>
      <c r="W664" s="51" t="inlineStr"/>
      <c r="X664" s="51" t="inlineStr"/>
      <c r="Y664" s="51" t="n"/>
      <c r="AB664" s="57" t="n"/>
      <c r="AC664" s="90" t="n"/>
      <c r="AD664" s="90" t="n"/>
      <c r="AE664" s="88" t="n"/>
      <c r="AF664" s="91" t="n"/>
      <c r="AG664" s="91" t="n"/>
      <c r="AH664" s="88" t="n"/>
      <c r="AI664" s="88" t="n"/>
      <c r="AJ664" s="90" t="n"/>
      <c r="AK664" s="88" t="n"/>
      <c r="AL664" s="91" t="n"/>
      <c r="AM664" s="88" t="n"/>
      <c r="AN664" s="95" t="n"/>
      <c r="AO664" s="90" t="n"/>
      <c r="AP664" s="90" t="n"/>
    </row>
    <row r="665" ht="14.25" customHeight="1" s="84">
      <c r="A665" s="51" t="n"/>
      <c r="B665" s="47" t="n"/>
      <c r="C665" s="51" t="n"/>
      <c r="D665" s="51" t="n"/>
      <c r="E665" s="51" t="n"/>
      <c r="F665" s="51" t="n"/>
      <c r="G665" s="47" t="n"/>
      <c r="H665" s="51" t="n"/>
      <c r="I665" s="51" t="n"/>
      <c r="J665" s="51" t="n"/>
      <c r="K665" s="51" t="n"/>
      <c r="L665" s="51" t="n"/>
      <c r="N665" s="51" t="n"/>
      <c r="Q665" s="51" t="n"/>
      <c r="S665" s="51" t="n"/>
      <c r="T665" s="51" t="n"/>
      <c r="U665" s="51" t="inlineStr"/>
      <c r="V665" s="55" t="n"/>
      <c r="W665" s="51" t="inlineStr"/>
      <c r="X665" s="51" t="inlineStr"/>
      <c r="Y665" s="51" t="n"/>
      <c r="AB665" s="57" t="n"/>
      <c r="AC665" s="90" t="n"/>
      <c r="AD665" s="90" t="n"/>
      <c r="AE665" s="88" t="n"/>
      <c r="AF665" s="91" t="n"/>
      <c r="AG665" s="91" t="n"/>
      <c r="AH665" s="88" t="n"/>
      <c r="AI665" s="88" t="n"/>
      <c r="AJ665" s="90" t="n"/>
      <c r="AK665" s="88" t="n"/>
      <c r="AL665" s="91" t="n"/>
      <c r="AM665" s="88" t="n"/>
      <c r="AN665" s="95" t="n"/>
      <c r="AO665" s="90" t="n"/>
      <c r="AP665" s="90" t="n"/>
    </row>
    <row r="666" ht="14.25" customHeight="1" s="84">
      <c r="A666" s="51" t="n"/>
      <c r="B666" s="47" t="n"/>
      <c r="C666" s="51" t="n"/>
      <c r="D666" s="51" t="n"/>
      <c r="E666" s="51" t="n"/>
      <c r="F666" s="51" t="n"/>
      <c r="G666" s="47" t="n"/>
      <c r="H666" s="51" t="n"/>
      <c r="I666" s="51" t="n"/>
      <c r="J666" s="51" t="n"/>
      <c r="K666" s="51" t="n"/>
      <c r="L666" s="51" t="n"/>
      <c r="N666" s="51" t="n"/>
      <c r="Q666" s="51" t="n"/>
      <c r="S666" s="51" t="n"/>
      <c r="T666" s="51" t="n"/>
      <c r="U666" s="51" t="inlineStr"/>
      <c r="V666" s="55" t="n"/>
      <c r="W666" s="51" t="inlineStr"/>
      <c r="X666" s="51" t="inlineStr"/>
      <c r="Y666" s="51" t="n"/>
      <c r="AB666" s="57" t="n"/>
      <c r="AC666" s="90" t="n"/>
      <c r="AD666" s="90" t="n"/>
      <c r="AE666" s="88" t="n"/>
      <c r="AF666" s="91" t="n"/>
      <c r="AG666" s="91" t="n"/>
      <c r="AH666" s="88" t="n"/>
      <c r="AI666" s="88" t="n"/>
      <c r="AJ666" s="90" t="n"/>
      <c r="AK666" s="88" t="n"/>
      <c r="AL666" s="91" t="n"/>
      <c r="AM666" s="88" t="n"/>
      <c r="AN666" s="95" t="n"/>
      <c r="AO666" s="90" t="n"/>
      <c r="AP666" s="90" t="n"/>
    </row>
    <row r="667" ht="14.25" customHeight="1" s="84">
      <c r="A667" s="51" t="n"/>
      <c r="B667" s="47" t="n"/>
      <c r="C667" s="51" t="n"/>
      <c r="D667" s="51" t="n"/>
      <c r="E667" s="51" t="n"/>
      <c r="F667" s="51" t="n"/>
      <c r="G667" s="47" t="n"/>
      <c r="H667" s="51" t="n"/>
      <c r="I667" s="51" t="n"/>
      <c r="J667" s="51" t="n"/>
      <c r="K667" s="51" t="n"/>
      <c r="L667" s="51" t="n"/>
      <c r="N667" s="51" t="n"/>
      <c r="Q667" s="51" t="n"/>
      <c r="S667" s="51" t="n"/>
      <c r="T667" s="51" t="n"/>
      <c r="U667" s="51" t="inlineStr"/>
      <c r="V667" s="55" t="n"/>
      <c r="W667" s="51" t="inlineStr"/>
      <c r="X667" s="51" t="inlineStr"/>
      <c r="Y667" s="51" t="n"/>
      <c r="AB667" s="57" t="n"/>
      <c r="AC667" s="90" t="n"/>
      <c r="AD667" s="90" t="n"/>
      <c r="AE667" s="88" t="n"/>
      <c r="AF667" s="91" t="n"/>
      <c r="AG667" s="91" t="n"/>
      <c r="AH667" s="88" t="n"/>
      <c r="AI667" s="88" t="n"/>
      <c r="AJ667" s="90" t="n"/>
      <c r="AK667" s="88" t="n"/>
      <c r="AL667" s="91" t="n"/>
      <c r="AM667" s="88" t="n"/>
      <c r="AN667" s="95" t="n"/>
      <c r="AO667" s="90" t="n"/>
      <c r="AP667" s="90" t="n"/>
    </row>
    <row r="668" ht="14.25" customHeight="1" s="84">
      <c r="A668" s="51" t="n"/>
      <c r="B668" s="47" t="n"/>
      <c r="C668" s="51" t="n"/>
      <c r="D668" s="51" t="n"/>
      <c r="E668" s="51" t="n"/>
      <c r="F668" s="51" t="n"/>
      <c r="G668" s="47" t="n"/>
      <c r="H668" s="51" t="n"/>
      <c r="I668" s="51" t="n"/>
      <c r="J668" s="51" t="n"/>
      <c r="K668" s="51" t="n"/>
      <c r="L668" s="51" t="n"/>
      <c r="N668" s="51" t="n"/>
      <c r="Q668" s="51" t="n"/>
      <c r="S668" s="51" t="n"/>
      <c r="T668" s="51" t="n"/>
      <c r="U668" s="51" t="inlineStr"/>
      <c r="V668" s="55" t="n"/>
      <c r="W668" s="51" t="inlineStr"/>
      <c r="X668" s="51" t="inlineStr"/>
      <c r="Y668" s="51" t="n"/>
      <c r="AB668" s="57" t="n"/>
      <c r="AC668" s="90" t="n"/>
      <c r="AD668" s="90" t="n"/>
      <c r="AE668" s="88" t="n"/>
      <c r="AF668" s="91" t="n"/>
      <c r="AG668" s="91" t="n"/>
      <c r="AH668" s="88" t="n"/>
      <c r="AI668" s="88" t="n"/>
      <c r="AJ668" s="90" t="n"/>
      <c r="AK668" s="88" t="n"/>
      <c r="AL668" s="91" t="n"/>
      <c r="AM668" s="88" t="n"/>
      <c r="AN668" s="95" t="n"/>
      <c r="AO668" s="90" t="n"/>
      <c r="AP668" s="90" t="n"/>
    </row>
    <row r="669" ht="14.25" customHeight="1" s="84">
      <c r="A669" s="51" t="n"/>
      <c r="B669" s="47" t="n"/>
      <c r="C669" s="51" t="n"/>
      <c r="D669" s="51" t="n"/>
      <c r="E669" s="51" t="n"/>
      <c r="F669" s="51" t="n"/>
      <c r="G669" s="47" t="n"/>
      <c r="H669" s="51" t="n"/>
      <c r="I669" s="51" t="n"/>
      <c r="J669" s="51" t="n"/>
      <c r="K669" s="51" t="n"/>
      <c r="L669" s="51" t="n"/>
      <c r="N669" s="51" t="n"/>
      <c r="Q669" s="51" t="n"/>
      <c r="S669" s="51" t="n"/>
      <c r="T669" s="51" t="n"/>
      <c r="U669" s="51" t="inlineStr"/>
      <c r="V669" s="55" t="n"/>
      <c r="W669" s="51" t="inlineStr"/>
      <c r="X669" s="51" t="inlineStr"/>
      <c r="Y669" s="51" t="n"/>
      <c r="AB669" s="57" t="n"/>
      <c r="AC669" s="90" t="n"/>
      <c r="AD669" s="90" t="n"/>
      <c r="AE669" s="88" t="n"/>
      <c r="AF669" s="91" t="n"/>
      <c r="AG669" s="91" t="n"/>
      <c r="AH669" s="88" t="n"/>
      <c r="AI669" s="88" t="n"/>
      <c r="AJ669" s="90" t="n"/>
      <c r="AK669" s="88" t="n"/>
      <c r="AL669" s="91" t="n"/>
      <c r="AM669" s="88" t="n"/>
      <c r="AN669" s="95" t="n"/>
      <c r="AO669" s="90" t="n"/>
      <c r="AP669" s="90" t="n"/>
    </row>
    <row r="670" ht="14.25" customHeight="1" s="84">
      <c r="A670" s="51" t="n"/>
      <c r="B670" s="47" t="n"/>
      <c r="C670" s="51" t="n"/>
      <c r="D670" s="51" t="n"/>
      <c r="E670" s="51" t="n"/>
      <c r="F670" s="51" t="n"/>
      <c r="G670" s="47" t="n"/>
      <c r="H670" s="51" t="n"/>
      <c r="I670" s="51" t="n"/>
      <c r="J670" s="51" t="n"/>
      <c r="K670" s="51" t="n"/>
      <c r="L670" s="51" t="n"/>
      <c r="N670" s="51" t="n"/>
      <c r="Q670" s="51" t="n"/>
      <c r="S670" s="51" t="n"/>
      <c r="T670" s="51" t="n"/>
      <c r="U670" s="51" t="inlineStr"/>
      <c r="V670" s="55" t="n"/>
      <c r="W670" s="51" t="inlineStr"/>
      <c r="X670" s="51" t="inlineStr"/>
      <c r="Y670" s="51" t="n"/>
      <c r="AB670" s="57" t="n"/>
      <c r="AC670" s="90" t="n"/>
      <c r="AD670" s="90" t="n"/>
      <c r="AE670" s="88" t="n"/>
      <c r="AF670" s="91" t="n"/>
      <c r="AG670" s="91" t="n"/>
      <c r="AH670" s="88" t="n"/>
      <c r="AI670" s="88" t="n"/>
      <c r="AJ670" s="90" t="n"/>
      <c r="AK670" s="88" t="n"/>
      <c r="AL670" s="91" t="n"/>
      <c r="AM670" s="88" t="n"/>
      <c r="AN670" s="95" t="n"/>
      <c r="AO670" s="90" t="n"/>
      <c r="AP670" s="90" t="n"/>
    </row>
    <row r="671" ht="14.25" customHeight="1" s="84">
      <c r="A671" s="51" t="n"/>
      <c r="B671" s="47" t="n"/>
      <c r="C671" s="51" t="n"/>
      <c r="D671" s="51" t="n"/>
      <c r="E671" s="51" t="n"/>
      <c r="F671" s="51" t="n"/>
      <c r="G671" s="47" t="n"/>
      <c r="H671" s="51" t="n"/>
      <c r="I671" s="51" t="n"/>
      <c r="J671" s="51" t="n"/>
      <c r="K671" s="51" t="n"/>
      <c r="L671" s="51" t="n"/>
      <c r="N671" s="51" t="n"/>
      <c r="Q671" s="51" t="n"/>
      <c r="S671" s="51" t="n"/>
      <c r="T671" s="51" t="n"/>
      <c r="U671" s="51" t="inlineStr"/>
      <c r="V671" s="55" t="n"/>
      <c r="W671" s="51" t="inlineStr"/>
      <c r="X671" s="51" t="inlineStr"/>
      <c r="Y671" s="51" t="n"/>
      <c r="AB671" s="57" t="n"/>
      <c r="AC671" s="90" t="n"/>
      <c r="AD671" s="90" t="n"/>
      <c r="AE671" s="88" t="n"/>
      <c r="AF671" s="91" t="n"/>
      <c r="AG671" s="91" t="n"/>
      <c r="AH671" s="88" t="n"/>
      <c r="AI671" s="88" t="n"/>
      <c r="AJ671" s="90" t="n"/>
      <c r="AK671" s="88" t="n"/>
      <c r="AL671" s="91" t="n"/>
      <c r="AM671" s="88" t="n"/>
      <c r="AN671" s="95" t="n"/>
      <c r="AO671" s="90" t="n"/>
      <c r="AP671" s="90" t="n"/>
    </row>
    <row r="672" ht="14.25" customHeight="1" s="84">
      <c r="A672" s="51" t="n"/>
      <c r="B672" s="47" t="n"/>
      <c r="C672" s="51" t="n"/>
      <c r="D672" s="51" t="n"/>
      <c r="E672" s="51" t="n"/>
      <c r="F672" s="51" t="n"/>
      <c r="G672" s="47" t="n"/>
      <c r="H672" s="51" t="n"/>
      <c r="I672" s="51" t="n"/>
      <c r="J672" s="51" t="n"/>
      <c r="K672" s="51" t="n"/>
      <c r="L672" s="51" t="n"/>
      <c r="N672" s="51" t="n"/>
      <c r="Q672" s="51" t="n"/>
      <c r="S672" s="51" t="n"/>
      <c r="T672" s="51" t="n"/>
      <c r="U672" s="51" t="inlineStr"/>
      <c r="V672" s="55" t="n"/>
      <c r="W672" s="51" t="inlineStr"/>
      <c r="X672" s="51" t="inlineStr"/>
      <c r="Y672" s="51" t="n"/>
      <c r="AB672" s="57" t="n"/>
      <c r="AC672" s="90" t="n"/>
      <c r="AD672" s="90" t="n"/>
      <c r="AE672" s="88" t="n"/>
      <c r="AF672" s="91" t="n"/>
      <c r="AG672" s="91" t="n"/>
      <c r="AH672" s="88" t="n"/>
      <c r="AI672" s="88" t="n"/>
      <c r="AJ672" s="90" t="n"/>
      <c r="AK672" s="88" t="n"/>
      <c r="AL672" s="91" t="n"/>
      <c r="AM672" s="88" t="n"/>
      <c r="AN672" s="95" t="n"/>
      <c r="AO672" s="90" t="n"/>
      <c r="AP672" s="90" t="n"/>
    </row>
    <row r="673" ht="14.25" customHeight="1" s="84">
      <c r="A673" s="51" t="n"/>
      <c r="B673" s="47" t="n"/>
      <c r="C673" s="51" t="n"/>
      <c r="D673" s="51" t="n"/>
      <c r="E673" s="51" t="n"/>
      <c r="F673" s="51" t="n"/>
      <c r="G673" s="47" t="n"/>
      <c r="H673" s="51" t="n"/>
      <c r="I673" s="51" t="n"/>
      <c r="J673" s="51" t="n"/>
      <c r="K673" s="51" t="n"/>
      <c r="L673" s="51" t="n"/>
      <c r="N673" s="51" t="n"/>
      <c r="Q673" s="51" t="n"/>
      <c r="S673" s="51" t="n"/>
      <c r="T673" s="51" t="n"/>
      <c r="U673" s="51" t="inlineStr"/>
      <c r="V673" s="55" t="n"/>
      <c r="W673" s="51" t="inlineStr"/>
      <c r="X673" s="51" t="inlineStr"/>
      <c r="Y673" s="51" t="n"/>
      <c r="AB673" s="57" t="n"/>
      <c r="AC673" s="90" t="n"/>
      <c r="AD673" s="90" t="n"/>
      <c r="AE673" s="88" t="n"/>
      <c r="AF673" s="91" t="n"/>
      <c r="AG673" s="91" t="n"/>
      <c r="AH673" s="88" t="n"/>
      <c r="AI673" s="88" t="n"/>
      <c r="AJ673" s="90" t="n"/>
      <c r="AK673" s="88" t="n"/>
      <c r="AL673" s="91" t="n"/>
      <c r="AM673" s="88" t="n"/>
      <c r="AN673" s="95" t="n"/>
      <c r="AO673" s="90" t="n"/>
      <c r="AP673" s="90" t="n"/>
    </row>
    <row r="674" ht="14.25" customHeight="1" s="84">
      <c r="A674" s="51" t="n"/>
      <c r="B674" s="47" t="n"/>
      <c r="C674" s="51" t="n"/>
      <c r="D674" s="51" t="n"/>
      <c r="E674" s="51" t="n"/>
      <c r="F674" s="51" t="n"/>
      <c r="G674" s="47" t="n"/>
      <c r="H674" s="51" t="n"/>
      <c r="I674" s="51" t="n"/>
      <c r="J674" s="51" t="n"/>
      <c r="K674" s="51" t="n"/>
      <c r="L674" s="51" t="n"/>
      <c r="N674" s="51" t="n"/>
      <c r="Q674" s="51" t="n"/>
      <c r="S674" s="51" t="n"/>
      <c r="T674" s="51" t="n"/>
      <c r="U674" s="51" t="inlineStr"/>
      <c r="V674" s="55" t="n"/>
      <c r="W674" s="51" t="inlineStr"/>
      <c r="X674" s="51" t="inlineStr"/>
      <c r="Y674" s="51" t="n"/>
      <c r="AB674" s="57" t="n"/>
      <c r="AC674" s="90" t="n"/>
      <c r="AD674" s="90" t="n"/>
      <c r="AE674" s="88" t="n"/>
      <c r="AF674" s="91" t="n"/>
      <c r="AG674" s="91" t="n"/>
      <c r="AH674" s="88" t="n"/>
      <c r="AI674" s="88" t="n"/>
      <c r="AJ674" s="90" t="n"/>
      <c r="AK674" s="88" t="n"/>
      <c r="AL674" s="91" t="n"/>
      <c r="AM674" s="88" t="n"/>
      <c r="AN674" s="95" t="n"/>
      <c r="AO674" s="90" t="n"/>
      <c r="AP674" s="90" t="n"/>
    </row>
    <row r="675" ht="14.25" customHeight="1" s="84">
      <c r="A675" s="51" t="n"/>
      <c r="B675" s="47" t="n"/>
      <c r="C675" s="51" t="n"/>
      <c r="D675" s="51" t="n"/>
      <c r="E675" s="51" t="n"/>
      <c r="F675" s="51" t="n"/>
      <c r="G675" s="47" t="n"/>
      <c r="H675" s="51" t="n"/>
      <c r="I675" s="51" t="n"/>
      <c r="J675" s="51" t="n"/>
      <c r="K675" s="51" t="n"/>
      <c r="L675" s="51" t="n"/>
      <c r="N675" s="51" t="n"/>
      <c r="Q675" s="51" t="n"/>
      <c r="S675" s="51" t="n"/>
      <c r="T675" s="51" t="n"/>
      <c r="U675" s="51" t="inlineStr"/>
      <c r="V675" s="55" t="n"/>
      <c r="W675" s="51" t="inlineStr"/>
      <c r="X675" s="51" t="inlineStr"/>
      <c r="Y675" s="51" t="n"/>
      <c r="AB675" s="57" t="n"/>
      <c r="AC675" s="90" t="n"/>
      <c r="AD675" s="90" t="n"/>
      <c r="AE675" s="88" t="n"/>
      <c r="AF675" s="91" t="n"/>
      <c r="AG675" s="91" t="n"/>
      <c r="AH675" s="88" t="n"/>
      <c r="AI675" s="88" t="n"/>
      <c r="AJ675" s="90" t="n"/>
      <c r="AK675" s="88" t="n"/>
      <c r="AL675" s="91" t="n"/>
      <c r="AM675" s="88" t="n"/>
      <c r="AN675" s="95" t="n"/>
      <c r="AO675" s="90" t="n"/>
      <c r="AP675" s="90" t="n"/>
    </row>
    <row r="676" ht="14.25" customHeight="1" s="84">
      <c r="A676" s="51" t="n"/>
      <c r="B676" s="47" t="n"/>
      <c r="C676" s="51" t="n"/>
      <c r="D676" s="51" t="n"/>
      <c r="E676" s="51" t="n"/>
      <c r="F676" s="51" t="n"/>
      <c r="G676" s="47" t="n"/>
      <c r="H676" s="51" t="n"/>
      <c r="I676" s="51" t="n"/>
      <c r="J676" s="51" t="n"/>
      <c r="K676" s="51" t="n"/>
      <c r="L676" s="51" t="n"/>
      <c r="N676" s="51" t="n"/>
      <c r="Q676" s="51" t="n"/>
      <c r="S676" s="51" t="n"/>
      <c r="T676" s="51" t="n"/>
      <c r="U676" s="51" t="inlineStr"/>
      <c r="V676" s="55" t="n"/>
      <c r="W676" s="51" t="inlineStr"/>
      <c r="X676" s="51" t="inlineStr"/>
      <c r="Y676" s="51" t="n"/>
      <c r="AB676" s="57" t="n"/>
      <c r="AC676" s="90" t="n"/>
      <c r="AD676" s="90" t="n"/>
      <c r="AE676" s="88" t="n"/>
      <c r="AF676" s="91" t="n"/>
      <c r="AG676" s="91" t="n"/>
      <c r="AH676" s="88" t="n"/>
      <c r="AI676" s="88" t="n"/>
      <c r="AJ676" s="90" t="n"/>
      <c r="AK676" s="88" t="n"/>
      <c r="AL676" s="91" t="n"/>
      <c r="AM676" s="88" t="n"/>
      <c r="AN676" s="95" t="n"/>
      <c r="AO676" s="90" t="n"/>
      <c r="AP676" s="90" t="n"/>
    </row>
    <row r="677" ht="14.25" customHeight="1" s="84">
      <c r="A677" s="51" t="n"/>
      <c r="B677" s="47" t="n"/>
      <c r="C677" s="51" t="n"/>
      <c r="D677" s="51" t="n"/>
      <c r="E677" s="51" t="n"/>
      <c r="F677" s="51" t="n"/>
      <c r="G677" s="47" t="n"/>
      <c r="H677" s="51" t="n"/>
      <c r="I677" s="51" t="n"/>
      <c r="J677" s="51" t="n"/>
      <c r="K677" s="51" t="n"/>
      <c r="L677" s="51" t="n"/>
      <c r="N677" s="51" t="n"/>
      <c r="Q677" s="51" t="n"/>
      <c r="S677" s="51" t="n"/>
      <c r="T677" s="51" t="n"/>
      <c r="U677" s="51" t="inlineStr"/>
      <c r="V677" s="55" t="n"/>
      <c r="W677" s="51" t="inlineStr"/>
      <c r="X677" s="51" t="inlineStr"/>
      <c r="Y677" s="51" t="n"/>
      <c r="AB677" s="57" t="n"/>
      <c r="AC677" s="90" t="n"/>
      <c r="AD677" s="90" t="n"/>
      <c r="AE677" s="88" t="n"/>
      <c r="AF677" s="91" t="n"/>
      <c r="AG677" s="91" t="n"/>
      <c r="AH677" s="88" t="n"/>
      <c r="AI677" s="88" t="n"/>
      <c r="AJ677" s="90" t="n"/>
      <c r="AK677" s="88" t="n"/>
      <c r="AL677" s="91" t="n"/>
      <c r="AM677" s="88" t="n"/>
      <c r="AN677" s="95" t="n"/>
      <c r="AO677" s="90" t="n"/>
      <c r="AP677" s="90" t="n"/>
    </row>
    <row r="678" ht="14.25" customHeight="1" s="84">
      <c r="A678" s="51" t="n"/>
      <c r="B678" s="47" t="n"/>
      <c r="C678" s="51" t="n"/>
      <c r="D678" s="51" t="n"/>
      <c r="E678" s="51" t="n"/>
      <c r="F678" s="51" t="n"/>
      <c r="G678" s="47" t="n"/>
      <c r="H678" s="51" t="n"/>
      <c r="I678" s="51" t="n"/>
      <c r="J678" s="51" t="n"/>
      <c r="K678" s="51" t="n"/>
      <c r="L678" s="51" t="n"/>
      <c r="N678" s="51" t="n"/>
      <c r="Q678" s="51" t="n"/>
      <c r="S678" s="51" t="n"/>
      <c r="T678" s="51" t="n"/>
      <c r="U678" s="51" t="inlineStr"/>
      <c r="V678" s="55" t="n"/>
      <c r="W678" s="51" t="inlineStr"/>
      <c r="X678" s="51" t="inlineStr"/>
      <c r="Y678" s="51" t="n"/>
      <c r="AB678" s="57" t="n"/>
      <c r="AC678" s="90" t="n"/>
      <c r="AD678" s="90" t="n"/>
      <c r="AE678" s="88" t="n"/>
      <c r="AF678" s="91" t="n"/>
      <c r="AG678" s="91" t="n"/>
      <c r="AH678" s="88" t="n"/>
      <c r="AI678" s="88" t="n"/>
      <c r="AJ678" s="90" t="n"/>
      <c r="AK678" s="88" t="n"/>
      <c r="AL678" s="91" t="n"/>
      <c r="AM678" s="88" t="n"/>
      <c r="AN678" s="95" t="n"/>
      <c r="AO678" s="90" t="n"/>
      <c r="AP678" s="90" t="n"/>
    </row>
    <row r="679" ht="14.25" customHeight="1" s="84">
      <c r="A679" s="51" t="n"/>
      <c r="B679" s="47" t="n"/>
      <c r="C679" s="51" t="n"/>
      <c r="D679" s="51" t="n"/>
      <c r="E679" s="51" t="n"/>
      <c r="F679" s="51" t="n"/>
      <c r="G679" s="47" t="n"/>
      <c r="H679" s="51" t="n"/>
      <c r="I679" s="51" t="n"/>
      <c r="J679" s="51" t="n"/>
      <c r="K679" s="51" t="n"/>
      <c r="L679" s="51" t="n"/>
      <c r="N679" s="51" t="n"/>
      <c r="Q679" s="51" t="n"/>
      <c r="S679" s="51" t="n"/>
      <c r="T679" s="51" t="n"/>
      <c r="U679" s="51" t="inlineStr"/>
      <c r="V679" s="55" t="n"/>
      <c r="W679" s="51" t="inlineStr"/>
      <c r="X679" s="51" t="inlineStr"/>
      <c r="Y679" s="51" t="n"/>
      <c r="AB679" s="57" t="n"/>
      <c r="AC679" s="90" t="n"/>
      <c r="AD679" s="90" t="n"/>
      <c r="AE679" s="88" t="n"/>
      <c r="AF679" s="91" t="n"/>
      <c r="AG679" s="91" t="n"/>
      <c r="AH679" s="88" t="n"/>
      <c r="AI679" s="88" t="n"/>
      <c r="AJ679" s="90" t="n"/>
      <c r="AK679" s="88" t="n"/>
      <c r="AL679" s="91" t="n"/>
      <c r="AM679" s="88" t="n"/>
      <c r="AN679" s="95" t="n"/>
      <c r="AO679" s="90" t="n"/>
      <c r="AP679" s="90" t="n"/>
    </row>
    <row r="680" ht="14.25" customHeight="1" s="84">
      <c r="A680" s="51" t="n"/>
      <c r="B680" s="47" t="n"/>
      <c r="C680" s="51" t="n"/>
      <c r="D680" s="51" t="n"/>
      <c r="E680" s="51" t="n"/>
      <c r="F680" s="51" t="n"/>
      <c r="G680" s="47" t="n"/>
      <c r="H680" s="51" t="n"/>
      <c r="I680" s="51" t="n"/>
      <c r="J680" s="51" t="n"/>
      <c r="K680" s="51" t="n"/>
      <c r="L680" s="51" t="n"/>
      <c r="N680" s="51" t="n"/>
      <c r="Q680" s="51" t="n"/>
      <c r="S680" s="51" t="n"/>
      <c r="T680" s="51" t="n"/>
      <c r="U680" s="51" t="inlineStr"/>
      <c r="V680" s="55" t="n"/>
      <c r="W680" s="51" t="inlineStr"/>
      <c r="X680" s="51" t="inlineStr"/>
      <c r="Y680" s="51" t="n"/>
      <c r="AB680" s="57" t="n"/>
      <c r="AC680" s="90" t="n"/>
      <c r="AD680" s="90" t="n"/>
      <c r="AE680" s="88" t="n"/>
      <c r="AF680" s="91" t="n"/>
      <c r="AG680" s="91" t="n"/>
      <c r="AH680" s="88" t="n"/>
      <c r="AI680" s="88" t="n"/>
      <c r="AJ680" s="90" t="n"/>
      <c r="AK680" s="88" t="n"/>
      <c r="AL680" s="91" t="n"/>
      <c r="AM680" s="88" t="n"/>
      <c r="AN680" s="95" t="n"/>
      <c r="AO680" s="90" t="n"/>
      <c r="AP680" s="90" t="n"/>
    </row>
    <row r="681" ht="14.25" customHeight="1" s="84">
      <c r="A681" s="51" t="n"/>
      <c r="B681" s="47" t="n"/>
      <c r="C681" s="51" t="n"/>
      <c r="D681" s="51" t="n"/>
      <c r="E681" s="51" t="n"/>
      <c r="F681" s="51" t="n"/>
      <c r="G681" s="47" t="n"/>
      <c r="H681" s="51" t="n"/>
      <c r="I681" s="51" t="n"/>
      <c r="J681" s="51" t="n"/>
      <c r="K681" s="51" t="n"/>
      <c r="L681" s="51" t="n"/>
      <c r="N681" s="51" t="n"/>
      <c r="Q681" s="51" t="n"/>
      <c r="S681" s="51" t="n"/>
      <c r="T681" s="51" t="n"/>
      <c r="U681" s="51" t="inlineStr"/>
      <c r="V681" s="55" t="n"/>
      <c r="W681" s="51" t="inlineStr"/>
      <c r="X681" s="51" t="inlineStr"/>
      <c r="Y681" s="51" t="n"/>
      <c r="AB681" s="57" t="n"/>
      <c r="AC681" s="90" t="n"/>
      <c r="AD681" s="90" t="n"/>
      <c r="AE681" s="88" t="n"/>
      <c r="AF681" s="91" t="n"/>
      <c r="AG681" s="91" t="n"/>
      <c r="AH681" s="88" t="n"/>
      <c r="AI681" s="88" t="n"/>
      <c r="AJ681" s="90" t="n"/>
      <c r="AK681" s="88" t="n"/>
      <c r="AL681" s="91" t="n"/>
      <c r="AM681" s="88" t="n"/>
      <c r="AN681" s="95" t="n"/>
      <c r="AO681" s="90" t="n"/>
      <c r="AP681" s="90" t="n"/>
    </row>
    <row r="682" ht="14.25" customHeight="1" s="84">
      <c r="A682" s="51" t="n"/>
      <c r="B682" s="47" t="n"/>
      <c r="C682" s="51" t="n"/>
      <c r="D682" s="51" t="n"/>
      <c r="E682" s="51" t="n"/>
      <c r="F682" s="51" t="n"/>
      <c r="G682" s="47" t="n"/>
      <c r="H682" s="51" t="n"/>
      <c r="I682" s="51" t="n"/>
      <c r="J682" s="51" t="n"/>
      <c r="K682" s="51" t="n"/>
      <c r="L682" s="51" t="n"/>
      <c r="N682" s="51" t="n"/>
      <c r="Q682" s="51" t="n"/>
      <c r="S682" s="51" t="n"/>
      <c r="T682" s="51" t="n"/>
      <c r="U682" s="51" t="inlineStr"/>
      <c r="V682" s="55" t="n"/>
      <c r="W682" s="51" t="inlineStr"/>
      <c r="X682" s="51" t="inlineStr"/>
      <c r="Y682" s="51" t="n"/>
      <c r="AB682" s="57" t="n"/>
      <c r="AC682" s="90" t="n"/>
      <c r="AD682" s="90" t="n"/>
      <c r="AE682" s="88" t="n"/>
      <c r="AF682" s="91" t="n"/>
      <c r="AG682" s="91" t="n"/>
      <c r="AH682" s="88" t="n"/>
      <c r="AI682" s="88" t="n"/>
      <c r="AJ682" s="90" t="n"/>
      <c r="AK682" s="88" t="n"/>
      <c r="AL682" s="91" t="n"/>
      <c r="AM682" s="88" t="n"/>
      <c r="AN682" s="95" t="n"/>
      <c r="AO682" s="90" t="n"/>
      <c r="AP682" s="90" t="n"/>
    </row>
    <row r="683" ht="14.25" customHeight="1" s="84">
      <c r="A683" s="51" t="n"/>
      <c r="B683" s="47" t="n"/>
      <c r="C683" s="51" t="n"/>
      <c r="D683" s="51" t="n"/>
      <c r="E683" s="51" t="n"/>
      <c r="F683" s="51" t="n"/>
      <c r="G683" s="47" t="n"/>
      <c r="H683" s="51" t="n"/>
      <c r="I683" s="51" t="n"/>
      <c r="J683" s="51" t="n"/>
      <c r="K683" s="51" t="n"/>
      <c r="L683" s="51" t="n"/>
      <c r="N683" s="51" t="n"/>
      <c r="Q683" s="51" t="n"/>
      <c r="S683" s="51" t="n"/>
      <c r="T683" s="51" t="n"/>
      <c r="U683" s="51" t="inlineStr"/>
      <c r="V683" s="55" t="n"/>
      <c r="W683" s="51" t="inlineStr"/>
      <c r="X683" s="51" t="inlineStr"/>
      <c r="Y683" s="51" t="n"/>
      <c r="AB683" s="57" t="n"/>
      <c r="AC683" s="90" t="n"/>
      <c r="AD683" s="90" t="n"/>
      <c r="AE683" s="88" t="n"/>
      <c r="AF683" s="91" t="n"/>
      <c r="AG683" s="91" t="n"/>
      <c r="AH683" s="88" t="n"/>
      <c r="AI683" s="88" t="n"/>
      <c r="AJ683" s="90" t="n"/>
      <c r="AK683" s="88" t="n"/>
      <c r="AL683" s="91" t="n"/>
      <c r="AM683" s="88" t="n"/>
      <c r="AN683" s="95" t="n"/>
      <c r="AO683" s="90" t="n"/>
      <c r="AP683" s="90" t="n"/>
    </row>
    <row r="684" ht="14.25" customHeight="1" s="84">
      <c r="A684" s="51" t="n"/>
      <c r="B684" s="47" t="n"/>
      <c r="C684" s="51" t="n"/>
      <c r="D684" s="51" t="n"/>
      <c r="E684" s="51" t="n"/>
      <c r="F684" s="51" t="n"/>
      <c r="G684" s="47" t="n"/>
      <c r="H684" s="51" t="n"/>
      <c r="I684" s="51" t="n"/>
      <c r="J684" s="51" t="n"/>
      <c r="K684" s="51" t="n"/>
      <c r="L684" s="51" t="n"/>
      <c r="N684" s="51" t="n"/>
      <c r="Q684" s="51" t="n"/>
      <c r="S684" s="51" t="n"/>
      <c r="T684" s="51" t="n"/>
      <c r="U684" s="51" t="inlineStr"/>
      <c r="V684" s="55" t="n"/>
      <c r="W684" s="51" t="inlineStr"/>
      <c r="X684" s="51" t="inlineStr"/>
      <c r="Y684" s="51" t="n"/>
      <c r="AB684" s="57" t="n"/>
      <c r="AC684" s="90" t="n"/>
      <c r="AD684" s="90" t="n"/>
      <c r="AE684" s="88" t="n"/>
      <c r="AF684" s="91" t="n"/>
      <c r="AG684" s="91" t="n"/>
      <c r="AH684" s="88" t="n"/>
      <c r="AI684" s="88" t="n"/>
      <c r="AJ684" s="90" t="n"/>
      <c r="AK684" s="88" t="n"/>
      <c r="AL684" s="91" t="n"/>
      <c r="AM684" s="88" t="n"/>
      <c r="AN684" s="95" t="n"/>
      <c r="AO684" s="90" t="n"/>
      <c r="AP684" s="90" t="n"/>
    </row>
    <row r="685" ht="14.25" customHeight="1" s="84">
      <c r="A685" s="51" t="n"/>
      <c r="B685" s="47" t="n"/>
      <c r="C685" s="51" t="n"/>
      <c r="D685" s="51" t="n"/>
      <c r="E685" s="51" t="n"/>
      <c r="F685" s="51" t="n"/>
      <c r="G685" s="47" t="n"/>
      <c r="H685" s="51" t="n"/>
      <c r="I685" s="51" t="n"/>
      <c r="J685" s="51" t="n"/>
      <c r="K685" s="51" t="n"/>
      <c r="L685" s="51" t="n"/>
      <c r="N685" s="51" t="n"/>
      <c r="Q685" s="51" t="n"/>
      <c r="S685" s="51" t="n"/>
      <c r="T685" s="51" t="n"/>
      <c r="U685" s="51" t="inlineStr"/>
      <c r="V685" s="55" t="n"/>
      <c r="W685" s="51" t="inlineStr"/>
      <c r="X685" s="51" t="inlineStr"/>
      <c r="Y685" s="51" t="n"/>
      <c r="AB685" s="57" t="n"/>
      <c r="AC685" s="90" t="n"/>
      <c r="AD685" s="90" t="n"/>
      <c r="AE685" s="88" t="n"/>
      <c r="AF685" s="91" t="n"/>
      <c r="AG685" s="91" t="n"/>
      <c r="AH685" s="88" t="n"/>
      <c r="AI685" s="88" t="n"/>
      <c r="AJ685" s="90" t="n"/>
      <c r="AK685" s="88" t="n"/>
      <c r="AL685" s="91" t="n"/>
      <c r="AM685" s="88" t="n"/>
      <c r="AN685" s="95" t="n"/>
      <c r="AO685" s="90" t="n"/>
      <c r="AP685" s="90" t="n"/>
    </row>
    <row r="686" ht="14.25" customHeight="1" s="84">
      <c r="A686" s="51" t="n"/>
      <c r="B686" s="47" t="n"/>
      <c r="C686" s="51" t="n"/>
      <c r="D686" s="51" t="n"/>
      <c r="E686" s="51" t="n"/>
      <c r="F686" s="51" t="n"/>
      <c r="G686" s="47" t="n"/>
      <c r="H686" s="51" t="n"/>
      <c r="I686" s="51" t="n"/>
      <c r="J686" s="51" t="n"/>
      <c r="K686" s="51" t="n"/>
      <c r="L686" s="51" t="n"/>
      <c r="N686" s="51" t="n"/>
      <c r="Q686" s="51" t="n"/>
      <c r="S686" s="51" t="n"/>
      <c r="T686" s="51" t="n"/>
      <c r="U686" s="51" t="inlineStr"/>
      <c r="V686" s="55" t="n"/>
      <c r="W686" s="51" t="inlineStr"/>
      <c r="X686" s="51" t="inlineStr"/>
      <c r="Y686" s="51" t="n"/>
      <c r="AB686" s="57" t="n"/>
      <c r="AC686" s="90" t="n"/>
      <c r="AD686" s="90" t="n"/>
      <c r="AE686" s="88" t="n"/>
      <c r="AF686" s="91" t="n"/>
      <c r="AG686" s="91" t="n"/>
      <c r="AH686" s="88" t="n"/>
      <c r="AI686" s="88" t="n"/>
      <c r="AJ686" s="90" t="n"/>
      <c r="AK686" s="88" t="n"/>
      <c r="AL686" s="91" t="n"/>
      <c r="AM686" s="88" t="n"/>
      <c r="AN686" s="95" t="n"/>
      <c r="AO686" s="90" t="n"/>
      <c r="AP686" s="90" t="n"/>
    </row>
    <row r="687" ht="14.25" customHeight="1" s="84">
      <c r="A687" s="51" t="n"/>
      <c r="B687" s="47" t="n"/>
      <c r="C687" s="51" t="n"/>
      <c r="D687" s="51" t="n"/>
      <c r="E687" s="51" t="n"/>
      <c r="F687" s="51" t="n"/>
      <c r="G687" s="47" t="n"/>
      <c r="H687" s="51" t="n"/>
      <c r="I687" s="51" t="n"/>
      <c r="J687" s="51" t="n"/>
      <c r="K687" s="51" t="n"/>
      <c r="L687" s="51" t="n"/>
      <c r="N687" s="51" t="n"/>
      <c r="Q687" s="51" t="n"/>
      <c r="S687" s="51" t="n"/>
      <c r="T687" s="51" t="n"/>
      <c r="U687" s="51" t="inlineStr"/>
      <c r="V687" s="55" t="n"/>
      <c r="W687" s="51" t="inlineStr"/>
      <c r="X687" s="51" t="inlineStr"/>
      <c r="Y687" s="51" t="n"/>
      <c r="AB687" s="57" t="n"/>
      <c r="AC687" s="90" t="n"/>
      <c r="AD687" s="90" t="n"/>
      <c r="AE687" s="88" t="n"/>
      <c r="AF687" s="91" t="n"/>
      <c r="AG687" s="91" t="n"/>
      <c r="AH687" s="88" t="n"/>
      <c r="AI687" s="88" t="n"/>
      <c r="AJ687" s="90" t="n"/>
      <c r="AK687" s="88" t="n"/>
      <c r="AL687" s="91" t="n"/>
      <c r="AM687" s="88" t="n"/>
      <c r="AN687" s="95" t="n"/>
      <c r="AO687" s="90" t="n"/>
      <c r="AP687" s="90" t="n"/>
    </row>
    <row r="688" ht="14.25" customHeight="1" s="84">
      <c r="A688" s="51" t="n"/>
      <c r="B688" s="47" t="n"/>
      <c r="C688" s="51" t="n"/>
      <c r="D688" s="51" t="n"/>
      <c r="E688" s="51" t="n"/>
      <c r="F688" s="51" t="n"/>
      <c r="G688" s="47" t="n"/>
      <c r="H688" s="51" t="n"/>
      <c r="I688" s="51" t="n"/>
      <c r="J688" s="51" t="n"/>
      <c r="K688" s="51" t="n"/>
      <c r="L688" s="51" t="n"/>
      <c r="N688" s="51" t="n"/>
      <c r="Q688" s="51" t="n"/>
      <c r="S688" s="51" t="n"/>
      <c r="T688" s="51" t="n"/>
      <c r="U688" s="51" t="inlineStr"/>
      <c r="V688" s="55" t="n"/>
      <c r="W688" s="51" t="inlineStr"/>
      <c r="X688" s="51" t="inlineStr"/>
      <c r="Y688" s="51" t="n"/>
      <c r="AB688" s="57" t="n"/>
      <c r="AC688" s="90" t="n"/>
      <c r="AD688" s="90" t="n"/>
      <c r="AE688" s="88" t="n"/>
      <c r="AF688" s="91" t="n"/>
      <c r="AG688" s="91" t="n"/>
      <c r="AH688" s="88" t="n"/>
      <c r="AI688" s="88" t="n"/>
      <c r="AJ688" s="90" t="n"/>
      <c r="AK688" s="88" t="n"/>
      <c r="AL688" s="91" t="n"/>
      <c r="AM688" s="88" t="n"/>
      <c r="AN688" s="95" t="n"/>
      <c r="AO688" s="90" t="n"/>
      <c r="AP688" s="90" t="n"/>
    </row>
    <row r="689" ht="14.25" customHeight="1" s="84">
      <c r="A689" s="51" t="n"/>
      <c r="B689" s="47" t="n"/>
      <c r="C689" s="51" t="n"/>
      <c r="D689" s="51" t="n"/>
      <c r="E689" s="51" t="n"/>
      <c r="F689" s="51" t="n"/>
      <c r="G689" s="47" t="n"/>
      <c r="H689" s="51" t="n"/>
      <c r="I689" s="51" t="n"/>
      <c r="J689" s="51" t="n"/>
      <c r="K689" s="51" t="n"/>
      <c r="L689" s="51" t="n"/>
      <c r="N689" s="51" t="n"/>
      <c r="Q689" s="51" t="n"/>
      <c r="S689" s="51" t="n"/>
      <c r="T689" s="51" t="n"/>
      <c r="U689" s="51" t="inlineStr"/>
      <c r="V689" s="55" t="n"/>
      <c r="W689" s="51" t="inlineStr"/>
      <c r="X689" s="51" t="inlineStr"/>
      <c r="Y689" s="51" t="n"/>
      <c r="AB689" s="57" t="n"/>
      <c r="AC689" s="90" t="n"/>
      <c r="AD689" s="90" t="n"/>
      <c r="AE689" s="88" t="n"/>
      <c r="AF689" s="91" t="n"/>
      <c r="AG689" s="91" t="n"/>
      <c r="AH689" s="88" t="n"/>
      <c r="AI689" s="88" t="n"/>
      <c r="AJ689" s="90" t="n"/>
      <c r="AK689" s="88" t="n"/>
      <c r="AL689" s="91" t="n"/>
      <c r="AM689" s="88" t="n"/>
      <c r="AN689" s="95" t="n"/>
      <c r="AO689" s="90" t="n"/>
      <c r="AP689" s="90" t="n"/>
    </row>
    <row r="690" ht="14.25" customHeight="1" s="84">
      <c r="A690" s="51" t="n"/>
      <c r="B690" s="47" t="n"/>
      <c r="C690" s="51" t="n"/>
      <c r="D690" s="51" t="n"/>
      <c r="E690" s="51" t="n"/>
      <c r="F690" s="51" t="n"/>
      <c r="G690" s="47" t="n"/>
      <c r="H690" s="51" t="n"/>
      <c r="I690" s="51" t="n"/>
      <c r="J690" s="51" t="n"/>
      <c r="K690" s="51" t="n"/>
      <c r="L690" s="51" t="n"/>
      <c r="N690" s="51" t="n"/>
      <c r="Q690" s="51" t="n"/>
      <c r="S690" s="51" t="n"/>
      <c r="T690" s="51" t="n"/>
      <c r="U690" s="51" t="inlineStr"/>
      <c r="V690" s="55" t="n"/>
      <c r="W690" s="51" t="inlineStr"/>
      <c r="X690" s="51" t="inlineStr"/>
      <c r="Y690" s="51" t="n"/>
      <c r="AB690" s="57" t="n"/>
      <c r="AC690" s="90" t="n"/>
      <c r="AD690" s="90" t="n"/>
      <c r="AE690" s="88" t="n"/>
      <c r="AF690" s="91" t="n"/>
      <c r="AG690" s="91" t="n"/>
      <c r="AH690" s="88" t="n"/>
      <c r="AI690" s="88" t="n"/>
      <c r="AJ690" s="90" t="n"/>
      <c r="AK690" s="88" t="n"/>
      <c r="AL690" s="91" t="n"/>
      <c r="AM690" s="88" t="n"/>
      <c r="AN690" s="95" t="n"/>
      <c r="AO690" s="90" t="n"/>
      <c r="AP690" s="90" t="n"/>
    </row>
    <row r="691" ht="14.25" customHeight="1" s="84">
      <c r="A691" s="51" t="n"/>
      <c r="B691" s="47" t="n"/>
      <c r="C691" s="51" t="n"/>
      <c r="D691" s="51" t="n"/>
      <c r="E691" s="51" t="n"/>
      <c r="F691" s="51" t="n"/>
      <c r="G691" s="47" t="n"/>
      <c r="H691" s="51" t="n"/>
      <c r="I691" s="51" t="n"/>
      <c r="J691" s="51" t="n"/>
      <c r="K691" s="51" t="n"/>
      <c r="L691" s="51" t="n"/>
      <c r="N691" s="51" t="n"/>
      <c r="Q691" s="51" t="n"/>
      <c r="S691" s="51" t="n"/>
      <c r="T691" s="51" t="n"/>
      <c r="U691" s="51" t="inlineStr"/>
      <c r="V691" s="55" t="n"/>
      <c r="W691" s="51" t="inlineStr"/>
      <c r="X691" s="51" t="inlineStr"/>
      <c r="Y691" s="51" t="n"/>
      <c r="AB691" s="57" t="n"/>
      <c r="AC691" s="90" t="n"/>
      <c r="AD691" s="90" t="n"/>
      <c r="AE691" s="88" t="n"/>
      <c r="AF691" s="91" t="n"/>
      <c r="AG691" s="91" t="n"/>
      <c r="AH691" s="88" t="n"/>
      <c r="AI691" s="88" t="n"/>
      <c r="AJ691" s="90" t="n"/>
      <c r="AK691" s="88" t="n"/>
      <c r="AL691" s="91" t="n"/>
      <c r="AM691" s="88" t="n"/>
      <c r="AN691" s="95" t="n"/>
      <c r="AO691" s="90" t="n"/>
      <c r="AP691" s="90" t="n"/>
    </row>
    <row r="692" ht="14.25" customHeight="1" s="84">
      <c r="A692" s="51" t="n"/>
      <c r="B692" s="47" t="n"/>
      <c r="C692" s="51" t="n"/>
      <c r="D692" s="51" t="n"/>
      <c r="E692" s="51" t="n"/>
      <c r="F692" s="51" t="n"/>
      <c r="G692" s="47" t="n"/>
      <c r="H692" s="51" t="n"/>
      <c r="I692" s="51" t="n"/>
      <c r="J692" s="51" t="n"/>
      <c r="K692" s="51" t="n"/>
      <c r="L692" s="51" t="n"/>
      <c r="N692" s="51" t="n"/>
      <c r="Q692" s="51" t="n"/>
      <c r="S692" s="51" t="n"/>
      <c r="T692" s="51" t="n"/>
      <c r="U692" s="51" t="inlineStr"/>
      <c r="V692" s="55" t="n"/>
      <c r="W692" s="51" t="inlineStr"/>
      <c r="X692" s="51" t="inlineStr"/>
      <c r="Y692" s="51" t="n"/>
      <c r="AB692" s="57" t="n"/>
      <c r="AC692" s="90" t="n"/>
      <c r="AD692" s="90" t="n"/>
      <c r="AE692" s="88" t="n"/>
      <c r="AF692" s="91" t="n"/>
      <c r="AG692" s="91" t="n"/>
      <c r="AH692" s="88" t="n"/>
      <c r="AI692" s="88" t="n"/>
      <c r="AJ692" s="90" t="n"/>
      <c r="AK692" s="88" t="n"/>
      <c r="AL692" s="91" t="n"/>
      <c r="AM692" s="88" t="n"/>
      <c r="AN692" s="95" t="n"/>
      <c r="AO692" s="90" t="n"/>
      <c r="AP692" s="90" t="n"/>
    </row>
    <row r="693" ht="14.25" customHeight="1" s="84">
      <c r="A693" s="51" t="n"/>
      <c r="B693" s="47" t="n"/>
      <c r="C693" s="51" t="n"/>
      <c r="D693" s="51" t="n"/>
      <c r="E693" s="51" t="n"/>
      <c r="F693" s="51" t="n"/>
      <c r="G693" s="47" t="n"/>
      <c r="H693" s="51" t="n"/>
      <c r="I693" s="51" t="n"/>
      <c r="J693" s="51" t="n"/>
      <c r="K693" s="51" t="n"/>
      <c r="L693" s="51" t="n"/>
      <c r="N693" s="51" t="n"/>
      <c r="Q693" s="51" t="n"/>
      <c r="S693" s="51" t="n"/>
      <c r="T693" s="51" t="n"/>
      <c r="U693" s="51" t="inlineStr"/>
      <c r="V693" s="55" t="n"/>
      <c r="W693" s="51" t="inlineStr"/>
      <c r="X693" s="51" t="inlineStr"/>
      <c r="Y693" s="51" t="n"/>
      <c r="AB693" s="57" t="n"/>
      <c r="AC693" s="90" t="n"/>
      <c r="AD693" s="90" t="n"/>
      <c r="AE693" s="88" t="n"/>
      <c r="AF693" s="91" t="n"/>
      <c r="AG693" s="91" t="n"/>
      <c r="AH693" s="88" t="n"/>
      <c r="AI693" s="88" t="n"/>
      <c r="AJ693" s="90" t="n"/>
      <c r="AK693" s="88" t="n"/>
      <c r="AL693" s="91" t="n"/>
      <c r="AM693" s="88" t="n"/>
      <c r="AN693" s="95" t="n"/>
      <c r="AO693" s="90" t="n"/>
      <c r="AP693" s="90" t="n"/>
    </row>
    <row r="694" ht="14.25" customHeight="1" s="84">
      <c r="A694" s="51" t="n"/>
      <c r="B694" s="47" t="n"/>
      <c r="C694" s="51" t="n"/>
      <c r="D694" s="51" t="n"/>
      <c r="E694" s="51" t="n"/>
      <c r="F694" s="51" t="n"/>
      <c r="G694" s="47" t="n"/>
      <c r="H694" s="51" t="n"/>
      <c r="I694" s="51" t="n"/>
      <c r="J694" s="51" t="n"/>
      <c r="K694" s="51" t="n"/>
      <c r="L694" s="51" t="n"/>
      <c r="N694" s="51" t="n"/>
      <c r="Q694" s="51" t="n"/>
      <c r="S694" s="51" t="n"/>
      <c r="T694" s="51" t="n"/>
      <c r="U694" s="51" t="inlineStr"/>
      <c r="V694" s="55" t="n"/>
      <c r="W694" s="51" t="inlineStr"/>
      <c r="X694" s="51" t="inlineStr"/>
      <c r="Y694" s="51" t="n"/>
      <c r="AB694" s="57" t="n"/>
      <c r="AC694" s="90" t="n"/>
      <c r="AD694" s="90" t="n"/>
      <c r="AE694" s="88" t="n"/>
      <c r="AF694" s="91" t="n"/>
      <c r="AG694" s="91" t="n"/>
      <c r="AH694" s="88" t="n"/>
      <c r="AI694" s="88" t="n"/>
      <c r="AJ694" s="90" t="n"/>
      <c r="AK694" s="88" t="n"/>
      <c r="AL694" s="91" t="n"/>
      <c r="AM694" s="88" t="n"/>
      <c r="AN694" s="95" t="n"/>
      <c r="AO694" s="90" t="n"/>
      <c r="AP694" s="90" t="n"/>
    </row>
    <row r="695" ht="14.25" customHeight="1" s="84">
      <c r="A695" s="51" t="n"/>
      <c r="B695" s="47" t="n"/>
      <c r="C695" s="51" t="n"/>
      <c r="D695" s="51" t="n"/>
      <c r="E695" s="51" t="n"/>
      <c r="F695" s="51" t="n"/>
      <c r="G695" s="47" t="n"/>
      <c r="H695" s="51" t="n"/>
      <c r="I695" s="51" t="n"/>
      <c r="J695" s="51" t="n"/>
      <c r="K695" s="51" t="n"/>
      <c r="L695" s="51" t="n"/>
      <c r="N695" s="51" t="n"/>
      <c r="Q695" s="51" t="n"/>
      <c r="S695" s="51" t="n"/>
      <c r="T695" s="51" t="n"/>
      <c r="U695" s="51" t="inlineStr"/>
      <c r="V695" s="55" t="n"/>
      <c r="W695" s="51" t="inlineStr"/>
      <c r="X695" s="51" t="inlineStr"/>
      <c r="Y695" s="51" t="n"/>
      <c r="AB695" s="57" t="n"/>
      <c r="AC695" s="90" t="n"/>
      <c r="AD695" s="90" t="n"/>
      <c r="AE695" s="88" t="n"/>
      <c r="AF695" s="91" t="n"/>
      <c r="AG695" s="91" t="n"/>
      <c r="AH695" s="88" t="n"/>
      <c r="AI695" s="88" t="n"/>
      <c r="AJ695" s="90" t="n"/>
      <c r="AK695" s="88" t="n"/>
      <c r="AL695" s="91" t="n"/>
      <c r="AM695" s="88" t="n"/>
      <c r="AN695" s="95" t="n"/>
      <c r="AO695" s="90" t="n"/>
      <c r="AP695" s="90" t="n"/>
    </row>
    <row r="696" ht="14.25" customHeight="1" s="84">
      <c r="A696" s="51" t="n"/>
      <c r="B696" s="47" t="n"/>
      <c r="C696" s="51" t="n"/>
      <c r="D696" s="51" t="n"/>
      <c r="E696" s="51" t="n"/>
      <c r="F696" s="51" t="n"/>
      <c r="G696" s="47" t="n"/>
      <c r="H696" s="51" t="n"/>
      <c r="I696" s="51" t="n"/>
      <c r="J696" s="51" t="n"/>
      <c r="K696" s="51" t="n"/>
      <c r="L696" s="51" t="n"/>
      <c r="N696" s="51" t="n"/>
      <c r="Q696" s="51" t="n"/>
      <c r="S696" s="51" t="n"/>
      <c r="T696" s="51" t="n"/>
      <c r="U696" s="51" t="inlineStr"/>
      <c r="V696" s="55" t="n"/>
      <c r="W696" s="51" t="inlineStr"/>
      <c r="X696" s="51" t="inlineStr"/>
      <c r="Y696" s="51" t="n"/>
      <c r="AB696" s="57" t="n"/>
      <c r="AC696" s="90" t="n"/>
      <c r="AD696" s="90" t="n"/>
      <c r="AE696" s="88" t="n"/>
      <c r="AF696" s="91" t="n"/>
      <c r="AG696" s="91" t="n"/>
      <c r="AH696" s="88" t="n"/>
      <c r="AI696" s="88" t="n"/>
      <c r="AJ696" s="90" t="n"/>
      <c r="AK696" s="88" t="n"/>
      <c r="AL696" s="91" t="n"/>
      <c r="AM696" s="88" t="n"/>
      <c r="AN696" s="95" t="n"/>
      <c r="AO696" s="90" t="n"/>
      <c r="AP696" s="90" t="n"/>
    </row>
    <row r="697" ht="14.25" customHeight="1" s="84">
      <c r="A697" s="51" t="n"/>
      <c r="B697" s="47" t="n"/>
      <c r="C697" s="51" t="n"/>
      <c r="D697" s="51" t="n"/>
      <c r="E697" s="51" t="n"/>
      <c r="F697" s="51" t="n"/>
      <c r="G697" s="47" t="n"/>
      <c r="H697" s="51" t="n"/>
      <c r="I697" s="51" t="n"/>
      <c r="J697" s="51" t="n"/>
      <c r="K697" s="51" t="n"/>
      <c r="L697" s="51" t="n"/>
      <c r="N697" s="51" t="n"/>
      <c r="Q697" s="51" t="n"/>
      <c r="S697" s="51" t="n"/>
      <c r="T697" s="51" t="n"/>
      <c r="U697" s="51" t="inlineStr"/>
      <c r="V697" s="55" t="n"/>
      <c r="W697" s="51" t="inlineStr"/>
      <c r="X697" s="51" t="inlineStr"/>
      <c r="Y697" s="51" t="n"/>
      <c r="AB697" s="57" t="n"/>
      <c r="AC697" s="90" t="n"/>
      <c r="AD697" s="90" t="n"/>
      <c r="AE697" s="88" t="n"/>
      <c r="AF697" s="91" t="n"/>
      <c r="AG697" s="91" t="n"/>
      <c r="AH697" s="88" t="n"/>
      <c r="AI697" s="88" t="n"/>
      <c r="AJ697" s="90" t="n"/>
      <c r="AK697" s="88" t="n"/>
      <c r="AL697" s="91" t="n"/>
      <c r="AM697" s="88" t="n"/>
      <c r="AN697" s="95" t="n"/>
      <c r="AO697" s="90" t="n"/>
      <c r="AP697" s="90" t="n"/>
    </row>
    <row r="698" ht="14.25" customHeight="1" s="84">
      <c r="A698" s="51" t="n"/>
      <c r="B698" s="47" t="n"/>
      <c r="C698" s="51" t="n"/>
      <c r="D698" s="51" t="n"/>
      <c r="E698" s="51" t="n"/>
      <c r="F698" s="51" t="n"/>
      <c r="G698" s="47" t="n"/>
      <c r="H698" s="51" t="n"/>
      <c r="I698" s="51" t="n"/>
      <c r="J698" s="51" t="n"/>
      <c r="K698" s="51" t="n"/>
      <c r="L698" s="51" t="n"/>
      <c r="N698" s="51" t="n"/>
      <c r="Q698" s="51" t="n"/>
      <c r="S698" s="51" t="n"/>
      <c r="T698" s="51" t="n"/>
      <c r="U698" s="51" t="inlineStr"/>
      <c r="V698" s="55" t="n"/>
      <c r="W698" s="51" t="inlineStr"/>
      <c r="X698" s="51" t="inlineStr"/>
      <c r="Y698" s="51" t="n"/>
      <c r="AB698" s="57" t="n"/>
      <c r="AC698" s="90" t="n"/>
      <c r="AD698" s="90" t="n"/>
      <c r="AE698" s="88" t="n"/>
      <c r="AF698" s="91" t="n"/>
      <c r="AG698" s="91" t="n"/>
      <c r="AH698" s="88" t="n"/>
      <c r="AI698" s="88" t="n"/>
      <c r="AJ698" s="90" t="n"/>
      <c r="AK698" s="88" t="n"/>
      <c r="AL698" s="91" t="n"/>
      <c r="AM698" s="88" t="n"/>
      <c r="AN698" s="95" t="n"/>
      <c r="AO698" s="90" t="n"/>
      <c r="AP698" s="90" t="n"/>
    </row>
    <row r="699" ht="14.25" customHeight="1" s="84">
      <c r="A699" s="51" t="n"/>
      <c r="B699" s="47" t="n"/>
      <c r="C699" s="51" t="n"/>
      <c r="D699" s="51" t="n"/>
      <c r="E699" s="51" t="n"/>
      <c r="F699" s="51" t="n"/>
      <c r="G699" s="47" t="n"/>
      <c r="H699" s="51" t="n"/>
      <c r="I699" s="51" t="n"/>
      <c r="J699" s="51" t="n"/>
      <c r="K699" s="51" t="n"/>
      <c r="L699" s="51" t="n"/>
      <c r="N699" s="51" t="n"/>
      <c r="Q699" s="51" t="n"/>
      <c r="S699" s="51" t="n"/>
      <c r="T699" s="51" t="n"/>
      <c r="U699" s="51" t="inlineStr"/>
      <c r="V699" s="55" t="n"/>
      <c r="W699" s="51" t="inlineStr"/>
      <c r="X699" s="51" t="inlineStr"/>
      <c r="Y699" s="51" t="n"/>
      <c r="AB699" s="57" t="n"/>
      <c r="AC699" s="90" t="n"/>
      <c r="AD699" s="90" t="n"/>
      <c r="AE699" s="88" t="n"/>
      <c r="AF699" s="91" t="n"/>
      <c r="AG699" s="91" t="n"/>
      <c r="AH699" s="88" t="n"/>
      <c r="AI699" s="88" t="n"/>
      <c r="AJ699" s="90" t="n"/>
      <c r="AK699" s="88" t="n"/>
      <c r="AL699" s="91" t="n"/>
      <c r="AM699" s="88" t="n"/>
      <c r="AN699" s="95" t="n"/>
      <c r="AO699" s="90" t="n"/>
      <c r="AP699" s="90" t="n"/>
    </row>
    <row r="700" ht="14.25" customHeight="1" s="84">
      <c r="A700" s="51" t="n"/>
      <c r="B700" s="47" t="n"/>
      <c r="C700" s="51" t="n"/>
      <c r="D700" s="51" t="n"/>
      <c r="E700" s="51" t="n"/>
      <c r="F700" s="51" t="n"/>
      <c r="G700" s="47" t="n"/>
      <c r="H700" s="51" t="n"/>
      <c r="I700" s="51" t="n"/>
      <c r="J700" s="51" t="n"/>
      <c r="K700" s="51" t="n"/>
      <c r="L700" s="51" t="n"/>
      <c r="N700" s="51" t="n"/>
      <c r="Q700" s="51" t="n"/>
      <c r="S700" s="51" t="n"/>
      <c r="T700" s="51" t="n"/>
      <c r="U700" s="51" t="inlineStr"/>
      <c r="V700" s="55" t="n"/>
      <c r="W700" s="51" t="inlineStr"/>
      <c r="X700" s="51" t="inlineStr"/>
      <c r="Y700" s="51" t="n"/>
      <c r="AB700" s="57" t="n"/>
      <c r="AC700" s="90" t="n"/>
      <c r="AD700" s="90" t="n"/>
      <c r="AE700" s="88" t="n"/>
      <c r="AF700" s="91" t="n"/>
      <c r="AG700" s="91" t="n"/>
      <c r="AH700" s="88" t="n"/>
      <c r="AI700" s="88" t="n"/>
      <c r="AJ700" s="90" t="n"/>
      <c r="AK700" s="88" t="n"/>
      <c r="AL700" s="91" t="n"/>
      <c r="AM700" s="88" t="n"/>
      <c r="AN700" s="95" t="n"/>
      <c r="AO700" s="90" t="n"/>
      <c r="AP700" s="90" t="n"/>
    </row>
    <row r="701" ht="14.25" customHeight="1" s="84">
      <c r="A701" s="51" t="n"/>
      <c r="B701" s="47" t="n"/>
      <c r="C701" s="51" t="n"/>
      <c r="D701" s="51" t="n"/>
      <c r="E701" s="51" t="n"/>
      <c r="F701" s="51" t="n"/>
      <c r="G701" s="47" t="n"/>
      <c r="H701" s="51" t="n"/>
      <c r="I701" s="51" t="n"/>
      <c r="J701" s="51" t="n"/>
      <c r="K701" s="51" t="n"/>
      <c r="L701" s="51" t="n"/>
      <c r="N701" s="51" t="n"/>
      <c r="Q701" s="51" t="n"/>
      <c r="S701" s="51" t="n"/>
      <c r="T701" s="51" t="n"/>
      <c r="U701" s="51" t="inlineStr"/>
      <c r="V701" s="55" t="n"/>
      <c r="W701" s="51" t="inlineStr"/>
      <c r="X701" s="51" t="inlineStr"/>
      <c r="Y701" s="51" t="n"/>
      <c r="AB701" s="57" t="n"/>
      <c r="AC701" s="90" t="n"/>
      <c r="AD701" s="90" t="n"/>
      <c r="AE701" s="88" t="n"/>
      <c r="AF701" s="91" t="n"/>
      <c r="AG701" s="91" t="n"/>
      <c r="AH701" s="88" t="n"/>
      <c r="AI701" s="88" t="n"/>
      <c r="AJ701" s="90" t="n"/>
      <c r="AK701" s="88" t="n"/>
      <c r="AL701" s="91" t="n"/>
      <c r="AM701" s="88" t="n"/>
      <c r="AN701" s="95" t="n"/>
      <c r="AO701" s="90" t="n"/>
      <c r="AP701" s="90" t="n"/>
    </row>
    <row r="702" ht="14.25" customHeight="1" s="84">
      <c r="A702" s="51" t="n"/>
      <c r="B702" s="47" t="n"/>
      <c r="C702" s="51" t="n"/>
      <c r="D702" s="51" t="n"/>
      <c r="E702" s="51" t="n"/>
      <c r="F702" s="51" t="n"/>
      <c r="G702" s="47" t="n"/>
      <c r="H702" s="51" t="n"/>
      <c r="I702" s="51" t="n"/>
      <c r="J702" s="51" t="n"/>
      <c r="K702" s="51" t="n"/>
      <c r="L702" s="51" t="n"/>
      <c r="N702" s="51" t="n"/>
      <c r="Q702" s="51" t="n"/>
      <c r="S702" s="51" t="n"/>
      <c r="T702" s="51" t="n"/>
      <c r="U702" s="51" t="inlineStr"/>
      <c r="V702" s="55" t="n"/>
      <c r="W702" s="51" t="inlineStr"/>
      <c r="X702" s="51" t="inlineStr"/>
      <c r="Y702" s="51" t="n"/>
      <c r="AB702" s="57" t="n"/>
      <c r="AC702" s="90" t="n"/>
      <c r="AD702" s="90" t="n"/>
      <c r="AE702" s="88" t="n"/>
      <c r="AF702" s="91" t="n"/>
      <c r="AG702" s="91" t="n"/>
      <c r="AH702" s="88" t="n"/>
      <c r="AI702" s="88" t="n"/>
      <c r="AJ702" s="90" t="n"/>
      <c r="AK702" s="88" t="n"/>
      <c r="AL702" s="91" t="n"/>
      <c r="AM702" s="88" t="n"/>
      <c r="AN702" s="95" t="n"/>
      <c r="AO702" s="90" t="n"/>
      <c r="AP702" s="90" t="n"/>
    </row>
    <row r="703" ht="14.25" customHeight="1" s="84">
      <c r="A703" s="51" t="n"/>
      <c r="B703" s="47" t="n"/>
      <c r="C703" s="51" t="n"/>
      <c r="D703" s="51" t="n"/>
      <c r="E703" s="51" t="n"/>
      <c r="F703" s="51" t="n"/>
      <c r="G703" s="47" t="n"/>
      <c r="H703" s="51" t="n"/>
      <c r="I703" s="51" t="n"/>
      <c r="J703" s="51" t="n"/>
      <c r="K703" s="51" t="n"/>
      <c r="L703" s="51" t="n"/>
      <c r="N703" s="51" t="n"/>
      <c r="Q703" s="51" t="n"/>
      <c r="S703" s="51" t="n"/>
      <c r="T703" s="51" t="n"/>
      <c r="U703" s="51" t="inlineStr"/>
      <c r="V703" s="55" t="n"/>
      <c r="W703" s="51" t="inlineStr"/>
      <c r="X703" s="51" t="inlineStr"/>
      <c r="Y703" s="51" t="n"/>
      <c r="AB703" s="57" t="n"/>
      <c r="AC703" s="90" t="n"/>
      <c r="AD703" s="90" t="n"/>
      <c r="AE703" s="88" t="n"/>
      <c r="AF703" s="91" t="n"/>
      <c r="AG703" s="91" t="n"/>
      <c r="AH703" s="88" t="n"/>
      <c r="AI703" s="88" t="n"/>
      <c r="AJ703" s="90" t="n"/>
      <c r="AK703" s="88" t="n"/>
      <c r="AL703" s="91" t="n"/>
      <c r="AM703" s="88" t="n"/>
      <c r="AN703" s="95" t="n"/>
      <c r="AO703" s="90" t="n"/>
      <c r="AP703" s="90" t="n"/>
    </row>
    <row r="704" ht="14.25" customHeight="1" s="84">
      <c r="A704" s="51" t="n"/>
      <c r="B704" s="47" t="n"/>
      <c r="C704" s="51" t="n"/>
      <c r="D704" s="51" t="n"/>
      <c r="E704" s="51" t="n"/>
      <c r="F704" s="51" t="n"/>
      <c r="G704" s="47" t="n"/>
      <c r="H704" s="51" t="n"/>
      <c r="I704" s="51" t="n"/>
      <c r="J704" s="51" t="n"/>
      <c r="K704" s="51" t="n"/>
      <c r="L704" s="51" t="n"/>
      <c r="N704" s="51" t="n"/>
      <c r="Q704" s="51" t="n"/>
      <c r="S704" s="51" t="n"/>
      <c r="T704" s="51" t="n"/>
      <c r="U704" s="51" t="inlineStr"/>
      <c r="V704" s="55" t="n"/>
      <c r="W704" s="51" t="inlineStr"/>
      <c r="X704" s="51" t="inlineStr"/>
      <c r="Y704" s="51" t="n"/>
      <c r="AB704" s="57" t="n"/>
      <c r="AC704" s="90" t="n"/>
      <c r="AD704" s="90" t="n"/>
      <c r="AE704" s="88" t="n"/>
      <c r="AF704" s="91" t="n"/>
      <c r="AG704" s="91" t="n"/>
      <c r="AH704" s="88" t="n"/>
      <c r="AI704" s="88" t="n"/>
      <c r="AJ704" s="90" t="n"/>
      <c r="AK704" s="88" t="n"/>
      <c r="AL704" s="91" t="n"/>
      <c r="AM704" s="88" t="n"/>
      <c r="AN704" s="95" t="n"/>
      <c r="AO704" s="90" t="n"/>
      <c r="AP704" s="90" t="n"/>
    </row>
    <row r="705" ht="14.25" customHeight="1" s="84">
      <c r="A705" s="51" t="n"/>
      <c r="B705" s="47" t="n"/>
      <c r="C705" s="51" t="n"/>
      <c r="D705" s="51" t="n"/>
      <c r="E705" s="51" t="n"/>
      <c r="F705" s="51" t="n"/>
      <c r="G705" s="47" t="n"/>
      <c r="H705" s="51" t="n"/>
      <c r="I705" s="51" t="n"/>
      <c r="J705" s="51" t="n"/>
      <c r="K705" s="51" t="n"/>
      <c r="L705" s="51" t="n"/>
      <c r="N705" s="51" t="n"/>
      <c r="Q705" s="51" t="n"/>
      <c r="S705" s="51" t="n"/>
      <c r="T705" s="51" t="n"/>
      <c r="U705" s="51" t="inlineStr"/>
      <c r="V705" s="55" t="n"/>
      <c r="W705" s="51" t="inlineStr"/>
      <c r="X705" s="51" t="inlineStr"/>
      <c r="Y705" s="51" t="n"/>
      <c r="AB705" s="57" t="n"/>
      <c r="AC705" s="90" t="n"/>
      <c r="AD705" s="90" t="n"/>
      <c r="AE705" s="88" t="n"/>
      <c r="AF705" s="91" t="n"/>
      <c r="AG705" s="91" t="n"/>
      <c r="AH705" s="88" t="n"/>
      <c r="AI705" s="88" t="n"/>
      <c r="AJ705" s="90" t="n"/>
      <c r="AK705" s="88" t="n"/>
      <c r="AL705" s="91" t="n"/>
      <c r="AM705" s="88" t="n"/>
      <c r="AN705" s="95" t="n"/>
      <c r="AO705" s="90" t="n"/>
      <c r="AP705" s="90" t="n"/>
    </row>
    <row r="706" ht="14.25" customHeight="1" s="84">
      <c r="A706" s="51" t="n"/>
      <c r="B706" s="47" t="n"/>
      <c r="C706" s="51" t="n"/>
      <c r="D706" s="51" t="n"/>
      <c r="E706" s="51" t="n"/>
      <c r="F706" s="51" t="n"/>
      <c r="G706" s="47" t="n"/>
      <c r="H706" s="51" t="n"/>
      <c r="I706" s="51" t="n"/>
      <c r="J706" s="51" t="n"/>
      <c r="K706" s="51" t="n"/>
      <c r="L706" s="51" t="n"/>
      <c r="N706" s="51" t="n"/>
      <c r="Q706" s="51" t="n"/>
      <c r="S706" s="51" t="n"/>
      <c r="T706" s="51" t="n"/>
      <c r="U706" s="51" t="inlineStr"/>
      <c r="V706" s="55" t="n"/>
      <c r="W706" s="51" t="inlineStr"/>
      <c r="X706" s="51" t="inlineStr"/>
      <c r="Y706" s="51" t="n"/>
      <c r="AB706" s="57" t="n"/>
      <c r="AC706" s="90" t="n"/>
      <c r="AD706" s="90" t="n"/>
      <c r="AE706" s="88" t="n"/>
      <c r="AF706" s="91" t="n"/>
      <c r="AG706" s="91" t="n"/>
      <c r="AH706" s="88" t="n"/>
      <c r="AI706" s="88" t="n"/>
      <c r="AJ706" s="90" t="n"/>
      <c r="AK706" s="88" t="n"/>
      <c r="AL706" s="91" t="n"/>
      <c r="AM706" s="88" t="n"/>
      <c r="AN706" s="95" t="n"/>
      <c r="AO706" s="90" t="n"/>
      <c r="AP706" s="90" t="n"/>
    </row>
    <row r="707" ht="14.25" customHeight="1" s="84">
      <c r="A707" s="51" t="n"/>
      <c r="B707" s="47" t="n"/>
      <c r="C707" s="51" t="n"/>
      <c r="D707" s="51" t="n"/>
      <c r="E707" s="51" t="n"/>
      <c r="F707" s="51" t="n"/>
      <c r="G707" s="47" t="n"/>
      <c r="H707" s="51" t="n"/>
      <c r="I707" s="51" t="n"/>
      <c r="J707" s="51" t="n"/>
      <c r="K707" s="51" t="n"/>
      <c r="L707" s="51" t="n"/>
      <c r="N707" s="51" t="n"/>
      <c r="Q707" s="51" t="n"/>
      <c r="S707" s="51" t="n"/>
      <c r="T707" s="51" t="n"/>
      <c r="U707" s="51" t="inlineStr"/>
      <c r="V707" s="55" t="n"/>
      <c r="W707" s="51" t="inlineStr"/>
      <c r="X707" s="51" t="inlineStr"/>
      <c r="Y707" s="51" t="n"/>
      <c r="AB707" s="57" t="n"/>
      <c r="AC707" s="90" t="n"/>
      <c r="AD707" s="90" t="n"/>
      <c r="AE707" s="88" t="n"/>
      <c r="AF707" s="91" t="n"/>
      <c r="AG707" s="91" t="n"/>
      <c r="AH707" s="88" t="n"/>
      <c r="AI707" s="88" t="n"/>
      <c r="AJ707" s="90" t="n"/>
      <c r="AK707" s="88" t="n"/>
      <c r="AL707" s="91" t="n"/>
      <c r="AM707" s="88" t="n"/>
      <c r="AN707" s="95" t="n"/>
      <c r="AO707" s="90" t="n"/>
      <c r="AP707" s="90" t="n"/>
    </row>
    <row r="708" ht="14.25" customHeight="1" s="84">
      <c r="A708" s="51" t="n"/>
      <c r="B708" s="47" t="n"/>
      <c r="C708" s="51" t="n"/>
      <c r="D708" s="51" t="n"/>
      <c r="E708" s="51" t="n"/>
      <c r="F708" s="51" t="n"/>
      <c r="G708" s="47" t="n"/>
      <c r="H708" s="51" t="n"/>
      <c r="I708" s="51" t="n"/>
      <c r="J708" s="51" t="n"/>
      <c r="K708" s="51" t="n"/>
      <c r="L708" s="51" t="n"/>
      <c r="N708" s="51" t="n"/>
      <c r="Q708" s="51" t="n"/>
      <c r="S708" s="51" t="n"/>
      <c r="T708" s="51" t="n"/>
      <c r="U708" s="51" t="inlineStr"/>
      <c r="V708" s="55" t="n"/>
      <c r="W708" s="51" t="inlineStr"/>
      <c r="X708" s="51" t="inlineStr"/>
      <c r="Y708" s="51" t="n"/>
      <c r="AB708" s="57" t="n"/>
      <c r="AC708" s="90" t="n"/>
      <c r="AD708" s="90" t="n"/>
      <c r="AE708" s="88" t="n"/>
      <c r="AF708" s="91" t="n"/>
      <c r="AG708" s="91" t="n"/>
      <c r="AH708" s="88" t="n"/>
      <c r="AI708" s="88" t="n"/>
      <c r="AJ708" s="90" t="n"/>
      <c r="AK708" s="88" t="n"/>
      <c r="AL708" s="91" t="n"/>
      <c r="AM708" s="88" t="n"/>
      <c r="AN708" s="95" t="n"/>
      <c r="AO708" s="90" t="n"/>
      <c r="AP708" s="90" t="n"/>
    </row>
    <row r="709" ht="14.25" customHeight="1" s="84">
      <c r="A709" s="51" t="n"/>
      <c r="B709" s="47" t="n"/>
      <c r="C709" s="51" t="n"/>
      <c r="D709" s="51" t="n"/>
      <c r="E709" s="51" t="n"/>
      <c r="F709" s="51" t="n"/>
      <c r="G709" s="47" t="n"/>
      <c r="H709" s="51" t="n"/>
      <c r="I709" s="51" t="n"/>
      <c r="J709" s="51" t="n"/>
      <c r="K709" s="51" t="n"/>
      <c r="L709" s="51" t="n"/>
      <c r="N709" s="51" t="n"/>
      <c r="Q709" s="51" t="n"/>
      <c r="S709" s="51" t="n"/>
      <c r="T709" s="51" t="n"/>
      <c r="U709" s="51" t="inlineStr"/>
      <c r="V709" s="55" t="n"/>
      <c r="W709" s="51" t="inlineStr"/>
      <c r="X709" s="51" t="inlineStr"/>
      <c r="Y709" s="51" t="n"/>
      <c r="AB709" s="57" t="n"/>
      <c r="AC709" s="90" t="n"/>
      <c r="AD709" s="90" t="n"/>
      <c r="AE709" s="88" t="n"/>
      <c r="AF709" s="91" t="n"/>
      <c r="AG709" s="91" t="n"/>
      <c r="AH709" s="88" t="n"/>
      <c r="AI709" s="88" t="n"/>
      <c r="AJ709" s="90" t="n"/>
      <c r="AK709" s="88" t="n"/>
      <c r="AL709" s="91" t="n"/>
      <c r="AM709" s="88" t="n"/>
      <c r="AN709" s="95" t="n"/>
      <c r="AO709" s="90" t="n"/>
      <c r="AP709" s="90" t="n"/>
    </row>
    <row r="710" ht="14.25" customHeight="1" s="84">
      <c r="A710" s="51" t="n"/>
      <c r="B710" s="47" t="n"/>
      <c r="C710" s="51" t="n"/>
      <c r="D710" s="51" t="n"/>
      <c r="E710" s="51" t="n"/>
      <c r="F710" s="51" t="n"/>
      <c r="G710" s="47" t="n"/>
      <c r="H710" s="51" t="n"/>
      <c r="I710" s="51" t="n"/>
      <c r="J710" s="51" t="n"/>
      <c r="K710" s="51" t="n"/>
      <c r="L710" s="51" t="n"/>
      <c r="N710" s="51" t="n"/>
      <c r="Q710" s="51" t="n"/>
      <c r="S710" s="51" t="n"/>
      <c r="T710" s="51" t="n"/>
      <c r="U710" s="51" t="inlineStr"/>
      <c r="V710" s="55" t="n"/>
      <c r="W710" s="51" t="inlineStr"/>
      <c r="X710" s="51" t="inlineStr"/>
      <c r="Y710" s="51" t="n"/>
      <c r="AB710" s="57" t="n"/>
      <c r="AC710" s="90" t="n"/>
      <c r="AD710" s="90" t="n"/>
      <c r="AE710" s="88" t="n"/>
      <c r="AF710" s="91" t="n"/>
      <c r="AG710" s="91" t="n"/>
      <c r="AH710" s="88" t="n"/>
      <c r="AI710" s="88" t="n"/>
      <c r="AJ710" s="90" t="n"/>
      <c r="AK710" s="88" t="n"/>
      <c r="AL710" s="91" t="n"/>
      <c r="AM710" s="88" t="n"/>
      <c r="AN710" s="95" t="n"/>
      <c r="AO710" s="90" t="n"/>
      <c r="AP710" s="90" t="n"/>
    </row>
    <row r="711" ht="14.25" customHeight="1" s="84">
      <c r="A711" s="51" t="n"/>
      <c r="B711" s="47" t="n"/>
      <c r="C711" s="51" t="n"/>
      <c r="D711" s="51" t="n"/>
      <c r="E711" s="51" t="n"/>
      <c r="F711" s="51" t="n"/>
      <c r="G711" s="47" t="n"/>
      <c r="H711" s="51" t="n"/>
      <c r="I711" s="51" t="n"/>
      <c r="J711" s="51" t="n"/>
      <c r="K711" s="51" t="n"/>
      <c r="L711" s="51" t="n"/>
      <c r="N711" s="51" t="n"/>
      <c r="Q711" s="51" t="n"/>
      <c r="S711" s="51" t="n"/>
      <c r="T711" s="51" t="n"/>
      <c r="U711" s="51" t="inlineStr"/>
      <c r="V711" s="55" t="n"/>
      <c r="W711" s="51" t="inlineStr"/>
      <c r="X711" s="51" t="inlineStr"/>
      <c r="Y711" s="51" t="n"/>
      <c r="AB711" s="57" t="n"/>
      <c r="AC711" s="90" t="n"/>
      <c r="AD711" s="90" t="n"/>
      <c r="AE711" s="88" t="n"/>
      <c r="AF711" s="91" t="n"/>
      <c r="AG711" s="91" t="n"/>
      <c r="AH711" s="88" t="n"/>
      <c r="AI711" s="88" t="n"/>
      <c r="AJ711" s="90" t="n"/>
      <c r="AK711" s="88" t="n"/>
      <c r="AL711" s="91" t="n"/>
      <c r="AM711" s="88" t="n"/>
      <c r="AN711" s="95" t="n"/>
      <c r="AO711" s="90" t="n"/>
      <c r="AP711" s="90" t="n"/>
    </row>
    <row r="712" ht="14.25" customHeight="1" s="84">
      <c r="A712" s="51" t="n"/>
      <c r="B712" s="47" t="n"/>
      <c r="C712" s="51" t="n"/>
      <c r="D712" s="51" t="n"/>
      <c r="E712" s="51" t="n"/>
      <c r="F712" s="51" t="n"/>
      <c r="G712" s="47" t="n"/>
      <c r="H712" s="51" t="n"/>
      <c r="I712" s="51" t="n"/>
      <c r="J712" s="51" t="n"/>
      <c r="K712" s="51" t="n"/>
      <c r="L712" s="51" t="n"/>
      <c r="N712" s="51" t="n"/>
      <c r="Q712" s="51" t="n"/>
      <c r="S712" s="51" t="n"/>
      <c r="T712" s="51" t="n"/>
      <c r="U712" s="51" t="inlineStr"/>
      <c r="V712" s="55" t="n"/>
      <c r="W712" s="51" t="inlineStr"/>
      <c r="X712" s="51" t="inlineStr"/>
      <c r="Y712" s="51" t="n"/>
      <c r="AB712" s="57" t="n"/>
      <c r="AC712" s="90" t="n"/>
      <c r="AD712" s="90" t="n"/>
      <c r="AE712" s="88" t="n"/>
      <c r="AF712" s="91" t="n"/>
      <c r="AG712" s="91" t="n"/>
      <c r="AH712" s="88" t="n"/>
      <c r="AI712" s="88" t="n"/>
      <c r="AJ712" s="90" t="n"/>
      <c r="AK712" s="88" t="n"/>
      <c r="AL712" s="91" t="n"/>
      <c r="AM712" s="88" t="n"/>
      <c r="AN712" s="95" t="n"/>
      <c r="AO712" s="90" t="n"/>
      <c r="AP712" s="90" t="n"/>
    </row>
    <row r="713" ht="14.25" customHeight="1" s="84">
      <c r="A713" s="51" t="n"/>
      <c r="B713" s="47" t="n"/>
      <c r="C713" s="51" t="n"/>
      <c r="D713" s="51" t="n"/>
      <c r="E713" s="51" t="n"/>
      <c r="F713" s="51" t="n"/>
      <c r="G713" s="47" t="n"/>
      <c r="H713" s="51" t="n"/>
      <c r="I713" s="51" t="n"/>
      <c r="J713" s="51" t="n"/>
      <c r="K713" s="51" t="n"/>
      <c r="L713" s="51" t="n"/>
      <c r="N713" s="51" t="n"/>
      <c r="Q713" s="51" t="n"/>
      <c r="S713" s="51" t="n"/>
      <c r="T713" s="51" t="n"/>
      <c r="U713" s="51" t="inlineStr"/>
      <c r="V713" s="55" t="n"/>
      <c r="W713" s="51" t="inlineStr"/>
      <c r="X713" s="51" t="inlineStr"/>
      <c r="Y713" s="51" t="n"/>
      <c r="AB713" s="57" t="n"/>
      <c r="AC713" s="90" t="n"/>
      <c r="AD713" s="90" t="n"/>
      <c r="AE713" s="88" t="n"/>
      <c r="AF713" s="91" t="n"/>
      <c r="AG713" s="91" t="n"/>
      <c r="AH713" s="88" t="n"/>
      <c r="AI713" s="88" t="n"/>
      <c r="AJ713" s="90" t="n"/>
      <c r="AK713" s="88" t="n"/>
      <c r="AL713" s="91" t="n"/>
      <c r="AM713" s="88" t="n"/>
      <c r="AN713" s="95" t="n"/>
      <c r="AO713" s="90" t="n"/>
      <c r="AP713" s="90" t="n"/>
    </row>
    <row r="714" ht="14.25" customHeight="1" s="84">
      <c r="A714" s="51" t="n"/>
      <c r="B714" s="47" t="n"/>
      <c r="C714" s="51" t="n"/>
      <c r="D714" s="51" t="n"/>
      <c r="E714" s="51" t="n"/>
      <c r="F714" s="51" t="n"/>
      <c r="G714" s="47" t="n"/>
      <c r="H714" s="51" t="n"/>
      <c r="I714" s="51" t="n"/>
      <c r="J714" s="51" t="n"/>
      <c r="K714" s="51" t="n"/>
      <c r="L714" s="51" t="n"/>
      <c r="N714" s="51" t="n"/>
      <c r="Q714" s="51" t="n"/>
      <c r="S714" s="51" t="n"/>
      <c r="T714" s="51" t="n"/>
      <c r="U714" s="51" t="inlineStr"/>
      <c r="V714" s="55" t="n"/>
      <c r="W714" s="51" t="inlineStr"/>
      <c r="X714" s="51" t="inlineStr"/>
      <c r="Y714" s="51" t="n"/>
      <c r="AB714" s="57" t="n"/>
      <c r="AC714" s="90" t="n"/>
      <c r="AD714" s="90" t="n"/>
      <c r="AE714" s="88" t="n"/>
      <c r="AF714" s="91" t="n"/>
      <c r="AG714" s="91" t="n"/>
      <c r="AH714" s="88" t="n"/>
      <c r="AI714" s="88" t="n"/>
      <c r="AJ714" s="90" t="n"/>
      <c r="AK714" s="88" t="n"/>
      <c r="AL714" s="91" t="n"/>
      <c r="AM714" s="88" t="n"/>
      <c r="AN714" s="95" t="n"/>
      <c r="AO714" s="90" t="n"/>
      <c r="AP714" s="90" t="n"/>
    </row>
    <row r="715" ht="14.25" customHeight="1" s="84">
      <c r="A715" s="51" t="n"/>
      <c r="B715" s="47" t="n"/>
      <c r="C715" s="51" t="n"/>
      <c r="D715" s="51" t="n"/>
      <c r="E715" s="51" t="n"/>
      <c r="F715" s="51" t="n"/>
      <c r="G715" s="47" t="n"/>
      <c r="H715" s="51" t="n"/>
      <c r="I715" s="51" t="n"/>
      <c r="J715" s="51" t="n"/>
      <c r="K715" s="51" t="n"/>
      <c r="L715" s="51" t="n"/>
      <c r="N715" s="51" t="n"/>
      <c r="Q715" s="51" t="n"/>
      <c r="S715" s="51" t="n"/>
      <c r="T715" s="51" t="n"/>
      <c r="U715" s="51" t="inlineStr"/>
      <c r="V715" s="55" t="n"/>
      <c r="W715" s="51" t="inlineStr"/>
      <c r="X715" s="51" t="inlineStr"/>
      <c r="Y715" s="51" t="n"/>
      <c r="AB715" s="57" t="n"/>
      <c r="AC715" s="90" t="n"/>
      <c r="AD715" s="90" t="n"/>
      <c r="AE715" s="88" t="n"/>
      <c r="AF715" s="91" t="n"/>
      <c r="AG715" s="91" t="n"/>
      <c r="AH715" s="88" t="n"/>
      <c r="AI715" s="88" t="n"/>
      <c r="AJ715" s="90" t="n"/>
      <c r="AK715" s="88" t="n"/>
      <c r="AL715" s="91" t="n"/>
      <c r="AM715" s="88" t="n"/>
      <c r="AN715" s="95" t="n"/>
      <c r="AO715" s="90" t="n"/>
      <c r="AP715" s="90" t="n"/>
    </row>
    <row r="716" ht="14.25" customHeight="1" s="84">
      <c r="A716" s="51" t="n"/>
      <c r="B716" s="47" t="n"/>
      <c r="C716" s="51" t="n"/>
      <c r="D716" s="51" t="n"/>
      <c r="E716" s="51" t="n"/>
      <c r="F716" s="51" t="n"/>
      <c r="G716" s="47" t="n"/>
      <c r="H716" s="51" t="n"/>
      <c r="I716" s="51" t="n"/>
      <c r="J716" s="51" t="n"/>
      <c r="K716" s="51" t="n"/>
      <c r="L716" s="51" t="n"/>
      <c r="N716" s="51" t="n"/>
      <c r="Q716" s="51" t="n"/>
      <c r="S716" s="51" t="n"/>
      <c r="T716" s="51" t="n"/>
      <c r="U716" s="51" t="inlineStr"/>
      <c r="V716" s="55" t="n"/>
      <c r="W716" s="51" t="inlineStr"/>
      <c r="X716" s="51" t="inlineStr"/>
      <c r="Y716" s="51" t="n"/>
      <c r="AB716" s="57" t="n"/>
      <c r="AC716" s="90" t="n"/>
      <c r="AD716" s="90" t="n"/>
      <c r="AE716" s="88" t="n"/>
      <c r="AF716" s="91" t="n"/>
      <c r="AG716" s="91" t="n"/>
      <c r="AH716" s="88" t="n"/>
      <c r="AI716" s="88" t="n"/>
      <c r="AJ716" s="90" t="n"/>
      <c r="AK716" s="88" t="n"/>
      <c r="AL716" s="91" t="n"/>
      <c r="AM716" s="88" t="n"/>
      <c r="AN716" s="95" t="n"/>
      <c r="AO716" s="90" t="n"/>
      <c r="AP716" s="90" t="n"/>
    </row>
    <row r="717" ht="14.25" customHeight="1" s="84">
      <c r="A717" s="51" t="n"/>
      <c r="B717" s="47" t="n"/>
      <c r="C717" s="51" t="n"/>
      <c r="D717" s="51" t="n"/>
      <c r="E717" s="51" t="n"/>
      <c r="F717" s="51" t="n"/>
      <c r="G717" s="47" t="n"/>
      <c r="H717" s="51" t="n"/>
      <c r="I717" s="51" t="n"/>
      <c r="J717" s="51" t="n"/>
      <c r="K717" s="51" t="n"/>
      <c r="L717" s="51" t="n"/>
      <c r="N717" s="51" t="n"/>
      <c r="Q717" s="51" t="n"/>
      <c r="S717" s="51" t="n"/>
      <c r="T717" s="51" t="n"/>
      <c r="U717" s="51" t="inlineStr"/>
      <c r="V717" s="55" t="n"/>
      <c r="W717" s="51" t="inlineStr"/>
      <c r="X717" s="51" t="inlineStr"/>
      <c r="Y717" s="51" t="n"/>
      <c r="AB717" s="57" t="n"/>
      <c r="AC717" s="90" t="n"/>
      <c r="AD717" s="90" t="n"/>
      <c r="AE717" s="88" t="n"/>
      <c r="AF717" s="91" t="n"/>
      <c r="AG717" s="91" t="n"/>
      <c r="AH717" s="88" t="n"/>
      <c r="AI717" s="88" t="n"/>
      <c r="AJ717" s="90" t="n"/>
      <c r="AK717" s="88" t="n"/>
      <c r="AL717" s="91" t="n"/>
      <c r="AM717" s="88" t="n"/>
      <c r="AN717" s="95" t="n"/>
      <c r="AO717" s="90" t="n"/>
      <c r="AP717" s="90" t="n"/>
    </row>
    <row r="718" ht="14.25" customHeight="1" s="84">
      <c r="A718" s="51" t="n"/>
      <c r="B718" s="47" t="n"/>
      <c r="C718" s="51" t="n"/>
      <c r="D718" s="51" t="n"/>
      <c r="E718" s="51" t="n"/>
      <c r="F718" s="51" t="n"/>
      <c r="G718" s="47" t="n"/>
      <c r="H718" s="51" t="n"/>
      <c r="I718" s="51" t="n"/>
      <c r="J718" s="51" t="n"/>
      <c r="K718" s="51" t="n"/>
      <c r="L718" s="51" t="n"/>
      <c r="N718" s="51" t="n"/>
      <c r="Q718" s="51" t="n"/>
      <c r="S718" s="51" t="n"/>
      <c r="T718" s="51" t="n"/>
      <c r="U718" s="51" t="inlineStr"/>
      <c r="V718" s="55" t="n"/>
      <c r="W718" s="51" t="inlineStr"/>
      <c r="X718" s="51" t="inlineStr"/>
      <c r="Y718" s="51" t="n"/>
      <c r="AB718" s="57" t="n"/>
      <c r="AC718" s="90" t="n"/>
      <c r="AD718" s="90" t="n"/>
      <c r="AE718" s="88" t="n"/>
      <c r="AF718" s="91" t="n"/>
      <c r="AG718" s="91" t="n"/>
      <c r="AH718" s="88" t="n"/>
      <c r="AI718" s="88" t="n"/>
      <c r="AJ718" s="90" t="n"/>
      <c r="AK718" s="88" t="n"/>
      <c r="AL718" s="91" t="n"/>
      <c r="AM718" s="88" t="n"/>
      <c r="AN718" s="95" t="n"/>
      <c r="AO718" s="90" t="n"/>
      <c r="AP718" s="90" t="n"/>
    </row>
    <row r="719" ht="14.25" customHeight="1" s="84">
      <c r="A719" s="51" t="n"/>
      <c r="B719" s="47" t="n"/>
      <c r="C719" s="51" t="n"/>
      <c r="D719" s="51" t="n"/>
      <c r="E719" s="51" t="n"/>
      <c r="F719" s="51" t="n"/>
      <c r="G719" s="47" t="n"/>
      <c r="H719" s="51" t="n"/>
      <c r="I719" s="51" t="n"/>
      <c r="J719" s="51" t="n"/>
      <c r="K719" s="51" t="n"/>
      <c r="L719" s="51" t="n"/>
      <c r="N719" s="51" t="n"/>
      <c r="Q719" s="51" t="n"/>
      <c r="S719" s="51" t="n"/>
      <c r="T719" s="51" t="n"/>
      <c r="U719" s="51" t="inlineStr"/>
      <c r="V719" s="55" t="n"/>
      <c r="W719" s="51" t="inlineStr"/>
      <c r="X719" s="51" t="inlineStr"/>
      <c r="Y719" s="51" t="n"/>
      <c r="AB719" s="57" t="n"/>
      <c r="AC719" s="90" t="n"/>
      <c r="AD719" s="90" t="n"/>
      <c r="AE719" s="88" t="n"/>
      <c r="AF719" s="91" t="n"/>
      <c r="AG719" s="91" t="n"/>
      <c r="AH719" s="88" t="n"/>
      <c r="AI719" s="88" t="n"/>
      <c r="AJ719" s="90" t="n"/>
      <c r="AK719" s="88" t="n"/>
      <c r="AL719" s="91" t="n"/>
      <c r="AM719" s="88" t="n"/>
      <c r="AN719" s="95" t="n"/>
      <c r="AO719" s="90" t="n"/>
      <c r="AP719" s="90" t="n"/>
    </row>
    <row r="720" ht="14.25" customHeight="1" s="84">
      <c r="A720" s="51" t="n"/>
      <c r="B720" s="47" t="n"/>
      <c r="C720" s="51" t="n"/>
      <c r="D720" s="51" t="n"/>
      <c r="E720" s="51" t="n"/>
      <c r="F720" s="51" t="n"/>
      <c r="G720" s="47" t="n"/>
      <c r="H720" s="51" t="n"/>
      <c r="I720" s="51" t="n"/>
      <c r="J720" s="51" t="n"/>
      <c r="K720" s="51" t="n"/>
      <c r="L720" s="51" t="n"/>
      <c r="N720" s="51" t="n"/>
      <c r="Q720" s="51" t="n"/>
      <c r="S720" s="51" t="n"/>
      <c r="T720" s="51" t="n"/>
      <c r="U720" s="51" t="inlineStr"/>
      <c r="V720" s="55" t="n"/>
      <c r="W720" s="51" t="inlineStr"/>
      <c r="X720" s="51" t="inlineStr"/>
      <c r="Y720" s="51" t="n"/>
      <c r="AB720" s="57" t="n"/>
      <c r="AC720" s="90" t="n"/>
      <c r="AD720" s="90" t="n"/>
      <c r="AE720" s="88" t="n"/>
      <c r="AF720" s="91" t="n"/>
      <c r="AG720" s="91" t="n"/>
      <c r="AH720" s="88" t="n"/>
      <c r="AI720" s="88" t="n"/>
      <c r="AJ720" s="90" t="n"/>
      <c r="AK720" s="88" t="n"/>
      <c r="AL720" s="91" t="n"/>
      <c r="AM720" s="88" t="n"/>
      <c r="AN720" s="95" t="n"/>
      <c r="AO720" s="90" t="n"/>
      <c r="AP720" s="90" t="n"/>
    </row>
    <row r="721" ht="14.25" customHeight="1" s="84">
      <c r="A721" s="51" t="n"/>
      <c r="B721" s="47" t="n"/>
      <c r="C721" s="51" t="n"/>
      <c r="D721" s="51" t="n"/>
      <c r="E721" s="51" t="n"/>
      <c r="F721" s="51" t="n"/>
      <c r="G721" s="47" t="n"/>
      <c r="H721" s="51" t="n"/>
      <c r="I721" s="51" t="n"/>
      <c r="J721" s="51" t="n"/>
      <c r="K721" s="51" t="n"/>
      <c r="L721" s="51" t="n"/>
      <c r="N721" s="51" t="n"/>
      <c r="Q721" s="51" t="n"/>
      <c r="S721" s="51" t="n"/>
      <c r="T721" s="51" t="n"/>
      <c r="U721" s="51" t="inlineStr"/>
      <c r="V721" s="55" t="n"/>
      <c r="W721" s="51" t="inlineStr"/>
      <c r="X721" s="51" t="inlineStr"/>
      <c r="Y721" s="51" t="n"/>
      <c r="AB721" s="57" t="n"/>
      <c r="AC721" s="90" t="n"/>
      <c r="AD721" s="90" t="n"/>
      <c r="AE721" s="88" t="n"/>
      <c r="AF721" s="91" t="n"/>
      <c r="AG721" s="91" t="n"/>
      <c r="AH721" s="88" t="n"/>
      <c r="AI721" s="88" t="n"/>
      <c r="AJ721" s="90" t="n"/>
      <c r="AK721" s="88" t="n"/>
      <c r="AL721" s="91" t="n"/>
      <c r="AM721" s="88" t="n"/>
      <c r="AN721" s="95" t="n"/>
      <c r="AO721" s="90" t="n"/>
      <c r="AP721" s="90" t="n"/>
    </row>
    <row r="722" ht="14.25" customHeight="1" s="84">
      <c r="A722" s="51" t="n"/>
      <c r="B722" s="47" t="n"/>
      <c r="C722" s="51" t="n"/>
      <c r="D722" s="51" t="n"/>
      <c r="E722" s="51" t="n"/>
      <c r="F722" s="51" t="n"/>
      <c r="G722" s="47" t="n"/>
      <c r="H722" s="51" t="n"/>
      <c r="I722" s="51" t="n"/>
      <c r="J722" s="51" t="n"/>
      <c r="K722" s="51" t="n"/>
      <c r="L722" s="51" t="n"/>
      <c r="N722" s="51" t="n"/>
      <c r="Q722" s="51" t="n"/>
      <c r="S722" s="51" t="n"/>
      <c r="T722" s="51" t="n"/>
      <c r="U722" s="51" t="inlineStr"/>
      <c r="V722" s="55" t="n"/>
      <c r="W722" s="51" t="inlineStr"/>
      <c r="X722" s="51" t="inlineStr"/>
      <c r="Y722" s="51" t="n"/>
      <c r="AB722" s="57" t="n"/>
      <c r="AC722" s="90" t="n"/>
      <c r="AD722" s="90" t="n"/>
      <c r="AE722" s="88" t="n"/>
      <c r="AF722" s="91" t="n"/>
      <c r="AG722" s="91" t="n"/>
      <c r="AH722" s="88" t="n"/>
      <c r="AI722" s="88" t="n"/>
      <c r="AJ722" s="90" t="n"/>
      <c r="AK722" s="88" t="n"/>
      <c r="AL722" s="91" t="n"/>
      <c r="AM722" s="88" t="n"/>
      <c r="AN722" s="95" t="n"/>
      <c r="AO722" s="90" t="n"/>
      <c r="AP722" s="90" t="n"/>
    </row>
    <row r="723" ht="14.25" customHeight="1" s="84">
      <c r="A723" s="51" t="n"/>
      <c r="B723" s="47" t="n"/>
      <c r="C723" s="51" t="n"/>
      <c r="D723" s="51" t="n"/>
      <c r="E723" s="51" t="n"/>
      <c r="F723" s="51" t="n"/>
      <c r="G723" s="47" t="n"/>
      <c r="H723" s="51" t="n"/>
      <c r="I723" s="51" t="n"/>
      <c r="J723" s="51" t="n"/>
      <c r="K723" s="51" t="n"/>
      <c r="L723" s="51" t="n"/>
      <c r="N723" s="51" t="n"/>
      <c r="Q723" s="51" t="n"/>
      <c r="S723" s="51" t="n"/>
      <c r="T723" s="51" t="n"/>
      <c r="U723" s="51" t="inlineStr"/>
      <c r="V723" s="55" t="n"/>
      <c r="W723" s="51" t="inlineStr"/>
      <c r="X723" s="51" t="inlineStr"/>
      <c r="Y723" s="51" t="n"/>
      <c r="AB723" s="57" t="n"/>
      <c r="AC723" s="90" t="n"/>
      <c r="AD723" s="90" t="n"/>
      <c r="AE723" s="88" t="n"/>
      <c r="AF723" s="91" t="n"/>
      <c r="AG723" s="91" t="n"/>
      <c r="AH723" s="88" t="n"/>
      <c r="AI723" s="88" t="n"/>
      <c r="AJ723" s="90" t="n"/>
      <c r="AK723" s="88" t="n"/>
      <c r="AL723" s="91" t="n"/>
      <c r="AM723" s="88" t="n"/>
      <c r="AN723" s="95" t="n"/>
      <c r="AO723" s="90" t="n"/>
      <c r="AP723" s="90" t="n"/>
    </row>
    <row r="724" ht="14.25" customHeight="1" s="84">
      <c r="A724" s="51" t="n"/>
      <c r="B724" s="47" t="n"/>
      <c r="C724" s="51" t="n"/>
      <c r="D724" s="51" t="n"/>
      <c r="E724" s="51" t="n"/>
      <c r="F724" s="51" t="n"/>
      <c r="G724" s="47" t="n"/>
      <c r="H724" s="51" t="n"/>
      <c r="I724" s="51" t="n"/>
      <c r="J724" s="51" t="n"/>
      <c r="K724" s="51" t="n"/>
      <c r="L724" s="51" t="n"/>
      <c r="N724" s="51" t="n"/>
      <c r="Q724" s="51" t="n"/>
      <c r="S724" s="51" t="n"/>
      <c r="T724" s="51" t="n"/>
      <c r="U724" s="51" t="inlineStr"/>
      <c r="V724" s="55" t="n"/>
      <c r="W724" s="51" t="inlineStr"/>
      <c r="X724" s="51" t="inlineStr"/>
      <c r="Y724" s="51" t="n"/>
      <c r="AB724" s="57" t="n"/>
      <c r="AC724" s="90" t="n"/>
      <c r="AD724" s="90" t="n"/>
      <c r="AE724" s="88" t="n"/>
      <c r="AF724" s="91" t="n"/>
      <c r="AG724" s="91" t="n"/>
      <c r="AH724" s="88" t="n"/>
      <c r="AI724" s="88" t="n"/>
      <c r="AJ724" s="90" t="n"/>
      <c r="AK724" s="88" t="n"/>
      <c r="AL724" s="91" t="n"/>
      <c r="AM724" s="88" t="n"/>
      <c r="AN724" s="95" t="n"/>
      <c r="AO724" s="90" t="n"/>
      <c r="AP724" s="90" t="n"/>
    </row>
    <row r="725" ht="14.25" customHeight="1" s="84">
      <c r="A725" s="51" t="n"/>
      <c r="B725" s="47" t="n"/>
      <c r="C725" s="51" t="n"/>
      <c r="D725" s="51" t="n"/>
      <c r="E725" s="51" t="n"/>
      <c r="F725" s="51" t="n"/>
      <c r="G725" s="47" t="n"/>
      <c r="H725" s="51" t="n"/>
      <c r="I725" s="51" t="n"/>
      <c r="J725" s="51" t="n"/>
      <c r="K725" s="51" t="n"/>
      <c r="L725" s="51" t="n"/>
      <c r="N725" s="51" t="n"/>
      <c r="Q725" s="51" t="n"/>
      <c r="S725" s="51" t="n"/>
      <c r="T725" s="51" t="n"/>
      <c r="U725" s="51" t="inlineStr"/>
      <c r="V725" s="55" t="n"/>
      <c r="W725" s="51" t="inlineStr"/>
      <c r="X725" s="51" t="inlineStr"/>
      <c r="Y725" s="51" t="n"/>
      <c r="AB725" s="57" t="n"/>
      <c r="AC725" s="90" t="n"/>
      <c r="AD725" s="90" t="n"/>
      <c r="AE725" s="88" t="n"/>
      <c r="AF725" s="91" t="n"/>
      <c r="AG725" s="91" t="n"/>
      <c r="AH725" s="88" t="n"/>
      <c r="AI725" s="88" t="n"/>
      <c r="AJ725" s="90" t="n"/>
      <c r="AK725" s="88" t="n"/>
      <c r="AL725" s="91" t="n"/>
      <c r="AM725" s="88" t="n"/>
      <c r="AN725" s="95" t="n"/>
      <c r="AO725" s="90" t="n"/>
      <c r="AP725" s="90" t="n"/>
    </row>
    <row r="726" ht="14.25" customHeight="1" s="84">
      <c r="A726" s="51" t="n"/>
      <c r="B726" s="47" t="n"/>
      <c r="C726" s="51" t="n"/>
      <c r="D726" s="51" t="n"/>
      <c r="E726" s="51" t="n"/>
      <c r="F726" s="51" t="n"/>
      <c r="G726" s="47" t="n"/>
      <c r="H726" s="51" t="n"/>
      <c r="I726" s="51" t="n"/>
      <c r="J726" s="51" t="n"/>
      <c r="K726" s="51" t="n"/>
      <c r="L726" s="51" t="n"/>
      <c r="N726" s="51" t="n"/>
      <c r="Q726" s="51" t="n"/>
      <c r="S726" s="51" t="n"/>
      <c r="T726" s="51" t="n"/>
      <c r="U726" s="51" t="inlineStr"/>
      <c r="V726" s="55" t="n"/>
      <c r="W726" s="51" t="inlineStr"/>
      <c r="X726" s="51" t="inlineStr"/>
      <c r="Y726" s="51" t="n"/>
      <c r="AB726" s="57" t="n"/>
      <c r="AC726" s="90" t="n"/>
      <c r="AD726" s="90" t="n"/>
      <c r="AE726" s="88" t="n"/>
      <c r="AF726" s="91" t="n"/>
      <c r="AG726" s="91" t="n"/>
      <c r="AH726" s="88" t="n"/>
      <c r="AI726" s="88" t="n"/>
      <c r="AJ726" s="90" t="n"/>
      <c r="AK726" s="88" t="n"/>
      <c r="AL726" s="91" t="n"/>
      <c r="AM726" s="88" t="n"/>
      <c r="AN726" s="95" t="n"/>
      <c r="AO726" s="90" t="n"/>
      <c r="AP726" s="90" t="n"/>
    </row>
    <row r="727" ht="14.25" customHeight="1" s="84">
      <c r="A727" s="51" t="n"/>
      <c r="B727" s="47" t="n"/>
      <c r="C727" s="51" t="n"/>
      <c r="D727" s="51" t="n"/>
      <c r="E727" s="51" t="n"/>
      <c r="F727" s="51" t="n"/>
      <c r="G727" s="47" t="n"/>
      <c r="H727" s="51" t="n"/>
      <c r="I727" s="51" t="n"/>
      <c r="J727" s="51" t="n"/>
      <c r="K727" s="51" t="n"/>
      <c r="L727" s="51" t="n"/>
      <c r="N727" s="51" t="n"/>
      <c r="Q727" s="51" t="n"/>
      <c r="S727" s="51" t="n"/>
      <c r="T727" s="51" t="n"/>
      <c r="U727" s="51" t="inlineStr"/>
      <c r="V727" s="55" t="n"/>
      <c r="W727" s="51" t="inlineStr"/>
      <c r="X727" s="51" t="inlineStr"/>
      <c r="Y727" s="51" t="n"/>
      <c r="AB727" s="57" t="n"/>
      <c r="AC727" s="90" t="n"/>
      <c r="AD727" s="90" t="n"/>
      <c r="AE727" s="88" t="n"/>
      <c r="AF727" s="91" t="n"/>
      <c r="AG727" s="91" t="n"/>
      <c r="AH727" s="88" t="n"/>
      <c r="AI727" s="88" t="n"/>
      <c r="AJ727" s="90" t="n"/>
      <c r="AK727" s="88" t="n"/>
      <c r="AL727" s="91" t="n"/>
      <c r="AM727" s="88" t="n"/>
      <c r="AN727" s="95" t="n"/>
      <c r="AO727" s="90" t="n"/>
      <c r="AP727" s="90" t="n"/>
    </row>
    <row r="728" ht="14.25" customHeight="1" s="84">
      <c r="A728" s="51" t="n"/>
      <c r="B728" s="47" t="n"/>
      <c r="C728" s="51" t="n"/>
      <c r="D728" s="51" t="n"/>
      <c r="E728" s="51" t="n"/>
      <c r="F728" s="51" t="n"/>
      <c r="G728" s="47" t="n"/>
      <c r="H728" s="51" t="n"/>
      <c r="I728" s="51" t="n"/>
      <c r="J728" s="51" t="n"/>
      <c r="K728" s="51" t="n"/>
      <c r="L728" s="51" t="n"/>
      <c r="N728" s="51" t="n"/>
      <c r="Q728" s="51" t="n"/>
      <c r="S728" s="51" t="n"/>
      <c r="T728" s="51" t="n"/>
      <c r="U728" s="51" t="inlineStr"/>
      <c r="V728" s="55" t="n"/>
      <c r="W728" s="51" t="inlineStr"/>
      <c r="X728" s="51" t="inlineStr"/>
      <c r="Y728" s="51" t="n"/>
      <c r="AB728" s="57" t="n"/>
      <c r="AC728" s="90" t="n"/>
      <c r="AD728" s="90" t="n"/>
      <c r="AE728" s="88" t="n"/>
      <c r="AF728" s="91" t="n"/>
      <c r="AG728" s="91" t="n"/>
      <c r="AH728" s="88" t="n"/>
      <c r="AI728" s="88" t="n"/>
      <c r="AJ728" s="90" t="n"/>
      <c r="AK728" s="88" t="n"/>
      <c r="AL728" s="91" t="n"/>
      <c r="AM728" s="88" t="n"/>
      <c r="AN728" s="95" t="n"/>
      <c r="AO728" s="90" t="n"/>
      <c r="AP728" s="90" t="n"/>
    </row>
    <row r="729" ht="14.25" customHeight="1" s="84">
      <c r="A729" s="51" t="n"/>
      <c r="B729" s="47" t="n"/>
      <c r="C729" s="51" t="n"/>
      <c r="D729" s="51" t="n"/>
      <c r="E729" s="51" t="n"/>
      <c r="F729" s="51" t="n"/>
      <c r="G729" s="47" t="n"/>
      <c r="H729" s="51" t="n"/>
      <c r="I729" s="51" t="n"/>
      <c r="J729" s="51" t="n"/>
      <c r="K729" s="51" t="n"/>
      <c r="L729" s="51" t="n"/>
      <c r="N729" s="51" t="n"/>
      <c r="Q729" s="51" t="n"/>
      <c r="S729" s="51" t="n"/>
      <c r="T729" s="51" t="n"/>
      <c r="U729" s="51" t="inlineStr"/>
      <c r="V729" s="55" t="n"/>
      <c r="W729" s="51" t="inlineStr"/>
      <c r="X729" s="51" t="inlineStr"/>
      <c r="Y729" s="51" t="n"/>
      <c r="AB729" s="57" t="n"/>
      <c r="AC729" s="90" t="n"/>
      <c r="AD729" s="90" t="n"/>
      <c r="AE729" s="88" t="n"/>
      <c r="AF729" s="91" t="n"/>
      <c r="AG729" s="91" t="n"/>
      <c r="AH729" s="88" t="n"/>
      <c r="AI729" s="88" t="n"/>
      <c r="AJ729" s="90" t="n"/>
      <c r="AK729" s="88" t="n"/>
      <c r="AL729" s="91" t="n"/>
      <c r="AM729" s="88" t="n"/>
      <c r="AN729" s="95" t="n"/>
      <c r="AO729" s="90" t="n"/>
      <c r="AP729" s="90" t="n"/>
    </row>
    <row r="730" ht="14.25" customHeight="1" s="84">
      <c r="A730" s="51" t="n"/>
      <c r="B730" s="47" t="n"/>
      <c r="C730" s="51" t="n"/>
      <c r="D730" s="51" t="n"/>
      <c r="E730" s="51" t="n"/>
      <c r="F730" s="51" t="n"/>
      <c r="G730" s="47" t="n"/>
      <c r="H730" s="51" t="n"/>
      <c r="I730" s="51" t="n"/>
      <c r="J730" s="51" t="n"/>
      <c r="K730" s="51" t="n"/>
      <c r="L730" s="51" t="n"/>
      <c r="N730" s="51" t="n"/>
      <c r="Q730" s="51" t="n"/>
      <c r="S730" s="51" t="n"/>
      <c r="T730" s="51" t="n"/>
      <c r="U730" s="51" t="inlineStr"/>
      <c r="V730" s="55" t="n"/>
      <c r="W730" s="51" t="inlineStr"/>
      <c r="X730" s="51" t="inlineStr"/>
      <c r="Y730" s="51" t="n"/>
      <c r="AB730" s="57" t="n"/>
      <c r="AC730" s="90" t="n"/>
      <c r="AD730" s="90" t="n"/>
      <c r="AE730" s="88" t="n"/>
      <c r="AF730" s="91" t="n"/>
      <c r="AG730" s="91" t="n"/>
      <c r="AH730" s="88" t="n"/>
      <c r="AI730" s="88" t="n"/>
      <c r="AJ730" s="90" t="n"/>
      <c r="AK730" s="88" t="n"/>
      <c r="AL730" s="91" t="n"/>
      <c r="AM730" s="88" t="n"/>
      <c r="AN730" s="95" t="n"/>
      <c r="AO730" s="90" t="n"/>
      <c r="AP730" s="90" t="n"/>
    </row>
    <row r="731" ht="14.25" customHeight="1" s="84">
      <c r="A731" s="51" t="n"/>
      <c r="B731" s="47" t="n"/>
      <c r="C731" s="51" t="n"/>
      <c r="D731" s="51" t="n"/>
      <c r="E731" s="51" t="n"/>
      <c r="F731" s="51" t="n"/>
      <c r="G731" s="47" t="n"/>
      <c r="H731" s="51" t="n"/>
      <c r="I731" s="51" t="n"/>
      <c r="J731" s="51" t="n"/>
      <c r="K731" s="51" t="n"/>
      <c r="L731" s="51" t="n"/>
      <c r="N731" s="51" t="n"/>
      <c r="Q731" s="51" t="n"/>
      <c r="S731" s="51" t="n"/>
      <c r="T731" s="51" t="n"/>
      <c r="U731" s="51" t="inlineStr"/>
      <c r="V731" s="55" t="n"/>
      <c r="W731" s="51" t="inlineStr"/>
      <c r="X731" s="51" t="inlineStr"/>
      <c r="Y731" s="51" t="n"/>
      <c r="AB731" s="57" t="n"/>
      <c r="AC731" s="90" t="n"/>
      <c r="AD731" s="90" t="n"/>
      <c r="AE731" s="88" t="n"/>
      <c r="AF731" s="91" t="n"/>
      <c r="AG731" s="91" t="n"/>
      <c r="AH731" s="88" t="n"/>
      <c r="AI731" s="88" t="n"/>
      <c r="AJ731" s="90" t="n"/>
      <c r="AK731" s="88" t="n"/>
      <c r="AL731" s="91" t="n"/>
      <c r="AM731" s="88" t="n"/>
      <c r="AN731" s="95" t="n"/>
      <c r="AO731" s="90" t="n"/>
      <c r="AP731" s="90" t="n"/>
    </row>
    <row r="732" ht="14.25" customHeight="1" s="84">
      <c r="A732" s="51" t="n"/>
      <c r="B732" s="47" t="n"/>
      <c r="C732" s="51" t="n"/>
      <c r="D732" s="51" t="n"/>
      <c r="E732" s="51" t="n"/>
      <c r="F732" s="51" t="n"/>
      <c r="G732" s="47" t="n"/>
      <c r="H732" s="51" t="n"/>
      <c r="I732" s="51" t="n"/>
      <c r="J732" s="51" t="n"/>
      <c r="K732" s="51" t="n"/>
      <c r="L732" s="51" t="n"/>
      <c r="N732" s="51" t="n"/>
      <c r="Q732" s="51" t="n"/>
      <c r="S732" s="51" t="n"/>
      <c r="T732" s="51" t="n"/>
      <c r="U732" s="51" t="inlineStr"/>
      <c r="V732" s="55" t="n"/>
      <c r="W732" s="51" t="inlineStr"/>
      <c r="X732" s="51" t="inlineStr"/>
      <c r="Y732" s="51" t="n"/>
      <c r="AB732" s="57" t="n"/>
      <c r="AC732" s="90" t="n"/>
      <c r="AD732" s="90" t="n"/>
      <c r="AE732" s="88" t="n"/>
      <c r="AF732" s="91" t="n"/>
      <c r="AG732" s="91" t="n"/>
      <c r="AH732" s="88" t="n"/>
      <c r="AI732" s="88" t="n"/>
      <c r="AJ732" s="90" t="n"/>
      <c r="AK732" s="88" t="n"/>
      <c r="AL732" s="91" t="n"/>
      <c r="AM732" s="88" t="n"/>
      <c r="AN732" s="95" t="n"/>
      <c r="AO732" s="90" t="n"/>
      <c r="AP732" s="90" t="n"/>
    </row>
    <row r="733" ht="14.25" customHeight="1" s="84">
      <c r="A733" s="51" t="n"/>
      <c r="B733" s="47" t="n"/>
      <c r="C733" s="51" t="n"/>
      <c r="D733" s="51" t="n"/>
      <c r="E733" s="51" t="n"/>
      <c r="F733" s="51" t="n"/>
      <c r="G733" s="47" t="n"/>
      <c r="H733" s="51" t="n"/>
      <c r="I733" s="51" t="n"/>
      <c r="J733" s="51" t="n"/>
      <c r="K733" s="51" t="n"/>
      <c r="L733" s="51" t="n"/>
      <c r="N733" s="51" t="n"/>
      <c r="Q733" s="51" t="n"/>
      <c r="S733" s="51" t="n"/>
      <c r="T733" s="51" t="n"/>
      <c r="U733" s="51" t="inlineStr"/>
      <c r="V733" s="55" t="n"/>
      <c r="W733" s="51" t="inlineStr"/>
      <c r="X733" s="51" t="inlineStr"/>
      <c r="Y733" s="51" t="n"/>
      <c r="AB733" s="57" t="n"/>
      <c r="AC733" s="90" t="n"/>
      <c r="AD733" s="90" t="n"/>
      <c r="AE733" s="88" t="n"/>
      <c r="AF733" s="91" t="n"/>
      <c r="AG733" s="91" t="n"/>
      <c r="AH733" s="88" t="n"/>
      <c r="AI733" s="88" t="n"/>
      <c r="AJ733" s="90" t="n"/>
      <c r="AK733" s="88" t="n"/>
      <c r="AL733" s="91" t="n"/>
      <c r="AM733" s="88" t="n"/>
      <c r="AN733" s="95" t="n"/>
      <c r="AO733" s="90" t="n"/>
      <c r="AP733" s="90" t="n"/>
    </row>
    <row r="734" ht="14.25" customHeight="1" s="84">
      <c r="A734" s="51" t="n"/>
      <c r="B734" s="47" t="n"/>
      <c r="C734" s="51" t="n"/>
      <c r="D734" s="51" t="n"/>
      <c r="E734" s="51" t="n"/>
      <c r="F734" s="51" t="n"/>
      <c r="G734" s="47" t="n"/>
      <c r="H734" s="51" t="n"/>
      <c r="I734" s="51" t="n"/>
      <c r="J734" s="51" t="n"/>
      <c r="K734" s="51" t="n"/>
      <c r="L734" s="51" t="n"/>
      <c r="N734" s="51" t="n"/>
      <c r="Q734" s="51" t="n"/>
      <c r="S734" s="51" t="n"/>
      <c r="T734" s="51" t="n"/>
      <c r="U734" s="51" t="inlineStr"/>
      <c r="V734" s="55" t="n"/>
      <c r="W734" s="51" t="inlineStr"/>
      <c r="X734" s="51" t="inlineStr"/>
      <c r="Y734" s="51" t="n"/>
      <c r="AB734" s="57" t="n"/>
      <c r="AC734" s="90" t="n"/>
      <c r="AD734" s="90" t="n"/>
      <c r="AE734" s="88" t="n"/>
      <c r="AF734" s="91" t="n"/>
      <c r="AG734" s="91" t="n"/>
      <c r="AH734" s="88" t="n"/>
      <c r="AI734" s="88" t="n"/>
      <c r="AJ734" s="90" t="n"/>
      <c r="AK734" s="88" t="n"/>
      <c r="AL734" s="91" t="n"/>
      <c r="AM734" s="88" t="n"/>
      <c r="AN734" s="95" t="n"/>
      <c r="AO734" s="90" t="n"/>
      <c r="AP734" s="90" t="n"/>
    </row>
    <row r="735" ht="14.25" customHeight="1" s="84">
      <c r="A735" s="51" t="n"/>
      <c r="B735" s="47" t="n"/>
      <c r="C735" s="51" t="n"/>
      <c r="D735" s="51" t="n"/>
      <c r="E735" s="51" t="n"/>
      <c r="F735" s="51" t="n"/>
      <c r="G735" s="47" t="n"/>
      <c r="H735" s="51" t="n"/>
      <c r="I735" s="51" t="n"/>
      <c r="J735" s="51" t="n"/>
      <c r="K735" s="51" t="n"/>
      <c r="L735" s="51" t="n"/>
      <c r="N735" s="51" t="n"/>
      <c r="Q735" s="51" t="n"/>
      <c r="S735" s="51" t="n"/>
      <c r="T735" s="51" t="n"/>
      <c r="U735" s="51" t="inlineStr"/>
      <c r="V735" s="55" t="n"/>
      <c r="W735" s="51" t="inlineStr"/>
      <c r="X735" s="51" t="inlineStr"/>
      <c r="Y735" s="51" t="n"/>
      <c r="AB735" s="57" t="n"/>
      <c r="AC735" s="90" t="n"/>
      <c r="AD735" s="90" t="n"/>
      <c r="AE735" s="88" t="n"/>
      <c r="AF735" s="91" t="n"/>
      <c r="AG735" s="91" t="n"/>
      <c r="AH735" s="88" t="n"/>
      <c r="AI735" s="88" t="n"/>
      <c r="AJ735" s="90" t="n"/>
      <c r="AK735" s="88" t="n"/>
      <c r="AL735" s="91" t="n"/>
      <c r="AM735" s="88" t="n"/>
      <c r="AN735" s="95" t="n"/>
      <c r="AO735" s="90" t="n"/>
      <c r="AP735" s="90" t="n"/>
    </row>
    <row r="736" ht="14.25" customHeight="1" s="84">
      <c r="A736" s="51" t="n"/>
      <c r="B736" s="47" t="n"/>
      <c r="C736" s="51" t="n"/>
      <c r="D736" s="51" t="n"/>
      <c r="E736" s="51" t="n"/>
      <c r="F736" s="51" t="n"/>
      <c r="G736" s="47" t="n"/>
      <c r="H736" s="51" t="n"/>
      <c r="I736" s="51" t="n"/>
      <c r="J736" s="51" t="n"/>
      <c r="K736" s="51" t="n"/>
      <c r="L736" s="51" t="n"/>
      <c r="N736" s="51" t="n"/>
      <c r="Q736" s="51" t="n"/>
      <c r="S736" s="51" t="n"/>
      <c r="T736" s="51" t="n"/>
      <c r="U736" s="51" t="inlineStr"/>
      <c r="V736" s="55" t="n"/>
      <c r="W736" s="51" t="inlineStr"/>
      <c r="X736" s="51" t="inlineStr"/>
      <c r="Y736" s="51" t="n"/>
      <c r="AB736" s="57" t="n"/>
      <c r="AC736" s="90" t="n"/>
      <c r="AD736" s="90" t="n"/>
      <c r="AE736" s="88" t="n"/>
      <c r="AF736" s="91" t="n"/>
      <c r="AG736" s="91" t="n"/>
      <c r="AH736" s="88" t="n"/>
      <c r="AI736" s="88" t="n"/>
      <c r="AJ736" s="90" t="n"/>
      <c r="AK736" s="88" t="n"/>
      <c r="AL736" s="91" t="n"/>
      <c r="AM736" s="88" t="n"/>
      <c r="AN736" s="95" t="n"/>
      <c r="AO736" s="90" t="n"/>
      <c r="AP736" s="90" t="n"/>
    </row>
    <row r="737" ht="14.25" customHeight="1" s="84">
      <c r="A737" s="51" t="n"/>
      <c r="B737" s="47" t="n"/>
      <c r="C737" s="51" t="n"/>
      <c r="D737" s="51" t="n"/>
      <c r="E737" s="51" t="n"/>
      <c r="F737" s="51" t="n"/>
      <c r="G737" s="47" t="n"/>
      <c r="H737" s="51" t="n"/>
      <c r="I737" s="51" t="n"/>
      <c r="J737" s="51" t="n"/>
      <c r="K737" s="51" t="n"/>
      <c r="L737" s="51" t="n"/>
      <c r="N737" s="51" t="n"/>
      <c r="Q737" s="51" t="n"/>
      <c r="S737" s="51" t="n"/>
      <c r="T737" s="51" t="n"/>
      <c r="U737" s="51" t="inlineStr"/>
      <c r="V737" s="55" t="n"/>
      <c r="W737" s="51" t="inlineStr"/>
      <c r="X737" s="51" t="inlineStr"/>
      <c r="Y737" s="51" t="n"/>
      <c r="AB737" s="57" t="n"/>
      <c r="AC737" s="90" t="n"/>
      <c r="AD737" s="90" t="n"/>
      <c r="AE737" s="88" t="n"/>
      <c r="AF737" s="91" t="n"/>
      <c r="AG737" s="91" t="n"/>
      <c r="AH737" s="88" t="n"/>
      <c r="AI737" s="88" t="n"/>
      <c r="AJ737" s="90" t="n"/>
      <c r="AK737" s="88" t="n"/>
      <c r="AL737" s="91" t="n"/>
      <c r="AM737" s="88" t="n"/>
      <c r="AN737" s="95" t="n"/>
      <c r="AO737" s="90" t="n"/>
      <c r="AP737" s="90" t="n"/>
    </row>
    <row r="738" ht="14.25" customHeight="1" s="84">
      <c r="A738" s="51" t="n"/>
      <c r="B738" s="47" t="n"/>
      <c r="C738" s="51" t="n"/>
      <c r="D738" s="51" t="n"/>
      <c r="E738" s="51" t="n"/>
      <c r="F738" s="51" t="n"/>
      <c r="G738" s="47" t="n"/>
      <c r="H738" s="51" t="n"/>
      <c r="I738" s="51" t="n"/>
      <c r="J738" s="51" t="n"/>
      <c r="K738" s="51" t="n"/>
      <c r="L738" s="51" t="n"/>
      <c r="N738" s="51" t="n"/>
      <c r="Q738" s="51" t="n"/>
      <c r="S738" s="51" t="n"/>
      <c r="T738" s="51" t="n"/>
      <c r="U738" s="51" t="inlineStr"/>
      <c r="V738" s="55" t="n"/>
      <c r="W738" s="51" t="inlineStr"/>
      <c r="X738" s="51" t="inlineStr"/>
      <c r="Y738" s="51" t="n"/>
      <c r="AB738" s="57" t="n"/>
      <c r="AC738" s="90" t="n"/>
      <c r="AD738" s="90" t="n"/>
      <c r="AE738" s="88" t="n"/>
      <c r="AF738" s="91" t="n"/>
      <c r="AG738" s="91" t="n"/>
      <c r="AH738" s="88" t="n"/>
      <c r="AI738" s="88" t="n"/>
      <c r="AJ738" s="90" t="n"/>
      <c r="AK738" s="88" t="n"/>
      <c r="AL738" s="91" t="n"/>
      <c r="AM738" s="88" t="n"/>
      <c r="AN738" s="95" t="n"/>
      <c r="AO738" s="90" t="n"/>
      <c r="AP738" s="90" t="n"/>
    </row>
    <row r="739" ht="14.25" customHeight="1" s="84">
      <c r="A739" s="51" t="n"/>
      <c r="B739" s="47" t="n"/>
      <c r="C739" s="51" t="n"/>
      <c r="D739" s="51" t="n"/>
      <c r="E739" s="51" t="n"/>
      <c r="F739" s="51" t="n"/>
      <c r="G739" s="47" t="n"/>
      <c r="H739" s="51" t="n"/>
      <c r="I739" s="51" t="n"/>
      <c r="J739" s="51" t="n"/>
      <c r="K739" s="51" t="n"/>
      <c r="L739" s="51" t="n"/>
      <c r="N739" s="51" t="n"/>
      <c r="Q739" s="51" t="n"/>
      <c r="S739" s="51" t="n"/>
      <c r="T739" s="51" t="n"/>
      <c r="U739" s="51" t="inlineStr"/>
      <c r="V739" s="55" t="n"/>
      <c r="W739" s="51" t="inlineStr"/>
      <c r="X739" s="51" t="inlineStr"/>
      <c r="Y739" s="51" t="n"/>
      <c r="AB739" s="57" t="n"/>
      <c r="AC739" s="90" t="n"/>
      <c r="AD739" s="90" t="n"/>
      <c r="AE739" s="88" t="n"/>
      <c r="AF739" s="91" t="n"/>
      <c r="AG739" s="91" t="n"/>
      <c r="AH739" s="88" t="n"/>
      <c r="AI739" s="88" t="n"/>
      <c r="AJ739" s="90" t="n"/>
      <c r="AK739" s="88" t="n"/>
      <c r="AL739" s="91" t="n"/>
      <c r="AM739" s="88" t="n"/>
      <c r="AN739" s="95" t="n"/>
      <c r="AO739" s="90" t="n"/>
      <c r="AP739" s="90" t="n"/>
    </row>
    <row r="740" ht="14.25" customHeight="1" s="84">
      <c r="A740" s="51" t="n"/>
      <c r="B740" s="47" t="n"/>
      <c r="C740" s="51" t="n"/>
      <c r="D740" s="51" t="n"/>
      <c r="E740" s="51" t="n"/>
      <c r="F740" s="51" t="n"/>
      <c r="G740" s="47" t="n"/>
      <c r="H740" s="51" t="n"/>
      <c r="I740" s="51" t="n"/>
      <c r="J740" s="51" t="n"/>
      <c r="K740" s="51" t="n"/>
      <c r="L740" s="51" t="n"/>
      <c r="N740" s="51" t="n"/>
      <c r="Q740" s="51" t="n"/>
      <c r="S740" s="51" t="n"/>
      <c r="T740" s="51" t="n"/>
      <c r="U740" s="51" t="inlineStr"/>
      <c r="V740" s="55" t="n"/>
      <c r="W740" s="51" t="inlineStr"/>
      <c r="X740" s="51" t="inlineStr"/>
      <c r="Y740" s="51" t="n"/>
      <c r="AB740" s="57" t="n"/>
      <c r="AC740" s="90" t="n"/>
      <c r="AD740" s="90" t="n"/>
      <c r="AE740" s="88" t="n"/>
      <c r="AF740" s="91" t="n"/>
      <c r="AG740" s="91" t="n"/>
      <c r="AH740" s="88" t="n"/>
      <c r="AI740" s="88" t="n"/>
      <c r="AJ740" s="90" t="n"/>
      <c r="AK740" s="88" t="n"/>
      <c r="AL740" s="91" t="n"/>
      <c r="AM740" s="88" t="n"/>
      <c r="AN740" s="95" t="n"/>
      <c r="AO740" s="90" t="n"/>
      <c r="AP740" s="90" t="n"/>
    </row>
    <row r="741" ht="14.25" customHeight="1" s="84">
      <c r="A741" s="51" t="n"/>
      <c r="B741" s="47" t="n"/>
      <c r="C741" s="51" t="n"/>
      <c r="D741" s="51" t="n"/>
      <c r="E741" s="51" t="n"/>
      <c r="F741" s="51" t="n"/>
      <c r="G741" s="47" t="n"/>
      <c r="H741" s="51" t="n"/>
      <c r="I741" s="51" t="n"/>
      <c r="J741" s="51" t="n"/>
      <c r="K741" s="51" t="n"/>
      <c r="L741" s="51" t="n"/>
      <c r="N741" s="51" t="n"/>
      <c r="Q741" s="51" t="n"/>
      <c r="S741" s="51" t="n"/>
      <c r="T741" s="51" t="n"/>
      <c r="U741" s="51" t="inlineStr"/>
      <c r="V741" s="55" t="n"/>
      <c r="W741" s="51" t="inlineStr"/>
      <c r="X741" s="51" t="inlineStr"/>
      <c r="Y741" s="51" t="n"/>
      <c r="AB741" s="57" t="n"/>
      <c r="AC741" s="90" t="n"/>
      <c r="AD741" s="90" t="n"/>
      <c r="AE741" s="88" t="n"/>
      <c r="AF741" s="91" t="n"/>
      <c r="AG741" s="91" t="n"/>
      <c r="AH741" s="88" t="n"/>
      <c r="AI741" s="88" t="n"/>
      <c r="AJ741" s="90" t="n"/>
      <c r="AK741" s="88" t="n"/>
      <c r="AL741" s="91" t="n"/>
      <c r="AM741" s="88" t="n"/>
      <c r="AN741" s="95" t="n"/>
      <c r="AO741" s="90" t="n"/>
      <c r="AP741" s="90" t="n"/>
    </row>
    <row r="742" ht="14.25" customHeight="1" s="84">
      <c r="A742" s="51" t="n"/>
      <c r="B742" s="47" t="n"/>
      <c r="C742" s="51" t="n"/>
      <c r="D742" s="51" t="n"/>
      <c r="E742" s="51" t="n"/>
      <c r="F742" s="51" t="n"/>
      <c r="G742" s="47" t="n"/>
      <c r="H742" s="51" t="n"/>
      <c r="I742" s="51" t="n"/>
      <c r="J742" s="51" t="n"/>
      <c r="K742" s="51" t="n"/>
      <c r="L742" s="51" t="n"/>
      <c r="N742" s="51" t="n"/>
      <c r="Q742" s="51" t="n"/>
      <c r="S742" s="51" t="n"/>
      <c r="T742" s="51" t="n"/>
      <c r="U742" s="51" t="inlineStr"/>
      <c r="V742" s="55" t="n"/>
      <c r="W742" s="51" t="inlineStr"/>
      <c r="X742" s="51" t="inlineStr"/>
      <c r="Y742" s="51" t="n"/>
      <c r="AB742" s="57" t="n"/>
      <c r="AC742" s="90" t="n"/>
      <c r="AD742" s="90" t="n"/>
      <c r="AE742" s="88" t="n"/>
      <c r="AF742" s="91" t="n"/>
      <c r="AG742" s="91" t="n"/>
      <c r="AH742" s="88" t="n"/>
      <c r="AI742" s="88" t="n"/>
      <c r="AJ742" s="90" t="n"/>
      <c r="AK742" s="88" t="n"/>
      <c r="AL742" s="91" t="n"/>
      <c r="AM742" s="88" t="n"/>
      <c r="AN742" s="95" t="n"/>
      <c r="AO742" s="90" t="n"/>
      <c r="AP742" s="90" t="n"/>
    </row>
    <row r="743" ht="14.25" customHeight="1" s="84">
      <c r="A743" s="51" t="n"/>
      <c r="B743" s="47" t="n"/>
      <c r="C743" s="51" t="n"/>
      <c r="D743" s="51" t="n"/>
      <c r="E743" s="51" t="n"/>
      <c r="F743" s="51" t="n"/>
      <c r="G743" s="47" t="n"/>
      <c r="H743" s="51" t="n"/>
      <c r="I743" s="51" t="n"/>
      <c r="J743" s="51" t="n"/>
      <c r="K743" s="51" t="n"/>
      <c r="L743" s="51" t="n"/>
      <c r="N743" s="51" t="n"/>
      <c r="Q743" s="51" t="n"/>
      <c r="S743" s="51" t="n"/>
      <c r="T743" s="51" t="n"/>
      <c r="U743" s="51" t="inlineStr"/>
      <c r="V743" s="55" t="n"/>
      <c r="W743" s="51" t="inlineStr"/>
      <c r="X743" s="51" t="inlineStr"/>
      <c r="Y743" s="51" t="n"/>
      <c r="AB743" s="57" t="n"/>
      <c r="AC743" s="90" t="n"/>
      <c r="AD743" s="90" t="n"/>
      <c r="AE743" s="88" t="n"/>
      <c r="AF743" s="91" t="n"/>
      <c r="AG743" s="91" t="n"/>
      <c r="AH743" s="88" t="n"/>
      <c r="AI743" s="88" t="n"/>
      <c r="AJ743" s="90" t="n"/>
      <c r="AK743" s="88" t="n"/>
      <c r="AL743" s="91" t="n"/>
      <c r="AM743" s="88" t="n"/>
      <c r="AN743" s="95" t="n"/>
      <c r="AO743" s="90" t="n"/>
      <c r="AP743" s="90" t="n"/>
    </row>
    <row r="744" ht="14.25" customHeight="1" s="84">
      <c r="A744" s="51" t="n"/>
      <c r="B744" s="47" t="n"/>
      <c r="C744" s="51" t="n"/>
      <c r="D744" s="51" t="n"/>
      <c r="E744" s="51" t="n"/>
      <c r="F744" s="51" t="n"/>
      <c r="G744" s="47" t="n"/>
      <c r="H744" s="51" t="n"/>
      <c r="I744" s="51" t="n"/>
      <c r="J744" s="51" t="n"/>
      <c r="K744" s="51" t="n"/>
      <c r="L744" s="51" t="n"/>
      <c r="N744" s="51" t="n"/>
      <c r="Q744" s="51" t="n"/>
      <c r="S744" s="51" t="n"/>
      <c r="T744" s="51" t="n"/>
      <c r="U744" s="51" t="inlineStr"/>
      <c r="V744" s="55" t="n"/>
      <c r="W744" s="51" t="inlineStr"/>
      <c r="X744" s="51" t="inlineStr"/>
      <c r="Y744" s="51" t="n"/>
      <c r="AB744" s="57" t="n"/>
      <c r="AC744" s="90" t="n"/>
      <c r="AD744" s="90" t="n"/>
      <c r="AE744" s="88" t="n"/>
      <c r="AF744" s="91" t="n"/>
      <c r="AG744" s="91" t="n"/>
      <c r="AH744" s="88" t="n"/>
      <c r="AI744" s="88" t="n"/>
      <c r="AJ744" s="90" t="n"/>
      <c r="AK744" s="88" t="n"/>
      <c r="AL744" s="91" t="n"/>
      <c r="AM744" s="88" t="n"/>
      <c r="AN744" s="95" t="n"/>
      <c r="AO744" s="90" t="n"/>
      <c r="AP744" s="90" t="n"/>
    </row>
    <row r="745" ht="14.25" customHeight="1" s="84">
      <c r="A745" s="51" t="n"/>
      <c r="B745" s="47" t="n"/>
      <c r="C745" s="51" t="n"/>
      <c r="D745" s="51" t="n"/>
      <c r="E745" s="51" t="n"/>
      <c r="F745" s="51" t="n"/>
      <c r="G745" s="47" t="n"/>
      <c r="H745" s="51" t="n"/>
      <c r="I745" s="51" t="n"/>
      <c r="J745" s="51" t="n"/>
      <c r="K745" s="51" t="n"/>
      <c r="L745" s="51" t="n"/>
      <c r="N745" s="51" t="n"/>
      <c r="Q745" s="51" t="n"/>
      <c r="S745" s="51" t="n"/>
      <c r="T745" s="51" t="n"/>
      <c r="U745" s="51" t="inlineStr"/>
      <c r="V745" s="55" t="n"/>
      <c r="W745" s="51" t="inlineStr"/>
      <c r="X745" s="51" t="inlineStr"/>
      <c r="Y745" s="51" t="n"/>
      <c r="AB745" s="57" t="n"/>
      <c r="AC745" s="90" t="n"/>
      <c r="AD745" s="90" t="n"/>
      <c r="AE745" s="88" t="n"/>
      <c r="AF745" s="91" t="n"/>
      <c r="AG745" s="91" t="n"/>
      <c r="AH745" s="88" t="n"/>
      <c r="AI745" s="88" t="n"/>
      <c r="AJ745" s="90" t="n"/>
      <c r="AK745" s="88" t="n"/>
      <c r="AL745" s="91" t="n"/>
      <c r="AM745" s="88" t="n"/>
      <c r="AN745" s="95" t="n"/>
      <c r="AO745" s="90" t="n"/>
      <c r="AP745" s="90" t="n"/>
    </row>
    <row r="746" ht="14.25" customHeight="1" s="84">
      <c r="A746" s="51" t="n"/>
      <c r="B746" s="47" t="n"/>
      <c r="C746" s="51" t="n"/>
      <c r="D746" s="51" t="n"/>
      <c r="E746" s="51" t="n"/>
      <c r="F746" s="51" t="n"/>
      <c r="G746" s="47" t="n"/>
      <c r="H746" s="51" t="n"/>
      <c r="I746" s="51" t="n"/>
      <c r="J746" s="51" t="n"/>
      <c r="K746" s="51" t="n"/>
      <c r="L746" s="51" t="n"/>
      <c r="N746" s="51" t="n"/>
      <c r="Q746" s="51" t="n"/>
      <c r="S746" s="51" t="n"/>
      <c r="T746" s="51" t="n"/>
      <c r="U746" s="51" t="inlineStr"/>
      <c r="V746" s="55" t="n"/>
      <c r="W746" s="51" t="inlineStr"/>
      <c r="X746" s="51" t="inlineStr"/>
      <c r="Y746" s="51" t="n"/>
      <c r="AB746" s="57" t="n"/>
      <c r="AC746" s="90" t="n"/>
      <c r="AD746" s="90" t="n"/>
      <c r="AE746" s="88" t="n"/>
      <c r="AF746" s="91" t="n"/>
      <c r="AG746" s="91" t="n"/>
      <c r="AH746" s="88" t="n"/>
      <c r="AI746" s="88" t="n"/>
      <c r="AJ746" s="90" t="n"/>
      <c r="AK746" s="88" t="n"/>
      <c r="AL746" s="91" t="n"/>
      <c r="AM746" s="88" t="n"/>
      <c r="AN746" s="95" t="n"/>
      <c r="AO746" s="90" t="n"/>
      <c r="AP746" s="90" t="n"/>
    </row>
    <row r="747" ht="14.25" customHeight="1" s="84">
      <c r="A747" s="51" t="n"/>
      <c r="B747" s="47" t="n"/>
      <c r="C747" s="51" t="n"/>
      <c r="D747" s="51" t="n"/>
      <c r="E747" s="51" t="n"/>
      <c r="F747" s="51" t="n"/>
      <c r="G747" s="47" t="n"/>
      <c r="H747" s="51" t="n"/>
      <c r="I747" s="51" t="n"/>
      <c r="J747" s="51" t="n"/>
      <c r="K747" s="51" t="n"/>
      <c r="L747" s="51" t="n"/>
      <c r="N747" s="51" t="n"/>
      <c r="Q747" s="51" t="n"/>
      <c r="S747" s="51" t="n"/>
      <c r="T747" s="51" t="n"/>
      <c r="U747" s="51" t="inlineStr"/>
      <c r="V747" s="55" t="n"/>
      <c r="W747" s="51" t="inlineStr"/>
      <c r="X747" s="51" t="inlineStr"/>
      <c r="Y747" s="51" t="n"/>
      <c r="AB747" s="57" t="n"/>
      <c r="AC747" s="90" t="n"/>
      <c r="AD747" s="90" t="n"/>
      <c r="AE747" s="88" t="n"/>
      <c r="AF747" s="91" t="n"/>
      <c r="AG747" s="91" t="n"/>
      <c r="AH747" s="88" t="n"/>
      <c r="AI747" s="88" t="n"/>
      <c r="AJ747" s="90" t="n"/>
      <c r="AK747" s="88" t="n"/>
      <c r="AL747" s="91" t="n"/>
      <c r="AM747" s="88" t="n"/>
      <c r="AN747" s="95" t="n"/>
      <c r="AO747" s="90" t="n"/>
      <c r="AP747" s="90" t="n"/>
    </row>
    <row r="748" ht="14.25" customHeight="1" s="84">
      <c r="A748" s="51" t="n"/>
      <c r="B748" s="47" t="n"/>
      <c r="C748" s="51" t="n"/>
      <c r="D748" s="51" t="n"/>
      <c r="E748" s="51" t="n"/>
      <c r="F748" s="51" t="n"/>
      <c r="G748" s="47" t="n"/>
      <c r="H748" s="51" t="n"/>
      <c r="I748" s="51" t="n"/>
      <c r="J748" s="51" t="n"/>
      <c r="K748" s="51" t="n"/>
      <c r="L748" s="51" t="n"/>
      <c r="N748" s="51" t="n"/>
      <c r="Q748" s="51" t="n"/>
      <c r="S748" s="51" t="n"/>
      <c r="T748" s="51" t="n"/>
      <c r="U748" s="51" t="inlineStr"/>
      <c r="V748" s="55" t="n"/>
      <c r="W748" s="51" t="inlineStr"/>
      <c r="X748" s="51" t="inlineStr"/>
      <c r="Y748" s="51" t="n"/>
      <c r="AB748" s="57" t="n"/>
      <c r="AC748" s="90" t="n"/>
      <c r="AD748" s="90" t="n"/>
      <c r="AE748" s="88" t="n"/>
      <c r="AF748" s="91" t="n"/>
      <c r="AG748" s="91" t="n"/>
      <c r="AH748" s="88" t="n"/>
      <c r="AI748" s="88" t="n"/>
      <c r="AJ748" s="90" t="n"/>
      <c r="AK748" s="88" t="n"/>
      <c r="AL748" s="91" t="n"/>
      <c r="AM748" s="88" t="n"/>
      <c r="AN748" s="95" t="n"/>
      <c r="AO748" s="90" t="n"/>
      <c r="AP748" s="90" t="n"/>
    </row>
    <row r="749" ht="14.25" customHeight="1" s="84">
      <c r="A749" s="51" t="n"/>
      <c r="B749" s="47" t="n"/>
      <c r="C749" s="51" t="n"/>
      <c r="D749" s="51" t="n"/>
      <c r="E749" s="51" t="n"/>
      <c r="F749" s="51" t="n"/>
      <c r="G749" s="47" t="n"/>
      <c r="H749" s="51" t="n"/>
      <c r="I749" s="51" t="n"/>
      <c r="J749" s="51" t="n"/>
      <c r="K749" s="51" t="n"/>
      <c r="L749" s="51" t="n"/>
      <c r="N749" s="51" t="n"/>
      <c r="Q749" s="51" t="n"/>
      <c r="S749" s="51" t="n"/>
      <c r="T749" s="51" t="n"/>
      <c r="U749" s="51" t="inlineStr"/>
      <c r="V749" s="55" t="n"/>
      <c r="W749" s="51" t="inlineStr"/>
      <c r="X749" s="51" t="inlineStr"/>
      <c r="Y749" s="51" t="n"/>
      <c r="AB749" s="57" t="n"/>
      <c r="AC749" s="90" t="n"/>
      <c r="AD749" s="90" t="n"/>
      <c r="AE749" s="88" t="n"/>
      <c r="AF749" s="91" t="n"/>
      <c r="AG749" s="91" t="n"/>
      <c r="AH749" s="88" t="n"/>
      <c r="AI749" s="88" t="n"/>
      <c r="AJ749" s="90" t="n"/>
      <c r="AK749" s="88" t="n"/>
      <c r="AL749" s="91" t="n"/>
      <c r="AM749" s="88" t="n"/>
      <c r="AN749" s="95" t="n"/>
      <c r="AO749" s="90" t="n"/>
      <c r="AP749" s="90" t="n"/>
    </row>
    <row r="750" ht="14.25" customHeight="1" s="84">
      <c r="A750" s="51" t="n"/>
      <c r="B750" s="47" t="n"/>
      <c r="C750" s="51" t="n"/>
      <c r="D750" s="51" t="n"/>
      <c r="E750" s="51" t="n"/>
      <c r="F750" s="51" t="n"/>
      <c r="G750" s="47" t="n"/>
      <c r="H750" s="51" t="n"/>
      <c r="I750" s="51" t="n"/>
      <c r="J750" s="51" t="n"/>
      <c r="K750" s="51" t="n"/>
      <c r="L750" s="51" t="n"/>
      <c r="N750" s="51" t="n"/>
      <c r="Q750" s="51" t="n"/>
      <c r="S750" s="51" t="n"/>
      <c r="T750" s="51" t="n"/>
      <c r="U750" s="51" t="inlineStr"/>
      <c r="V750" s="55" t="n"/>
      <c r="W750" s="51" t="inlineStr"/>
      <c r="X750" s="51" t="inlineStr"/>
      <c r="Y750" s="51" t="n"/>
      <c r="AB750" s="57" t="n"/>
      <c r="AC750" s="90" t="n"/>
      <c r="AD750" s="90" t="n"/>
      <c r="AE750" s="88" t="n"/>
      <c r="AF750" s="91" t="n"/>
      <c r="AG750" s="91" t="n"/>
      <c r="AH750" s="88" t="n"/>
      <c r="AI750" s="88" t="n"/>
      <c r="AJ750" s="90" t="n"/>
      <c r="AK750" s="88" t="n"/>
      <c r="AL750" s="91" t="n"/>
      <c r="AM750" s="88" t="n"/>
      <c r="AN750" s="95" t="n"/>
      <c r="AO750" s="90" t="n"/>
      <c r="AP750" s="90" t="n"/>
    </row>
    <row r="751" ht="14.25" customHeight="1" s="84">
      <c r="A751" s="51" t="n"/>
      <c r="B751" s="47" t="n"/>
      <c r="C751" s="51" t="n"/>
      <c r="D751" s="51" t="n"/>
      <c r="E751" s="51" t="n"/>
      <c r="F751" s="51" t="n"/>
      <c r="G751" s="47" t="n"/>
      <c r="H751" s="51" t="n"/>
      <c r="I751" s="51" t="n"/>
      <c r="J751" s="51" t="n"/>
      <c r="K751" s="51" t="n"/>
      <c r="L751" s="51" t="n"/>
      <c r="N751" s="51" t="n"/>
      <c r="Q751" s="51" t="n"/>
      <c r="S751" s="51" t="n"/>
      <c r="T751" s="51" t="n"/>
      <c r="U751" s="51" t="inlineStr"/>
      <c r="V751" s="55" t="n"/>
      <c r="W751" s="51" t="inlineStr"/>
      <c r="X751" s="51" t="inlineStr"/>
      <c r="Y751" s="51" t="n"/>
      <c r="AB751" s="57" t="n"/>
      <c r="AC751" s="90" t="n"/>
      <c r="AD751" s="90" t="n"/>
      <c r="AE751" s="88" t="n"/>
      <c r="AF751" s="91" t="n"/>
      <c r="AG751" s="91" t="n"/>
      <c r="AH751" s="88" t="n"/>
      <c r="AI751" s="88" t="n"/>
      <c r="AJ751" s="90" t="n"/>
      <c r="AK751" s="88" t="n"/>
      <c r="AL751" s="91" t="n"/>
      <c r="AM751" s="88" t="n"/>
      <c r="AN751" s="95" t="n"/>
      <c r="AO751" s="90" t="n"/>
      <c r="AP751" s="90" t="n"/>
    </row>
    <row r="752" ht="14.25" customHeight="1" s="84">
      <c r="A752" s="51" t="n"/>
      <c r="B752" s="47" t="n"/>
      <c r="C752" s="51" t="n"/>
      <c r="D752" s="51" t="n"/>
      <c r="E752" s="51" t="n"/>
      <c r="F752" s="51" t="n"/>
      <c r="G752" s="47" t="n"/>
      <c r="H752" s="51" t="n"/>
      <c r="I752" s="51" t="n"/>
      <c r="J752" s="51" t="n"/>
      <c r="K752" s="51" t="n"/>
      <c r="L752" s="51" t="n"/>
      <c r="N752" s="51" t="n"/>
      <c r="Q752" s="51" t="n"/>
      <c r="S752" s="51" t="n"/>
      <c r="T752" s="51" t="n"/>
      <c r="U752" s="51" t="inlineStr"/>
      <c r="V752" s="55" t="n"/>
      <c r="W752" s="51" t="inlineStr"/>
      <c r="X752" s="51" t="inlineStr"/>
      <c r="Y752" s="51" t="n"/>
      <c r="AB752" s="57" t="n"/>
      <c r="AC752" s="90" t="n"/>
      <c r="AD752" s="90" t="n"/>
      <c r="AE752" s="88" t="n"/>
      <c r="AF752" s="91" t="n"/>
      <c r="AG752" s="91" t="n"/>
      <c r="AH752" s="88" t="n"/>
      <c r="AI752" s="88" t="n"/>
      <c r="AJ752" s="90" t="n"/>
      <c r="AK752" s="88" t="n"/>
      <c r="AL752" s="91" t="n"/>
      <c r="AM752" s="88" t="n"/>
      <c r="AN752" s="95" t="n"/>
      <c r="AO752" s="90" t="n"/>
      <c r="AP752" s="90" t="n"/>
    </row>
    <row r="753" ht="14.25" customHeight="1" s="84">
      <c r="A753" s="51" t="n"/>
      <c r="B753" s="47" t="n"/>
      <c r="C753" s="51" t="n"/>
      <c r="D753" s="51" t="n"/>
      <c r="E753" s="51" t="n"/>
      <c r="F753" s="51" t="n"/>
      <c r="G753" s="47" t="n"/>
      <c r="H753" s="51" t="n"/>
      <c r="I753" s="51" t="n"/>
      <c r="J753" s="51" t="n"/>
      <c r="K753" s="51" t="n"/>
      <c r="L753" s="51" t="n"/>
      <c r="N753" s="51" t="n"/>
      <c r="Q753" s="51" t="n"/>
      <c r="S753" s="51" t="n"/>
      <c r="T753" s="51" t="n"/>
      <c r="U753" s="51" t="inlineStr"/>
      <c r="V753" s="55" t="n"/>
      <c r="W753" s="51" t="inlineStr"/>
      <c r="X753" s="51" t="inlineStr"/>
      <c r="Y753" s="51" t="n"/>
      <c r="AB753" s="57" t="n"/>
      <c r="AC753" s="90" t="n"/>
      <c r="AD753" s="90" t="n"/>
      <c r="AE753" s="88" t="n"/>
      <c r="AF753" s="91" t="n"/>
      <c r="AG753" s="91" t="n"/>
      <c r="AH753" s="88" t="n"/>
      <c r="AI753" s="88" t="n"/>
      <c r="AJ753" s="90" t="n"/>
      <c r="AK753" s="88" t="n"/>
      <c r="AL753" s="91" t="n"/>
      <c r="AM753" s="88" t="n"/>
      <c r="AN753" s="95" t="n"/>
      <c r="AO753" s="90" t="n"/>
      <c r="AP753" s="90" t="n"/>
    </row>
    <row r="754" ht="14.25" customHeight="1" s="84">
      <c r="A754" s="51" t="n"/>
      <c r="B754" s="47" t="n"/>
      <c r="C754" s="51" t="n"/>
      <c r="D754" s="51" t="n"/>
      <c r="E754" s="51" t="n"/>
      <c r="F754" s="51" t="n"/>
      <c r="G754" s="47" t="n"/>
      <c r="H754" s="51" t="n"/>
      <c r="I754" s="51" t="n"/>
      <c r="J754" s="51" t="n"/>
      <c r="K754" s="51" t="n"/>
      <c r="L754" s="51" t="n"/>
      <c r="N754" s="51" t="n"/>
      <c r="Q754" s="51" t="n"/>
      <c r="S754" s="51" t="n"/>
      <c r="T754" s="51" t="n"/>
      <c r="U754" s="51" t="inlineStr"/>
      <c r="V754" s="55" t="n"/>
      <c r="W754" s="51" t="inlineStr"/>
      <c r="X754" s="51" t="inlineStr"/>
      <c r="Y754" s="51" t="n"/>
      <c r="AB754" s="57" t="n"/>
      <c r="AC754" s="90" t="n"/>
      <c r="AD754" s="90" t="n"/>
      <c r="AE754" s="88" t="n"/>
      <c r="AF754" s="91" t="n"/>
      <c r="AG754" s="91" t="n"/>
      <c r="AH754" s="88" t="n"/>
      <c r="AI754" s="88" t="n"/>
      <c r="AJ754" s="90" t="n"/>
      <c r="AK754" s="88" t="n"/>
      <c r="AL754" s="91" t="n"/>
      <c r="AM754" s="88" t="n"/>
      <c r="AN754" s="95" t="n"/>
      <c r="AO754" s="90" t="n"/>
      <c r="AP754" s="90" t="n"/>
    </row>
    <row r="755" ht="14.25" customHeight="1" s="84">
      <c r="A755" s="51" t="n"/>
      <c r="B755" s="47" t="n"/>
      <c r="C755" s="51" t="n"/>
      <c r="D755" s="51" t="n"/>
      <c r="E755" s="51" t="n"/>
      <c r="F755" s="51" t="n"/>
      <c r="G755" s="47" t="n"/>
      <c r="H755" s="51" t="n"/>
      <c r="I755" s="51" t="n"/>
      <c r="J755" s="51" t="n"/>
      <c r="K755" s="51" t="n"/>
      <c r="L755" s="51" t="n"/>
      <c r="N755" s="51" t="n"/>
      <c r="Q755" s="51" t="n"/>
      <c r="S755" s="51" t="n"/>
      <c r="T755" s="51" t="n"/>
      <c r="U755" s="51" t="inlineStr"/>
      <c r="V755" s="55" t="n"/>
      <c r="W755" s="51" t="inlineStr"/>
      <c r="X755" s="51" t="inlineStr"/>
      <c r="Y755" s="51" t="n"/>
      <c r="AB755" s="57" t="n"/>
      <c r="AC755" s="90" t="n"/>
      <c r="AD755" s="90" t="n"/>
      <c r="AE755" s="88" t="n"/>
      <c r="AF755" s="91" t="n"/>
      <c r="AG755" s="91" t="n"/>
      <c r="AH755" s="88" t="n"/>
      <c r="AI755" s="88" t="n"/>
      <c r="AJ755" s="90" t="n"/>
      <c r="AK755" s="88" t="n"/>
      <c r="AL755" s="91" t="n"/>
      <c r="AM755" s="88" t="n"/>
      <c r="AN755" s="95" t="n"/>
      <c r="AO755" s="90" t="n"/>
      <c r="AP755" s="90" t="n"/>
    </row>
    <row r="756" ht="14.25" customHeight="1" s="84">
      <c r="A756" s="51" t="n"/>
      <c r="B756" s="47" t="n"/>
      <c r="C756" s="51" t="n"/>
      <c r="D756" s="51" t="n"/>
      <c r="E756" s="51" t="n"/>
      <c r="F756" s="51" t="n"/>
      <c r="G756" s="47" t="n"/>
      <c r="H756" s="51" t="n"/>
      <c r="I756" s="51" t="n"/>
      <c r="J756" s="51" t="n"/>
      <c r="K756" s="51" t="n"/>
      <c r="L756" s="51" t="n"/>
      <c r="N756" s="51" t="n"/>
      <c r="Q756" s="51" t="n"/>
      <c r="S756" s="51" t="n"/>
      <c r="T756" s="51" t="n"/>
      <c r="U756" s="51" t="inlineStr"/>
      <c r="V756" s="55" t="n"/>
      <c r="W756" s="51" t="inlineStr"/>
      <c r="X756" s="51" t="inlineStr"/>
      <c r="Y756" s="51" t="n"/>
      <c r="AB756" s="57" t="n"/>
      <c r="AC756" s="90" t="n"/>
      <c r="AD756" s="90" t="n"/>
      <c r="AE756" s="88" t="n"/>
      <c r="AF756" s="91" t="n"/>
      <c r="AG756" s="91" t="n"/>
      <c r="AH756" s="88" t="n"/>
      <c r="AI756" s="88" t="n"/>
      <c r="AJ756" s="90" t="n"/>
      <c r="AK756" s="88" t="n"/>
      <c r="AL756" s="91" t="n"/>
      <c r="AM756" s="88" t="n"/>
      <c r="AN756" s="95" t="n"/>
      <c r="AO756" s="90" t="n"/>
      <c r="AP756" s="90" t="n"/>
    </row>
    <row r="757" ht="14.25" customHeight="1" s="84">
      <c r="A757" s="51" t="n"/>
      <c r="B757" s="47" t="n"/>
      <c r="C757" s="51" t="n"/>
      <c r="D757" s="51" t="n"/>
      <c r="E757" s="51" t="n"/>
      <c r="F757" s="51" t="n"/>
      <c r="G757" s="47" t="n"/>
      <c r="H757" s="51" t="n"/>
      <c r="I757" s="51" t="n"/>
      <c r="J757" s="51" t="n"/>
      <c r="K757" s="51" t="n"/>
      <c r="L757" s="51" t="n"/>
      <c r="N757" s="51" t="n"/>
      <c r="Q757" s="51" t="n"/>
      <c r="S757" s="51" t="n"/>
      <c r="T757" s="51" t="n"/>
      <c r="U757" s="51" t="inlineStr"/>
      <c r="V757" s="55" t="n"/>
      <c r="W757" s="51" t="inlineStr"/>
      <c r="X757" s="51" t="inlineStr"/>
      <c r="Y757" s="51" t="n"/>
      <c r="AB757" s="57" t="n"/>
      <c r="AC757" s="90" t="n"/>
      <c r="AD757" s="90" t="n"/>
      <c r="AE757" s="88" t="n"/>
      <c r="AF757" s="91" t="n"/>
      <c r="AG757" s="91" t="n"/>
      <c r="AH757" s="88" t="n"/>
      <c r="AI757" s="88" t="n"/>
      <c r="AJ757" s="90" t="n"/>
      <c r="AK757" s="88" t="n"/>
      <c r="AL757" s="91" t="n"/>
      <c r="AM757" s="88" t="n"/>
      <c r="AN757" s="95" t="n"/>
      <c r="AO757" s="90" t="n"/>
      <c r="AP757" s="90" t="n"/>
    </row>
    <row r="758" ht="14.25" customHeight="1" s="84">
      <c r="A758" s="51" t="n"/>
      <c r="B758" s="47" t="n"/>
      <c r="C758" s="51" t="n"/>
      <c r="D758" s="51" t="n"/>
      <c r="E758" s="51" t="n"/>
      <c r="F758" s="51" t="n"/>
      <c r="G758" s="47" t="n"/>
      <c r="H758" s="51" t="n"/>
      <c r="I758" s="51" t="n"/>
      <c r="J758" s="51" t="n"/>
      <c r="K758" s="51" t="n"/>
      <c r="L758" s="51" t="n"/>
      <c r="N758" s="51" t="n"/>
      <c r="Q758" s="51" t="n"/>
      <c r="S758" s="51" t="n"/>
      <c r="T758" s="51" t="n"/>
      <c r="U758" s="51" t="inlineStr"/>
      <c r="V758" s="55" t="n"/>
      <c r="W758" s="51" t="inlineStr"/>
      <c r="X758" s="51" t="inlineStr"/>
      <c r="Y758" s="51" t="n"/>
      <c r="AB758" s="57" t="n"/>
      <c r="AC758" s="90" t="n"/>
      <c r="AD758" s="90" t="n"/>
      <c r="AE758" s="88" t="n"/>
      <c r="AF758" s="91" t="n"/>
      <c r="AG758" s="91" t="n"/>
      <c r="AH758" s="88" t="n"/>
      <c r="AI758" s="88" t="n"/>
      <c r="AJ758" s="90" t="n"/>
      <c r="AK758" s="88" t="n"/>
      <c r="AL758" s="91" t="n"/>
      <c r="AM758" s="88" t="n"/>
      <c r="AN758" s="95" t="n"/>
      <c r="AO758" s="90" t="n"/>
      <c r="AP758" s="90" t="n"/>
    </row>
    <row r="759" ht="14.25" customHeight="1" s="84">
      <c r="A759" s="51" t="n"/>
      <c r="B759" s="47" t="n"/>
      <c r="C759" s="51" t="n"/>
      <c r="D759" s="51" t="n"/>
      <c r="E759" s="51" t="n"/>
      <c r="F759" s="51" t="n"/>
      <c r="G759" s="47" t="n"/>
      <c r="H759" s="51" t="n"/>
      <c r="I759" s="51" t="n"/>
      <c r="J759" s="51" t="n"/>
      <c r="K759" s="51" t="n"/>
      <c r="L759" s="51" t="n"/>
      <c r="N759" s="51" t="n"/>
      <c r="Q759" s="51" t="n"/>
      <c r="S759" s="51" t="n"/>
      <c r="T759" s="51" t="n"/>
      <c r="U759" s="51" t="inlineStr"/>
      <c r="V759" s="55" t="n"/>
      <c r="W759" s="51" t="inlineStr"/>
      <c r="X759" s="51" t="inlineStr"/>
      <c r="Y759" s="51" t="n"/>
      <c r="AB759" s="57" t="n"/>
      <c r="AC759" s="90" t="n"/>
      <c r="AD759" s="90" t="n"/>
      <c r="AE759" s="88" t="n"/>
      <c r="AF759" s="91" t="n"/>
      <c r="AG759" s="91" t="n"/>
      <c r="AH759" s="88" t="n"/>
      <c r="AI759" s="88" t="n"/>
      <c r="AJ759" s="90" t="n"/>
      <c r="AK759" s="88" t="n"/>
      <c r="AL759" s="91" t="n"/>
      <c r="AM759" s="88" t="n"/>
      <c r="AN759" s="95" t="n"/>
      <c r="AO759" s="90" t="n"/>
      <c r="AP759" s="90" t="n"/>
    </row>
    <row r="760" ht="14.25" customHeight="1" s="84">
      <c r="A760" s="51" t="n"/>
      <c r="B760" s="47" t="n"/>
      <c r="C760" s="51" t="n"/>
      <c r="D760" s="51" t="n"/>
      <c r="E760" s="51" t="n"/>
      <c r="F760" s="51" t="n"/>
      <c r="G760" s="47" t="n"/>
      <c r="H760" s="51" t="n"/>
      <c r="I760" s="51" t="n"/>
      <c r="J760" s="51" t="n"/>
      <c r="K760" s="51" t="n"/>
      <c r="L760" s="51" t="n"/>
      <c r="N760" s="51" t="n"/>
      <c r="Q760" s="51" t="n"/>
      <c r="S760" s="51" t="n"/>
      <c r="T760" s="51" t="n"/>
      <c r="U760" s="51" t="inlineStr"/>
      <c r="V760" s="55" t="n"/>
      <c r="W760" s="51" t="inlineStr"/>
      <c r="X760" s="51" t="inlineStr"/>
      <c r="Y760" s="51" t="n"/>
      <c r="AB760" s="57" t="n"/>
      <c r="AC760" s="90" t="n"/>
      <c r="AD760" s="90" t="n"/>
      <c r="AE760" s="88" t="n"/>
      <c r="AF760" s="91" t="n"/>
      <c r="AG760" s="91" t="n"/>
      <c r="AH760" s="88" t="n"/>
      <c r="AI760" s="88" t="n"/>
      <c r="AJ760" s="90" t="n"/>
      <c r="AK760" s="88" t="n"/>
      <c r="AL760" s="91" t="n"/>
      <c r="AM760" s="88" t="n"/>
      <c r="AN760" s="95" t="n"/>
      <c r="AO760" s="90" t="n"/>
      <c r="AP760" s="90" t="n"/>
    </row>
    <row r="761" ht="14.25" customHeight="1" s="84">
      <c r="A761" s="51" t="n"/>
      <c r="B761" s="47" t="n"/>
      <c r="C761" s="51" t="n"/>
      <c r="D761" s="51" t="n"/>
      <c r="E761" s="51" t="n"/>
      <c r="F761" s="51" t="n"/>
      <c r="G761" s="47" t="n"/>
      <c r="H761" s="51" t="n"/>
      <c r="I761" s="51" t="n"/>
      <c r="J761" s="51" t="n"/>
      <c r="K761" s="51" t="n"/>
      <c r="L761" s="51" t="n"/>
      <c r="N761" s="51" t="n"/>
      <c r="Q761" s="51" t="n"/>
      <c r="S761" s="51" t="n"/>
      <c r="T761" s="51" t="n"/>
      <c r="U761" s="51" t="inlineStr"/>
      <c r="V761" s="55" t="n"/>
      <c r="W761" s="51" t="inlineStr"/>
      <c r="X761" s="51" t="inlineStr"/>
      <c r="Y761" s="51" t="n"/>
      <c r="AB761" s="57" t="n"/>
      <c r="AC761" s="90" t="n"/>
      <c r="AD761" s="90" t="n"/>
      <c r="AE761" s="88" t="n"/>
      <c r="AF761" s="91" t="n"/>
      <c r="AG761" s="91" t="n"/>
      <c r="AH761" s="88" t="n"/>
      <c r="AI761" s="88" t="n"/>
      <c r="AJ761" s="90" t="n"/>
      <c r="AK761" s="88" t="n"/>
      <c r="AL761" s="91" t="n"/>
      <c r="AM761" s="88" t="n"/>
      <c r="AN761" s="95" t="n"/>
      <c r="AO761" s="90" t="n"/>
      <c r="AP761" s="90" t="n"/>
    </row>
    <row r="762" ht="14.25" customHeight="1" s="84">
      <c r="A762" s="51" t="n"/>
      <c r="B762" s="47" t="n"/>
      <c r="C762" s="51" t="n"/>
      <c r="D762" s="51" t="n"/>
      <c r="E762" s="51" t="n"/>
      <c r="F762" s="51" t="n"/>
      <c r="G762" s="47" t="n"/>
      <c r="H762" s="51" t="n"/>
      <c r="I762" s="51" t="n"/>
      <c r="J762" s="51" t="n"/>
      <c r="K762" s="51" t="n"/>
      <c r="L762" s="51" t="n"/>
      <c r="N762" s="51" t="n"/>
      <c r="Q762" s="51" t="n"/>
      <c r="S762" s="51" t="n"/>
      <c r="T762" s="51" t="n"/>
      <c r="U762" s="51" t="inlineStr"/>
      <c r="V762" s="55" t="n"/>
      <c r="W762" s="51" t="inlineStr"/>
      <c r="X762" s="51" t="inlineStr"/>
      <c r="Y762" s="51" t="n"/>
      <c r="AB762" s="57" t="n"/>
      <c r="AC762" s="90" t="n"/>
      <c r="AD762" s="90" t="n"/>
      <c r="AE762" s="88" t="n"/>
      <c r="AF762" s="91" t="n"/>
      <c r="AG762" s="91" t="n"/>
      <c r="AH762" s="88" t="n"/>
      <c r="AI762" s="88" t="n"/>
      <c r="AJ762" s="90" t="n"/>
      <c r="AK762" s="88" t="n"/>
      <c r="AL762" s="91" t="n"/>
      <c r="AM762" s="88" t="n"/>
      <c r="AN762" s="95" t="n"/>
      <c r="AO762" s="90" t="n"/>
      <c r="AP762" s="90" t="n"/>
    </row>
    <row r="763" ht="14.25" customHeight="1" s="84">
      <c r="A763" s="51" t="n"/>
      <c r="B763" s="47" t="n"/>
      <c r="C763" s="51" t="n"/>
      <c r="D763" s="51" t="n"/>
      <c r="E763" s="51" t="n"/>
      <c r="F763" s="51" t="n"/>
      <c r="G763" s="47" t="n"/>
      <c r="H763" s="51" t="n"/>
      <c r="I763" s="51" t="n"/>
      <c r="J763" s="51" t="n"/>
      <c r="K763" s="51" t="n"/>
      <c r="L763" s="51" t="n"/>
      <c r="N763" s="51" t="n"/>
      <c r="Q763" s="51" t="n"/>
      <c r="S763" s="51" t="n"/>
      <c r="T763" s="51" t="n"/>
      <c r="U763" s="51" t="inlineStr"/>
      <c r="V763" s="55" t="n"/>
      <c r="W763" s="51" t="inlineStr"/>
      <c r="X763" s="51" t="inlineStr"/>
      <c r="Y763" s="51" t="n"/>
      <c r="AB763" s="57" t="n"/>
      <c r="AC763" s="90" t="n"/>
      <c r="AD763" s="90" t="n"/>
      <c r="AE763" s="88" t="n"/>
      <c r="AF763" s="91" t="n"/>
      <c r="AG763" s="91" t="n"/>
      <c r="AH763" s="88" t="n"/>
      <c r="AI763" s="88" t="n"/>
      <c r="AJ763" s="90" t="n"/>
      <c r="AK763" s="88" t="n"/>
      <c r="AL763" s="91" t="n"/>
      <c r="AM763" s="88" t="n"/>
      <c r="AN763" s="95" t="n"/>
      <c r="AO763" s="90" t="n"/>
      <c r="AP763" s="90" t="n"/>
    </row>
    <row r="764" ht="14.25" customHeight="1" s="84">
      <c r="A764" s="51" t="n"/>
      <c r="B764" s="47" t="n"/>
      <c r="C764" s="51" t="n"/>
      <c r="D764" s="51" t="n"/>
      <c r="E764" s="51" t="n"/>
      <c r="F764" s="51" t="n"/>
      <c r="G764" s="47" t="n"/>
      <c r="H764" s="51" t="n"/>
      <c r="I764" s="51" t="n"/>
      <c r="J764" s="51" t="n"/>
      <c r="K764" s="51" t="n"/>
      <c r="L764" s="51" t="n"/>
      <c r="N764" s="51" t="n"/>
      <c r="Q764" s="51" t="n"/>
      <c r="S764" s="51" t="n"/>
      <c r="T764" s="51" t="n"/>
      <c r="U764" s="51" t="inlineStr"/>
      <c r="V764" s="55" t="n"/>
      <c r="W764" s="51" t="inlineStr"/>
      <c r="X764" s="51" t="inlineStr"/>
      <c r="Y764" s="51" t="n"/>
      <c r="AB764" s="57" t="n"/>
      <c r="AC764" s="90" t="n"/>
      <c r="AD764" s="90" t="n"/>
      <c r="AE764" s="88" t="n"/>
      <c r="AF764" s="91" t="n"/>
      <c r="AG764" s="91" t="n"/>
      <c r="AH764" s="88" t="n"/>
      <c r="AI764" s="88" t="n"/>
      <c r="AJ764" s="90" t="n"/>
      <c r="AK764" s="88" t="n"/>
      <c r="AL764" s="91" t="n"/>
      <c r="AM764" s="88" t="n"/>
      <c r="AN764" s="95" t="n"/>
      <c r="AO764" s="90" t="n"/>
      <c r="AP764" s="90" t="n"/>
    </row>
    <row r="765" ht="14.25" customHeight="1" s="84">
      <c r="A765" s="51" t="n"/>
      <c r="B765" s="47" t="n"/>
      <c r="C765" s="51" t="n"/>
      <c r="D765" s="51" t="n"/>
      <c r="E765" s="51" t="n"/>
      <c r="F765" s="51" t="n"/>
      <c r="G765" s="47" t="n"/>
      <c r="H765" s="51" t="n"/>
      <c r="I765" s="51" t="n"/>
      <c r="J765" s="51" t="n"/>
      <c r="K765" s="51" t="n"/>
      <c r="L765" s="51" t="n"/>
      <c r="N765" s="51" t="n"/>
      <c r="Q765" s="51" t="n"/>
      <c r="S765" s="51" t="n"/>
      <c r="T765" s="51" t="n"/>
      <c r="U765" s="51" t="inlineStr"/>
      <c r="V765" s="55" t="n"/>
      <c r="W765" s="51" t="inlineStr"/>
      <c r="X765" s="51" t="inlineStr"/>
      <c r="Y765" s="51" t="n"/>
      <c r="AB765" s="57" t="n"/>
      <c r="AC765" s="90" t="n"/>
      <c r="AD765" s="90" t="n"/>
      <c r="AE765" s="88" t="n"/>
      <c r="AF765" s="91" t="n"/>
      <c r="AG765" s="91" t="n"/>
      <c r="AH765" s="88" t="n"/>
      <c r="AI765" s="88" t="n"/>
      <c r="AJ765" s="90" t="n"/>
      <c r="AK765" s="88" t="n"/>
      <c r="AL765" s="91" t="n"/>
      <c r="AM765" s="88" t="n"/>
      <c r="AN765" s="95" t="n"/>
      <c r="AO765" s="90" t="n"/>
      <c r="AP765" s="90" t="n"/>
    </row>
    <row r="766" ht="14.25" customHeight="1" s="84">
      <c r="A766" s="51" t="n"/>
      <c r="B766" s="47" t="n"/>
      <c r="C766" s="51" t="n"/>
      <c r="D766" s="51" t="n"/>
      <c r="E766" s="51" t="n"/>
      <c r="F766" s="51" t="n"/>
      <c r="G766" s="47" t="n"/>
      <c r="H766" s="51" t="n"/>
      <c r="I766" s="51" t="n"/>
      <c r="J766" s="51" t="n"/>
      <c r="K766" s="51" t="n"/>
      <c r="L766" s="51" t="n"/>
      <c r="N766" s="51" t="n"/>
      <c r="Q766" s="51" t="n"/>
      <c r="S766" s="51" t="n"/>
      <c r="T766" s="51" t="n"/>
      <c r="U766" s="51" t="inlineStr"/>
      <c r="V766" s="55" t="n"/>
      <c r="W766" s="51" t="inlineStr"/>
      <c r="X766" s="51" t="inlineStr"/>
      <c r="Y766" s="51" t="n"/>
      <c r="AB766" s="57" t="n"/>
      <c r="AC766" s="90" t="n"/>
      <c r="AD766" s="90" t="n"/>
      <c r="AE766" s="88" t="n"/>
      <c r="AF766" s="91" t="n"/>
      <c r="AG766" s="91" t="n"/>
      <c r="AH766" s="88" t="n"/>
      <c r="AI766" s="88" t="n"/>
      <c r="AJ766" s="90" t="n"/>
      <c r="AK766" s="88" t="n"/>
      <c r="AL766" s="91" t="n"/>
      <c r="AM766" s="88" t="n"/>
      <c r="AN766" s="95" t="n"/>
      <c r="AO766" s="90" t="n"/>
      <c r="AP766" s="90" t="n"/>
    </row>
    <row r="767" ht="14.25" customHeight="1" s="84">
      <c r="A767" s="51" t="n"/>
      <c r="B767" s="47" t="n"/>
      <c r="C767" s="51" t="n"/>
      <c r="D767" s="51" t="n"/>
      <c r="E767" s="51" t="n"/>
      <c r="F767" s="51" t="n"/>
      <c r="G767" s="47" t="n"/>
      <c r="H767" s="51" t="n"/>
      <c r="I767" s="51" t="n"/>
      <c r="J767" s="51" t="n"/>
      <c r="K767" s="51" t="n"/>
      <c r="L767" s="51" t="n"/>
      <c r="N767" s="51" t="n"/>
      <c r="Q767" s="51" t="n"/>
      <c r="S767" s="51" t="n"/>
      <c r="T767" s="51" t="n"/>
      <c r="U767" s="51" t="inlineStr"/>
      <c r="V767" s="55" t="n"/>
      <c r="W767" s="51" t="inlineStr"/>
      <c r="X767" s="51" t="inlineStr"/>
      <c r="Y767" s="51" t="n"/>
      <c r="AB767" s="57" t="n"/>
      <c r="AC767" s="90" t="n"/>
      <c r="AD767" s="90" t="n"/>
      <c r="AE767" s="88" t="n"/>
      <c r="AF767" s="91" t="n"/>
      <c r="AG767" s="91" t="n"/>
      <c r="AH767" s="88" t="n"/>
      <c r="AI767" s="88" t="n"/>
      <c r="AJ767" s="90" t="n"/>
      <c r="AK767" s="88" t="n"/>
      <c r="AL767" s="91" t="n"/>
      <c r="AM767" s="88" t="n"/>
      <c r="AN767" s="95" t="n"/>
      <c r="AO767" s="90" t="n"/>
      <c r="AP767" s="90" t="n"/>
    </row>
    <row r="768" ht="14.25" customHeight="1" s="84">
      <c r="A768" s="51" t="n"/>
      <c r="B768" s="47" t="n"/>
      <c r="C768" s="51" t="n"/>
      <c r="D768" s="51" t="n"/>
      <c r="E768" s="51" t="n"/>
      <c r="F768" s="51" t="n"/>
      <c r="G768" s="47" t="n"/>
      <c r="H768" s="51" t="n"/>
      <c r="I768" s="51" t="n"/>
      <c r="J768" s="51" t="n"/>
      <c r="K768" s="51" t="n"/>
      <c r="L768" s="51" t="n"/>
      <c r="N768" s="51" t="n"/>
      <c r="Q768" s="51" t="n"/>
      <c r="S768" s="51" t="n"/>
      <c r="T768" s="51" t="n"/>
      <c r="U768" s="51" t="inlineStr"/>
      <c r="V768" s="55" t="n"/>
      <c r="W768" s="51" t="inlineStr"/>
      <c r="X768" s="51" t="inlineStr"/>
      <c r="Y768" s="51" t="n"/>
      <c r="AB768" s="57" t="n"/>
      <c r="AC768" s="90" t="n"/>
      <c r="AD768" s="90" t="n"/>
      <c r="AE768" s="88" t="n"/>
      <c r="AF768" s="91" t="n"/>
      <c r="AG768" s="91" t="n"/>
      <c r="AH768" s="88" t="n"/>
      <c r="AI768" s="88" t="n"/>
      <c r="AJ768" s="90" t="n"/>
      <c r="AK768" s="88" t="n"/>
      <c r="AL768" s="91" t="n"/>
      <c r="AM768" s="88" t="n"/>
      <c r="AN768" s="95" t="n"/>
      <c r="AO768" s="90" t="n"/>
      <c r="AP768" s="90" t="n"/>
    </row>
    <row r="769" ht="14.25" customHeight="1" s="84">
      <c r="A769" s="51" t="n"/>
      <c r="B769" s="47" t="n"/>
      <c r="C769" s="51" t="n"/>
      <c r="D769" s="51" t="n"/>
      <c r="E769" s="51" t="n"/>
      <c r="F769" s="51" t="n"/>
      <c r="G769" s="47" t="n"/>
      <c r="H769" s="51" t="n"/>
      <c r="I769" s="51" t="n"/>
      <c r="J769" s="51" t="n"/>
      <c r="K769" s="51" t="n"/>
      <c r="L769" s="51" t="n"/>
      <c r="N769" s="51" t="n"/>
      <c r="Q769" s="51" t="n"/>
      <c r="S769" s="51" t="n"/>
      <c r="T769" s="51" t="n"/>
      <c r="U769" s="51" t="inlineStr"/>
      <c r="V769" s="55" t="n"/>
      <c r="W769" s="51" t="inlineStr"/>
      <c r="X769" s="51" t="inlineStr"/>
      <c r="Y769" s="51" t="n"/>
      <c r="AB769" s="57" t="n"/>
      <c r="AC769" s="90" t="n"/>
      <c r="AD769" s="90" t="n"/>
      <c r="AE769" s="88" t="n"/>
      <c r="AF769" s="91" t="n"/>
      <c r="AG769" s="91" t="n"/>
      <c r="AH769" s="88" t="n"/>
      <c r="AI769" s="88" t="n"/>
      <c r="AJ769" s="90" t="n"/>
      <c r="AK769" s="88" t="n"/>
      <c r="AL769" s="91" t="n"/>
      <c r="AM769" s="88" t="n"/>
      <c r="AN769" s="95" t="n"/>
      <c r="AO769" s="90" t="n"/>
      <c r="AP769" s="90" t="n"/>
    </row>
    <row r="770" ht="14.25" customHeight="1" s="84">
      <c r="A770" s="51" t="n"/>
      <c r="B770" s="47" t="n"/>
      <c r="C770" s="51" t="n"/>
      <c r="D770" s="51" t="n"/>
      <c r="E770" s="51" t="n"/>
      <c r="F770" s="51" t="n"/>
      <c r="G770" s="47" t="n"/>
      <c r="H770" s="51" t="n"/>
      <c r="I770" s="51" t="n"/>
      <c r="J770" s="51" t="n"/>
      <c r="K770" s="51" t="n"/>
      <c r="L770" s="51" t="n"/>
      <c r="N770" s="51" t="n"/>
      <c r="Q770" s="51" t="n"/>
      <c r="S770" s="51" t="n"/>
      <c r="T770" s="51" t="n"/>
      <c r="U770" s="51" t="inlineStr"/>
      <c r="V770" s="55" t="n"/>
      <c r="W770" s="51" t="inlineStr"/>
      <c r="X770" s="51" t="inlineStr"/>
      <c r="Y770" s="51" t="n"/>
      <c r="AB770" s="57" t="n"/>
      <c r="AC770" s="90" t="n"/>
      <c r="AD770" s="90" t="n"/>
      <c r="AE770" s="88" t="n"/>
      <c r="AF770" s="91" t="n"/>
      <c r="AG770" s="91" t="n"/>
      <c r="AH770" s="88" t="n"/>
      <c r="AI770" s="88" t="n"/>
      <c r="AJ770" s="90" t="n"/>
      <c r="AK770" s="88" t="n"/>
      <c r="AL770" s="91" t="n"/>
      <c r="AM770" s="88" t="n"/>
      <c r="AN770" s="95" t="n"/>
      <c r="AO770" s="90" t="n"/>
      <c r="AP770" s="90" t="n"/>
    </row>
    <row r="771" ht="14.25" customHeight="1" s="84">
      <c r="A771" s="51" t="n"/>
      <c r="B771" s="47" t="n"/>
      <c r="C771" s="51" t="n"/>
      <c r="D771" s="51" t="n"/>
      <c r="E771" s="51" t="n"/>
      <c r="F771" s="51" t="n"/>
      <c r="G771" s="47" t="n"/>
      <c r="H771" s="51" t="n"/>
      <c r="I771" s="51" t="n"/>
      <c r="J771" s="51" t="n"/>
      <c r="K771" s="51" t="n"/>
      <c r="L771" s="51" t="n"/>
      <c r="N771" s="51" t="n"/>
      <c r="Q771" s="51" t="n"/>
      <c r="S771" s="51" t="n"/>
      <c r="T771" s="51" t="n"/>
      <c r="U771" s="51" t="inlineStr"/>
      <c r="V771" s="55" t="n"/>
      <c r="W771" s="51" t="inlineStr"/>
      <c r="X771" s="51" t="inlineStr"/>
      <c r="Y771" s="51" t="n"/>
      <c r="AB771" s="57" t="n"/>
      <c r="AC771" s="90" t="n"/>
      <c r="AD771" s="90" t="n"/>
      <c r="AE771" s="88" t="n"/>
      <c r="AF771" s="91" t="n"/>
      <c r="AG771" s="91" t="n"/>
      <c r="AH771" s="88" t="n"/>
      <c r="AI771" s="88" t="n"/>
      <c r="AJ771" s="90" t="n"/>
      <c r="AK771" s="88" t="n"/>
      <c r="AL771" s="91" t="n"/>
      <c r="AM771" s="88" t="n"/>
      <c r="AN771" s="95" t="n"/>
      <c r="AO771" s="90" t="n"/>
      <c r="AP771" s="90" t="n"/>
    </row>
    <row r="772" ht="14.25" customHeight="1" s="84">
      <c r="A772" s="51" t="n"/>
      <c r="B772" s="47" t="n"/>
      <c r="C772" s="51" t="n"/>
      <c r="D772" s="51" t="n"/>
      <c r="E772" s="51" t="n"/>
      <c r="F772" s="51" t="n"/>
      <c r="G772" s="47" t="n"/>
      <c r="H772" s="51" t="n"/>
      <c r="I772" s="51" t="n"/>
      <c r="J772" s="51" t="n"/>
      <c r="K772" s="51" t="n"/>
      <c r="L772" s="51" t="n"/>
      <c r="N772" s="51" t="n"/>
      <c r="Q772" s="51" t="n"/>
      <c r="S772" s="51" t="n"/>
      <c r="T772" s="51" t="n"/>
      <c r="U772" s="51" t="inlineStr"/>
      <c r="V772" s="55" t="n"/>
      <c r="W772" s="51" t="inlineStr"/>
      <c r="X772" s="51" t="inlineStr"/>
      <c r="Y772" s="51" t="n"/>
      <c r="AB772" s="57" t="n"/>
      <c r="AC772" s="90" t="n"/>
      <c r="AD772" s="90" t="n"/>
      <c r="AE772" s="88" t="n"/>
      <c r="AF772" s="91" t="n"/>
      <c r="AG772" s="91" t="n"/>
      <c r="AH772" s="88" t="n"/>
      <c r="AI772" s="88" t="n"/>
      <c r="AJ772" s="90" t="n"/>
      <c r="AK772" s="88" t="n"/>
      <c r="AL772" s="91" t="n"/>
      <c r="AM772" s="88" t="n"/>
      <c r="AN772" s="95" t="n"/>
      <c r="AO772" s="90" t="n"/>
      <c r="AP772" s="90" t="n"/>
    </row>
    <row r="773" ht="14.25" customHeight="1" s="84">
      <c r="A773" s="51" t="n"/>
      <c r="B773" s="47" t="n"/>
      <c r="C773" s="51" t="n"/>
      <c r="D773" s="51" t="n"/>
      <c r="E773" s="51" t="n"/>
      <c r="F773" s="51" t="n"/>
      <c r="G773" s="47" t="n"/>
      <c r="H773" s="51" t="n"/>
      <c r="I773" s="51" t="n"/>
      <c r="J773" s="51" t="n"/>
      <c r="K773" s="51" t="n"/>
      <c r="L773" s="51" t="n"/>
      <c r="N773" s="51" t="n"/>
      <c r="Q773" s="51" t="n"/>
      <c r="S773" s="51" t="n"/>
      <c r="T773" s="51" t="n"/>
      <c r="U773" s="51" t="inlineStr"/>
      <c r="V773" s="55" t="n"/>
      <c r="W773" s="51" t="inlineStr"/>
      <c r="X773" s="51" t="inlineStr"/>
      <c r="Y773" s="51" t="n"/>
      <c r="AB773" s="57" t="n"/>
      <c r="AC773" s="90" t="n"/>
      <c r="AD773" s="90" t="n"/>
      <c r="AE773" s="88" t="n"/>
      <c r="AF773" s="91" t="n"/>
      <c r="AG773" s="91" t="n"/>
      <c r="AH773" s="88" t="n"/>
      <c r="AI773" s="88" t="n"/>
      <c r="AJ773" s="90" t="n"/>
      <c r="AK773" s="88" t="n"/>
      <c r="AL773" s="91" t="n"/>
      <c r="AM773" s="88" t="n"/>
      <c r="AN773" s="95" t="n"/>
      <c r="AO773" s="90" t="n"/>
      <c r="AP773" s="90" t="n"/>
    </row>
    <row r="774" ht="14.25" customHeight="1" s="84">
      <c r="A774" s="51" t="n"/>
      <c r="B774" s="47" t="n"/>
      <c r="C774" s="51" t="n"/>
      <c r="D774" s="51" t="n"/>
      <c r="E774" s="51" t="n"/>
      <c r="F774" s="51" t="n"/>
      <c r="G774" s="47" t="n"/>
      <c r="H774" s="51" t="n"/>
      <c r="I774" s="51" t="n"/>
      <c r="J774" s="51" t="n"/>
      <c r="K774" s="51" t="n"/>
      <c r="L774" s="51" t="n"/>
      <c r="N774" s="51" t="n"/>
      <c r="Q774" s="51" t="n"/>
      <c r="S774" s="51" t="n"/>
      <c r="T774" s="51" t="n"/>
      <c r="U774" s="51" t="inlineStr"/>
      <c r="V774" s="55" t="n"/>
      <c r="W774" s="51" t="inlineStr"/>
      <c r="X774" s="51" t="inlineStr"/>
      <c r="Y774" s="51" t="n"/>
      <c r="AB774" s="57" t="n"/>
      <c r="AC774" s="90" t="n"/>
      <c r="AD774" s="90" t="n"/>
      <c r="AE774" s="88" t="n"/>
      <c r="AF774" s="91" t="n"/>
      <c r="AG774" s="91" t="n"/>
      <c r="AH774" s="88" t="n"/>
      <c r="AI774" s="88" t="n"/>
      <c r="AJ774" s="90" t="n"/>
      <c r="AK774" s="88" t="n"/>
      <c r="AL774" s="91" t="n"/>
      <c r="AM774" s="88" t="n"/>
      <c r="AN774" s="95" t="n"/>
      <c r="AO774" s="90" t="n"/>
      <c r="AP774" s="90" t="n"/>
    </row>
    <row r="775" ht="14.25" customHeight="1" s="84">
      <c r="A775" s="51" t="n"/>
      <c r="B775" s="47" t="n"/>
      <c r="C775" s="51" t="n"/>
      <c r="D775" s="51" t="n"/>
      <c r="E775" s="51" t="n"/>
      <c r="F775" s="51" t="n"/>
      <c r="G775" s="47" t="n"/>
      <c r="H775" s="51" t="n"/>
      <c r="I775" s="51" t="n"/>
      <c r="J775" s="51" t="n"/>
      <c r="K775" s="51" t="n"/>
      <c r="L775" s="51" t="n"/>
      <c r="N775" s="51" t="n"/>
      <c r="Q775" s="51" t="n"/>
      <c r="S775" s="51" t="n"/>
      <c r="T775" s="51" t="n"/>
      <c r="U775" s="51" t="inlineStr"/>
      <c r="V775" s="55" t="n"/>
      <c r="W775" s="51" t="inlineStr"/>
      <c r="X775" s="51" t="inlineStr"/>
      <c r="Y775" s="51" t="n"/>
      <c r="AB775" s="57" t="n"/>
      <c r="AC775" s="90" t="n"/>
      <c r="AD775" s="90" t="n"/>
      <c r="AE775" s="88" t="n"/>
      <c r="AF775" s="91" t="n"/>
      <c r="AG775" s="91" t="n"/>
      <c r="AH775" s="88" t="n"/>
      <c r="AI775" s="88" t="n"/>
      <c r="AJ775" s="90" t="n"/>
      <c r="AK775" s="88" t="n"/>
      <c r="AL775" s="91" t="n"/>
      <c r="AM775" s="88" t="n"/>
      <c r="AN775" s="95" t="n"/>
      <c r="AO775" s="90" t="n"/>
      <c r="AP775" s="90" t="n"/>
    </row>
    <row r="776" ht="14.25" customHeight="1" s="84">
      <c r="A776" s="51" t="n"/>
      <c r="B776" s="47" t="n"/>
      <c r="C776" s="51" t="n"/>
      <c r="D776" s="51" t="n"/>
      <c r="E776" s="51" t="n"/>
      <c r="F776" s="51" t="n"/>
      <c r="G776" s="47" t="n"/>
      <c r="H776" s="51" t="n"/>
      <c r="I776" s="51" t="n"/>
      <c r="J776" s="51" t="n"/>
      <c r="K776" s="51" t="n"/>
      <c r="L776" s="51" t="n"/>
      <c r="N776" s="51" t="n"/>
      <c r="Q776" s="51" t="n"/>
      <c r="S776" s="51" t="n"/>
      <c r="T776" s="51" t="n"/>
      <c r="U776" s="51" t="inlineStr"/>
      <c r="V776" s="55" t="n"/>
      <c r="W776" s="51" t="inlineStr"/>
      <c r="X776" s="51" t="inlineStr"/>
      <c r="Y776" s="51" t="n"/>
      <c r="AB776" s="57" t="n"/>
      <c r="AC776" s="90" t="n"/>
      <c r="AD776" s="90" t="n"/>
      <c r="AE776" s="88" t="n"/>
      <c r="AF776" s="91" t="n"/>
      <c r="AG776" s="91" t="n"/>
      <c r="AH776" s="88" t="n"/>
      <c r="AI776" s="88" t="n"/>
      <c r="AJ776" s="90" t="n"/>
      <c r="AK776" s="88" t="n"/>
      <c r="AL776" s="91" t="n"/>
      <c r="AM776" s="88" t="n"/>
      <c r="AN776" s="95" t="n"/>
      <c r="AO776" s="90" t="n"/>
      <c r="AP776" s="90" t="n"/>
    </row>
    <row r="777" ht="14.25" customHeight="1" s="84">
      <c r="A777" s="51" t="n"/>
      <c r="B777" s="47" t="n"/>
      <c r="C777" s="51" t="n"/>
      <c r="D777" s="51" t="n"/>
      <c r="E777" s="51" t="n"/>
      <c r="F777" s="51" t="n"/>
      <c r="G777" s="47" t="n"/>
      <c r="H777" s="51" t="n"/>
      <c r="I777" s="51" t="n"/>
      <c r="J777" s="51" t="n"/>
      <c r="K777" s="51" t="n"/>
      <c r="L777" s="51" t="n"/>
      <c r="N777" s="51" t="n"/>
      <c r="Q777" s="51" t="n"/>
      <c r="S777" s="51" t="n"/>
      <c r="T777" s="51" t="n"/>
      <c r="U777" s="51" t="inlineStr"/>
      <c r="V777" s="55" t="n"/>
      <c r="W777" s="51" t="inlineStr"/>
      <c r="X777" s="51" t="inlineStr"/>
      <c r="Y777" s="51" t="n"/>
      <c r="AB777" s="57" t="n"/>
      <c r="AC777" s="90" t="n"/>
      <c r="AD777" s="90" t="n"/>
      <c r="AE777" s="88" t="n"/>
      <c r="AF777" s="91" t="n"/>
      <c r="AG777" s="91" t="n"/>
      <c r="AH777" s="88" t="n"/>
      <c r="AI777" s="88" t="n"/>
      <c r="AJ777" s="90" t="n"/>
      <c r="AK777" s="88" t="n"/>
      <c r="AL777" s="91" t="n"/>
      <c r="AM777" s="88" t="n"/>
      <c r="AN777" s="95" t="n"/>
      <c r="AO777" s="90" t="n"/>
      <c r="AP777" s="90" t="n"/>
    </row>
    <row r="778" ht="14.25" customHeight="1" s="84">
      <c r="A778" s="51" t="n"/>
      <c r="B778" s="47" t="n"/>
      <c r="C778" s="51" t="n"/>
      <c r="D778" s="51" t="n"/>
      <c r="E778" s="51" t="n"/>
      <c r="F778" s="51" t="n"/>
      <c r="G778" s="47" t="n"/>
      <c r="H778" s="51" t="n"/>
      <c r="I778" s="51" t="n"/>
      <c r="J778" s="51" t="n"/>
      <c r="K778" s="51" t="n"/>
      <c r="L778" s="51" t="n"/>
      <c r="N778" s="51" t="n"/>
      <c r="Q778" s="51" t="n"/>
      <c r="S778" s="51" t="n"/>
      <c r="T778" s="51" t="n"/>
      <c r="U778" s="51" t="inlineStr"/>
      <c r="V778" s="55" t="n"/>
      <c r="W778" s="51" t="inlineStr"/>
      <c r="X778" s="51" t="inlineStr"/>
      <c r="Y778" s="51" t="n"/>
      <c r="AB778" s="57" t="n"/>
      <c r="AC778" s="90" t="n"/>
      <c r="AD778" s="90" t="n"/>
      <c r="AE778" s="88" t="n"/>
      <c r="AF778" s="91" t="n"/>
      <c r="AG778" s="91" t="n"/>
      <c r="AH778" s="88" t="n"/>
      <c r="AI778" s="88" t="n"/>
      <c r="AJ778" s="90" t="n"/>
      <c r="AK778" s="88" t="n"/>
      <c r="AL778" s="91" t="n"/>
      <c r="AM778" s="88" t="n"/>
      <c r="AN778" s="95" t="n"/>
      <c r="AO778" s="90" t="n"/>
      <c r="AP778" s="90" t="n"/>
    </row>
    <row r="779" ht="14.25" customHeight="1" s="84">
      <c r="A779" s="51" t="n"/>
      <c r="B779" s="47" t="n"/>
      <c r="C779" s="51" t="n"/>
      <c r="D779" s="51" t="n"/>
      <c r="E779" s="51" t="n"/>
      <c r="F779" s="51" t="n"/>
      <c r="G779" s="47" t="n"/>
      <c r="H779" s="51" t="n"/>
      <c r="I779" s="51" t="n"/>
      <c r="J779" s="51" t="n"/>
      <c r="K779" s="51" t="n"/>
      <c r="L779" s="51" t="n"/>
      <c r="N779" s="51" t="n"/>
      <c r="Q779" s="51" t="n"/>
      <c r="S779" s="51" t="n"/>
      <c r="T779" s="51" t="n"/>
      <c r="U779" s="51" t="inlineStr"/>
      <c r="V779" s="55" t="n"/>
      <c r="W779" s="51" t="inlineStr"/>
      <c r="X779" s="51" t="inlineStr"/>
      <c r="Y779" s="51" t="n"/>
      <c r="AB779" s="57" t="n"/>
      <c r="AC779" s="90" t="n"/>
      <c r="AD779" s="90" t="n"/>
      <c r="AE779" s="88" t="n"/>
      <c r="AF779" s="91" t="n"/>
      <c r="AG779" s="91" t="n"/>
      <c r="AH779" s="88" t="n"/>
      <c r="AI779" s="88" t="n"/>
      <c r="AJ779" s="90" t="n"/>
      <c r="AK779" s="88" t="n"/>
      <c r="AL779" s="91" t="n"/>
      <c r="AM779" s="88" t="n"/>
      <c r="AN779" s="95" t="n"/>
      <c r="AO779" s="90" t="n"/>
      <c r="AP779" s="90" t="n"/>
    </row>
    <row r="780" ht="14.25" customHeight="1" s="84">
      <c r="A780" s="51" t="n"/>
      <c r="B780" s="47" t="n"/>
      <c r="C780" s="51" t="n"/>
      <c r="D780" s="51" t="n"/>
      <c r="E780" s="51" t="n"/>
      <c r="F780" s="51" t="n"/>
      <c r="G780" s="47" t="n"/>
      <c r="H780" s="51" t="n"/>
      <c r="I780" s="51" t="n"/>
      <c r="J780" s="51" t="n"/>
      <c r="K780" s="51" t="n"/>
      <c r="L780" s="51" t="n"/>
      <c r="N780" s="51" t="n"/>
      <c r="Q780" s="51" t="n"/>
      <c r="S780" s="51" t="n"/>
      <c r="T780" s="51" t="n"/>
      <c r="U780" s="51" t="inlineStr"/>
      <c r="V780" s="55" t="n"/>
      <c r="W780" s="51" t="inlineStr"/>
      <c r="X780" s="51" t="inlineStr"/>
      <c r="Y780" s="51" t="n"/>
      <c r="AB780" s="57" t="n"/>
      <c r="AC780" s="90" t="n"/>
      <c r="AD780" s="90" t="n"/>
      <c r="AE780" s="88" t="n"/>
      <c r="AF780" s="91" t="n"/>
      <c r="AG780" s="91" t="n"/>
      <c r="AH780" s="88" t="n"/>
      <c r="AI780" s="88" t="n"/>
      <c r="AJ780" s="90" t="n"/>
      <c r="AK780" s="88" t="n"/>
      <c r="AL780" s="91" t="n"/>
      <c r="AM780" s="88" t="n"/>
      <c r="AN780" s="95" t="n"/>
      <c r="AO780" s="90" t="n"/>
      <c r="AP780" s="90" t="n"/>
    </row>
    <row r="781" ht="14.25" customHeight="1" s="84">
      <c r="A781" s="51" t="n"/>
      <c r="B781" s="47" t="n"/>
      <c r="C781" s="51" t="n"/>
      <c r="D781" s="51" t="n"/>
      <c r="E781" s="51" t="n"/>
      <c r="F781" s="51" t="n"/>
      <c r="G781" s="47" t="n"/>
      <c r="H781" s="51" t="n"/>
      <c r="I781" s="51" t="n"/>
      <c r="J781" s="51" t="n"/>
      <c r="K781" s="51" t="n"/>
      <c r="L781" s="51" t="n"/>
      <c r="N781" s="51" t="n"/>
      <c r="Q781" s="51" t="n"/>
      <c r="S781" s="51" t="n"/>
      <c r="T781" s="51" t="n"/>
      <c r="U781" s="51" t="inlineStr"/>
      <c r="V781" s="55" t="n"/>
      <c r="W781" s="51" t="inlineStr"/>
      <c r="X781" s="51" t="inlineStr"/>
      <c r="Y781" s="51" t="n"/>
      <c r="AB781" s="57" t="n"/>
      <c r="AC781" s="90" t="n"/>
      <c r="AD781" s="90" t="n"/>
      <c r="AE781" s="88" t="n"/>
      <c r="AF781" s="91" t="n"/>
      <c r="AG781" s="91" t="n"/>
      <c r="AH781" s="88" t="n"/>
      <c r="AI781" s="88" t="n"/>
      <c r="AJ781" s="90" t="n"/>
      <c r="AK781" s="88" t="n"/>
      <c r="AL781" s="91" t="n"/>
      <c r="AM781" s="88" t="n"/>
      <c r="AN781" s="95" t="n"/>
      <c r="AO781" s="90" t="n"/>
      <c r="AP781" s="90" t="n"/>
    </row>
    <row r="782" ht="14.25" customHeight="1" s="84">
      <c r="A782" s="51" t="n"/>
      <c r="B782" s="47" t="n"/>
      <c r="C782" s="51" t="n"/>
      <c r="D782" s="51" t="n"/>
      <c r="E782" s="51" t="n"/>
      <c r="F782" s="51" t="n"/>
      <c r="G782" s="47" t="n"/>
      <c r="H782" s="51" t="n"/>
      <c r="I782" s="51" t="n"/>
      <c r="J782" s="51" t="n"/>
      <c r="K782" s="51" t="n"/>
      <c r="L782" s="51" t="n"/>
      <c r="N782" s="51" t="n"/>
      <c r="Q782" s="51" t="n"/>
      <c r="S782" s="51" t="n"/>
      <c r="T782" s="51" t="n"/>
      <c r="U782" s="51" t="inlineStr"/>
      <c r="V782" s="55" t="n"/>
      <c r="W782" s="51" t="inlineStr"/>
      <c r="X782" s="51" t="inlineStr"/>
      <c r="Y782" s="51" t="n"/>
      <c r="AB782" s="57" t="n"/>
      <c r="AC782" s="90" t="n"/>
      <c r="AD782" s="90" t="n"/>
      <c r="AE782" s="88" t="n"/>
      <c r="AF782" s="91" t="n"/>
      <c r="AG782" s="91" t="n"/>
      <c r="AH782" s="88" t="n"/>
      <c r="AI782" s="88" t="n"/>
      <c r="AJ782" s="90" t="n"/>
      <c r="AK782" s="88" t="n"/>
      <c r="AL782" s="91" t="n"/>
      <c r="AM782" s="88" t="n"/>
      <c r="AN782" s="95" t="n"/>
      <c r="AO782" s="90" t="n"/>
      <c r="AP782" s="90" t="n"/>
    </row>
    <row r="783" ht="14.25" customHeight="1" s="84">
      <c r="A783" s="51" t="n"/>
      <c r="B783" s="47" t="n"/>
      <c r="C783" s="51" t="n"/>
      <c r="D783" s="51" t="n"/>
      <c r="E783" s="51" t="n"/>
      <c r="F783" s="51" t="n"/>
      <c r="G783" s="47" t="n"/>
      <c r="H783" s="51" t="n"/>
      <c r="I783" s="51" t="n"/>
      <c r="J783" s="51" t="n"/>
      <c r="K783" s="51" t="n"/>
      <c r="L783" s="51" t="n"/>
      <c r="N783" s="51" t="n"/>
      <c r="Q783" s="51" t="n"/>
      <c r="S783" s="51" t="n"/>
      <c r="T783" s="51" t="n"/>
      <c r="U783" s="51" t="inlineStr"/>
      <c r="V783" s="55" t="n"/>
      <c r="W783" s="51" t="inlineStr"/>
      <c r="X783" s="51" t="inlineStr"/>
      <c r="Y783" s="51" t="n"/>
      <c r="AB783" s="57" t="n"/>
      <c r="AC783" s="90" t="n"/>
      <c r="AD783" s="90" t="n"/>
      <c r="AE783" s="88" t="n"/>
      <c r="AF783" s="91" t="n"/>
      <c r="AG783" s="91" t="n"/>
      <c r="AH783" s="88" t="n"/>
      <c r="AI783" s="88" t="n"/>
      <c r="AJ783" s="90" t="n"/>
      <c r="AK783" s="88" t="n"/>
      <c r="AL783" s="91" t="n"/>
      <c r="AM783" s="88" t="n"/>
      <c r="AN783" s="95" t="n"/>
      <c r="AO783" s="90" t="n"/>
      <c r="AP783" s="90" t="n"/>
    </row>
    <row r="784" ht="14.25" customHeight="1" s="84">
      <c r="A784" s="51" t="n"/>
      <c r="B784" s="47" t="n"/>
      <c r="C784" s="51" t="n"/>
      <c r="D784" s="51" t="n"/>
      <c r="E784" s="51" t="n"/>
      <c r="F784" s="51" t="n"/>
      <c r="G784" s="47" t="n"/>
      <c r="H784" s="51" t="n"/>
      <c r="I784" s="51" t="n"/>
      <c r="J784" s="51" t="n"/>
      <c r="K784" s="51" t="n"/>
      <c r="L784" s="51" t="n"/>
      <c r="N784" s="51" t="n"/>
      <c r="Q784" s="51" t="n"/>
      <c r="S784" s="51" t="n"/>
      <c r="T784" s="51" t="n"/>
      <c r="U784" s="51" t="inlineStr"/>
      <c r="V784" s="55" t="n"/>
      <c r="W784" s="51" t="inlineStr"/>
      <c r="X784" s="51" t="inlineStr"/>
      <c r="Y784" s="51" t="n"/>
      <c r="AB784" s="57" t="n"/>
      <c r="AC784" s="90" t="n"/>
      <c r="AD784" s="90" t="n"/>
      <c r="AE784" s="88" t="n"/>
      <c r="AF784" s="91" t="n"/>
      <c r="AG784" s="91" t="n"/>
      <c r="AH784" s="88" t="n"/>
      <c r="AI784" s="88" t="n"/>
      <c r="AJ784" s="90" t="n"/>
      <c r="AK784" s="88" t="n"/>
      <c r="AL784" s="91" t="n"/>
      <c r="AM784" s="88" t="n"/>
      <c r="AN784" s="95" t="n"/>
      <c r="AO784" s="90" t="n"/>
      <c r="AP784" s="90" t="n"/>
    </row>
    <row r="785" ht="14.25" customHeight="1" s="84">
      <c r="A785" s="51" t="n"/>
      <c r="B785" s="47" t="n"/>
      <c r="C785" s="51" t="n"/>
      <c r="D785" s="51" t="n"/>
      <c r="E785" s="51" t="n"/>
      <c r="F785" s="51" t="n"/>
      <c r="G785" s="47" t="n"/>
      <c r="H785" s="51" t="n"/>
      <c r="I785" s="51" t="n"/>
      <c r="J785" s="51" t="n"/>
      <c r="K785" s="51" t="n"/>
      <c r="L785" s="51" t="n"/>
      <c r="N785" s="51" t="n"/>
      <c r="Q785" s="51" t="n"/>
      <c r="S785" s="51" t="n"/>
      <c r="T785" s="51" t="n"/>
      <c r="U785" s="51" t="inlineStr"/>
      <c r="V785" s="55" t="n"/>
      <c r="W785" s="51" t="inlineStr"/>
      <c r="X785" s="51" t="inlineStr"/>
      <c r="Y785" s="51" t="n"/>
      <c r="AB785" s="57" t="n"/>
      <c r="AC785" s="90" t="n"/>
      <c r="AD785" s="90" t="n"/>
      <c r="AE785" s="88" t="n"/>
      <c r="AF785" s="91" t="n"/>
      <c r="AG785" s="91" t="n"/>
      <c r="AH785" s="88" t="n"/>
      <c r="AI785" s="88" t="n"/>
      <c r="AJ785" s="90" t="n"/>
      <c r="AK785" s="88" t="n"/>
      <c r="AL785" s="91" t="n"/>
      <c r="AM785" s="88" t="n"/>
      <c r="AN785" s="95" t="n"/>
      <c r="AO785" s="90" t="n"/>
      <c r="AP785" s="90" t="n"/>
    </row>
    <row r="786" ht="14.25" customHeight="1" s="84">
      <c r="A786" s="51" t="n"/>
      <c r="B786" s="47" t="n"/>
      <c r="C786" s="51" t="n"/>
      <c r="D786" s="51" t="n"/>
      <c r="E786" s="51" t="n"/>
      <c r="F786" s="51" t="n"/>
      <c r="G786" s="47" t="n"/>
      <c r="H786" s="51" t="n"/>
      <c r="I786" s="51" t="n"/>
      <c r="J786" s="51" t="n"/>
      <c r="K786" s="51" t="n"/>
      <c r="L786" s="51" t="n"/>
      <c r="N786" s="51" t="n"/>
      <c r="Q786" s="51" t="n"/>
      <c r="S786" s="51" t="n"/>
      <c r="T786" s="51" t="n"/>
      <c r="U786" s="51" t="inlineStr"/>
      <c r="V786" s="55" t="n"/>
      <c r="W786" s="51" t="inlineStr"/>
      <c r="X786" s="51" t="inlineStr"/>
      <c r="Y786" s="51" t="n"/>
      <c r="AB786" s="57" t="n"/>
      <c r="AC786" s="90" t="n"/>
      <c r="AD786" s="90" t="n"/>
      <c r="AE786" s="88" t="n"/>
      <c r="AF786" s="91" t="n"/>
      <c r="AG786" s="91" t="n"/>
      <c r="AH786" s="88" t="n"/>
      <c r="AI786" s="88" t="n"/>
      <c r="AJ786" s="90" t="n"/>
      <c r="AK786" s="88" t="n"/>
      <c r="AL786" s="91" t="n"/>
      <c r="AM786" s="88" t="n"/>
      <c r="AN786" s="95" t="n"/>
      <c r="AO786" s="90" t="n"/>
      <c r="AP786" s="90" t="n"/>
    </row>
    <row r="787" ht="14.25" customHeight="1" s="84">
      <c r="A787" s="51" t="n"/>
      <c r="B787" s="47" t="n"/>
      <c r="C787" s="51" t="n"/>
      <c r="D787" s="51" t="n"/>
      <c r="E787" s="51" t="n"/>
      <c r="F787" s="51" t="n"/>
      <c r="G787" s="47" t="n"/>
      <c r="H787" s="51" t="n"/>
      <c r="I787" s="51" t="n"/>
      <c r="J787" s="51" t="n"/>
      <c r="K787" s="51" t="n"/>
      <c r="L787" s="51" t="n"/>
      <c r="N787" s="51" t="n"/>
      <c r="Q787" s="51" t="n"/>
      <c r="S787" s="51" t="n"/>
      <c r="T787" s="51" t="n"/>
      <c r="U787" s="51" t="inlineStr"/>
      <c r="V787" s="55" t="n"/>
      <c r="W787" s="51" t="inlineStr"/>
      <c r="X787" s="51" t="inlineStr"/>
      <c r="Y787" s="51" t="n"/>
      <c r="AB787" s="57" t="n"/>
      <c r="AC787" s="90" t="n"/>
      <c r="AD787" s="90" t="n"/>
      <c r="AE787" s="88" t="n"/>
      <c r="AF787" s="91" t="n"/>
      <c r="AG787" s="91" t="n"/>
      <c r="AH787" s="88" t="n"/>
      <c r="AI787" s="88" t="n"/>
      <c r="AJ787" s="90" t="n"/>
      <c r="AK787" s="88" t="n"/>
      <c r="AL787" s="91" t="n"/>
      <c r="AM787" s="88" t="n"/>
      <c r="AN787" s="95" t="n"/>
      <c r="AO787" s="90" t="n"/>
      <c r="AP787" s="90" t="n"/>
    </row>
    <row r="788" ht="14.25" customHeight="1" s="84">
      <c r="A788" s="51" t="n"/>
      <c r="B788" s="47" t="n"/>
      <c r="C788" s="51" t="n"/>
      <c r="D788" s="51" t="n"/>
      <c r="E788" s="51" t="n"/>
      <c r="F788" s="51" t="n"/>
      <c r="G788" s="47" t="n"/>
      <c r="H788" s="51" t="n"/>
      <c r="I788" s="51" t="n"/>
      <c r="J788" s="51" t="n"/>
      <c r="K788" s="51" t="n"/>
      <c r="L788" s="51" t="n"/>
      <c r="N788" s="51" t="n"/>
      <c r="Q788" s="51" t="n"/>
      <c r="S788" s="51" t="n"/>
      <c r="T788" s="51" t="n"/>
      <c r="U788" s="51" t="inlineStr"/>
      <c r="V788" s="55" t="n"/>
      <c r="W788" s="51" t="inlineStr"/>
      <c r="X788" s="51" t="inlineStr"/>
      <c r="Y788" s="51" t="n"/>
      <c r="AB788" s="57" t="n"/>
      <c r="AC788" s="90" t="n"/>
      <c r="AD788" s="90" t="n"/>
      <c r="AE788" s="88" t="n"/>
      <c r="AF788" s="91" t="n"/>
      <c r="AG788" s="91" t="n"/>
      <c r="AH788" s="88" t="n"/>
      <c r="AI788" s="88" t="n"/>
      <c r="AJ788" s="90" t="n"/>
      <c r="AK788" s="88" t="n"/>
      <c r="AL788" s="91" t="n"/>
      <c r="AM788" s="88" t="n"/>
      <c r="AN788" s="95" t="n"/>
      <c r="AO788" s="90" t="n"/>
      <c r="AP788" s="90" t="n"/>
    </row>
    <row r="789" ht="14.25" customHeight="1" s="84">
      <c r="A789" s="51" t="n"/>
      <c r="B789" s="47" t="n"/>
      <c r="C789" s="51" t="n"/>
      <c r="D789" s="51" t="n"/>
      <c r="E789" s="51" t="n"/>
      <c r="F789" s="51" t="n"/>
      <c r="G789" s="47" t="n"/>
      <c r="H789" s="51" t="n"/>
      <c r="I789" s="51" t="n"/>
      <c r="J789" s="51" t="n"/>
      <c r="K789" s="51" t="n"/>
      <c r="L789" s="51" t="n"/>
      <c r="N789" s="51" t="n"/>
      <c r="Q789" s="51" t="n"/>
      <c r="S789" s="51" t="n"/>
      <c r="T789" s="51" t="n"/>
      <c r="U789" s="51" t="inlineStr"/>
      <c r="V789" s="55" t="n"/>
      <c r="W789" s="51" t="inlineStr"/>
      <c r="X789" s="51" t="inlineStr"/>
      <c r="Y789" s="51" t="n"/>
      <c r="AB789" s="57" t="n"/>
      <c r="AC789" s="90" t="n"/>
      <c r="AD789" s="90" t="n"/>
      <c r="AE789" s="88" t="n"/>
      <c r="AF789" s="91" t="n"/>
      <c r="AG789" s="91" t="n"/>
      <c r="AH789" s="88" t="n"/>
      <c r="AI789" s="88" t="n"/>
      <c r="AJ789" s="90" t="n"/>
      <c r="AK789" s="88" t="n"/>
      <c r="AL789" s="91" t="n"/>
      <c r="AM789" s="88" t="n"/>
      <c r="AN789" s="95" t="n"/>
      <c r="AO789" s="90" t="n"/>
      <c r="AP789" s="90" t="n"/>
    </row>
    <row r="790" ht="14.25" customHeight="1" s="84">
      <c r="A790" s="51" t="n"/>
      <c r="B790" s="47" t="n"/>
      <c r="C790" s="51" t="n"/>
      <c r="D790" s="51" t="n"/>
      <c r="E790" s="51" t="n"/>
      <c r="F790" s="51" t="n"/>
      <c r="G790" s="47" t="n"/>
      <c r="H790" s="51" t="n"/>
      <c r="I790" s="51" t="n"/>
      <c r="J790" s="51" t="n"/>
      <c r="K790" s="51" t="n"/>
      <c r="L790" s="51" t="n"/>
      <c r="N790" s="51" t="n"/>
      <c r="Q790" s="51" t="n"/>
      <c r="S790" s="51" t="n"/>
      <c r="T790" s="51" t="n"/>
      <c r="U790" s="51" t="inlineStr"/>
      <c r="V790" s="55" t="n"/>
      <c r="W790" s="51" t="inlineStr"/>
      <c r="X790" s="51" t="inlineStr"/>
      <c r="Y790" s="51" t="n"/>
      <c r="AB790" s="57" t="n"/>
      <c r="AC790" s="90" t="n"/>
      <c r="AD790" s="90" t="n"/>
      <c r="AE790" s="88" t="n"/>
      <c r="AF790" s="91" t="n"/>
      <c r="AG790" s="91" t="n"/>
      <c r="AH790" s="88" t="n"/>
      <c r="AI790" s="88" t="n"/>
      <c r="AJ790" s="90" t="n"/>
      <c r="AK790" s="88" t="n"/>
      <c r="AL790" s="91" t="n"/>
      <c r="AM790" s="88" t="n"/>
      <c r="AN790" s="95" t="n"/>
      <c r="AO790" s="90" t="n"/>
      <c r="AP790" s="90" t="n"/>
    </row>
    <row r="791" ht="14.25" customHeight="1" s="84">
      <c r="A791" s="51" t="n"/>
      <c r="B791" s="47" t="n"/>
      <c r="C791" s="51" t="n"/>
      <c r="D791" s="51" t="n"/>
      <c r="E791" s="51" t="n"/>
      <c r="F791" s="51" t="n"/>
      <c r="G791" s="47" t="n"/>
      <c r="H791" s="51" t="n"/>
      <c r="I791" s="51" t="n"/>
      <c r="J791" s="51" t="n"/>
      <c r="K791" s="51" t="n"/>
      <c r="L791" s="51" t="n"/>
      <c r="N791" s="51" t="n"/>
      <c r="Q791" s="51" t="n"/>
      <c r="S791" s="51" t="n"/>
      <c r="T791" s="51" t="n"/>
      <c r="U791" s="51" t="inlineStr"/>
      <c r="V791" s="55" t="n"/>
      <c r="W791" s="51" t="inlineStr"/>
      <c r="X791" s="51" t="inlineStr"/>
      <c r="Y791" s="51" t="n"/>
      <c r="AB791" s="57" t="n"/>
      <c r="AC791" s="90" t="n"/>
      <c r="AD791" s="90" t="n"/>
      <c r="AE791" s="88" t="n"/>
      <c r="AF791" s="91" t="n"/>
      <c r="AG791" s="91" t="n"/>
      <c r="AH791" s="88" t="n"/>
      <c r="AI791" s="88" t="n"/>
      <c r="AJ791" s="90" t="n"/>
      <c r="AK791" s="88" t="n"/>
      <c r="AL791" s="91" t="n"/>
      <c r="AM791" s="88" t="n"/>
      <c r="AN791" s="95" t="n"/>
      <c r="AO791" s="90" t="n"/>
      <c r="AP791" s="90" t="n"/>
    </row>
    <row r="792" ht="14.25" customHeight="1" s="84">
      <c r="A792" s="51" t="n"/>
      <c r="B792" s="47" t="n"/>
      <c r="C792" s="51" t="n"/>
      <c r="D792" s="51" t="n"/>
      <c r="E792" s="51" t="n"/>
      <c r="F792" s="51" t="n"/>
      <c r="G792" s="47" t="n"/>
      <c r="H792" s="51" t="n"/>
      <c r="I792" s="51" t="n"/>
      <c r="J792" s="51" t="n"/>
      <c r="K792" s="51" t="n"/>
      <c r="L792" s="51" t="n"/>
      <c r="N792" s="51" t="n"/>
      <c r="Q792" s="51" t="n"/>
      <c r="S792" s="51" t="n"/>
      <c r="T792" s="51" t="n"/>
      <c r="U792" s="51" t="inlineStr"/>
      <c r="V792" s="55" t="n"/>
      <c r="W792" s="51" t="inlineStr"/>
      <c r="X792" s="51" t="inlineStr"/>
      <c r="Y792" s="51" t="n"/>
      <c r="AB792" s="57" t="n"/>
      <c r="AC792" s="90" t="n"/>
      <c r="AD792" s="90" t="n"/>
      <c r="AE792" s="88" t="n"/>
      <c r="AF792" s="91" t="n"/>
      <c r="AG792" s="91" t="n"/>
      <c r="AH792" s="88" t="n"/>
      <c r="AI792" s="88" t="n"/>
      <c r="AJ792" s="90" t="n"/>
      <c r="AK792" s="88" t="n"/>
      <c r="AL792" s="91" t="n"/>
      <c r="AM792" s="88" t="n"/>
      <c r="AN792" s="95" t="n"/>
      <c r="AO792" s="90" t="n"/>
      <c r="AP792" s="90" t="n"/>
    </row>
    <row r="793" ht="14.25" customHeight="1" s="84">
      <c r="A793" s="51" t="n"/>
      <c r="B793" s="47" t="n"/>
      <c r="C793" s="51" t="n"/>
      <c r="D793" s="51" t="n"/>
      <c r="E793" s="51" t="n"/>
      <c r="F793" s="51" t="n"/>
      <c r="G793" s="47" t="n"/>
      <c r="H793" s="51" t="n"/>
      <c r="I793" s="51" t="n"/>
      <c r="J793" s="51" t="n"/>
      <c r="K793" s="51" t="n"/>
      <c r="L793" s="51" t="n"/>
      <c r="N793" s="51" t="n"/>
      <c r="Q793" s="51" t="n"/>
      <c r="S793" s="51" t="n"/>
      <c r="T793" s="51" t="n"/>
      <c r="U793" s="51" t="inlineStr"/>
      <c r="V793" s="55" t="n"/>
      <c r="W793" s="51" t="inlineStr"/>
      <c r="X793" s="51" t="inlineStr"/>
      <c r="Y793" s="51" t="n"/>
      <c r="AB793" s="57" t="n"/>
      <c r="AC793" s="90" t="n"/>
      <c r="AD793" s="90" t="n"/>
      <c r="AE793" s="88" t="n"/>
      <c r="AF793" s="91" t="n"/>
      <c r="AG793" s="91" t="n"/>
      <c r="AH793" s="88" t="n"/>
      <c r="AI793" s="88" t="n"/>
      <c r="AJ793" s="90" t="n"/>
      <c r="AK793" s="88" t="n"/>
      <c r="AL793" s="91" t="n"/>
      <c r="AM793" s="88" t="n"/>
      <c r="AN793" s="95" t="n"/>
      <c r="AO793" s="90" t="n"/>
      <c r="AP793" s="90" t="n"/>
    </row>
    <row r="794" ht="14.25" customHeight="1" s="84">
      <c r="A794" s="51" t="n"/>
      <c r="B794" s="47" t="n"/>
      <c r="C794" s="51" t="n"/>
      <c r="D794" s="51" t="n"/>
      <c r="E794" s="51" t="n"/>
      <c r="F794" s="51" t="n"/>
      <c r="G794" s="47" t="n"/>
      <c r="H794" s="51" t="n"/>
      <c r="I794" s="51" t="n"/>
      <c r="J794" s="51" t="n"/>
      <c r="K794" s="51" t="n"/>
      <c r="L794" s="51" t="n"/>
      <c r="N794" s="51" t="n"/>
      <c r="Q794" s="51" t="n"/>
      <c r="S794" s="51" t="n"/>
      <c r="T794" s="51" t="n"/>
      <c r="U794" s="51" t="inlineStr"/>
      <c r="V794" s="55" t="n"/>
      <c r="W794" s="51" t="inlineStr"/>
      <c r="X794" s="51" t="inlineStr"/>
      <c r="Y794" s="51" t="n"/>
      <c r="AB794" s="57" t="n"/>
      <c r="AC794" s="90" t="n"/>
      <c r="AD794" s="90" t="n"/>
      <c r="AE794" s="88" t="n"/>
      <c r="AF794" s="91" t="n"/>
      <c r="AG794" s="91" t="n"/>
      <c r="AH794" s="88" t="n"/>
      <c r="AI794" s="88" t="n"/>
      <c r="AJ794" s="90" t="n"/>
      <c r="AK794" s="88" t="n"/>
      <c r="AL794" s="91" t="n"/>
      <c r="AM794" s="88" t="n"/>
      <c r="AN794" s="95" t="n"/>
      <c r="AO794" s="90" t="n"/>
      <c r="AP794" s="90" t="n"/>
    </row>
    <row r="795" ht="14.25" customHeight="1" s="84">
      <c r="A795" s="51" t="n"/>
      <c r="B795" s="47" t="n"/>
      <c r="C795" s="51" t="n"/>
      <c r="D795" s="51" t="n"/>
      <c r="E795" s="51" t="n"/>
      <c r="F795" s="51" t="n"/>
      <c r="G795" s="47" t="n"/>
      <c r="H795" s="51" t="n"/>
      <c r="I795" s="51" t="n"/>
      <c r="J795" s="51" t="n"/>
      <c r="K795" s="51" t="n"/>
      <c r="L795" s="51" t="n"/>
      <c r="N795" s="51" t="n"/>
      <c r="Q795" s="51" t="n"/>
      <c r="S795" s="51" t="n"/>
      <c r="T795" s="51" t="n"/>
      <c r="U795" s="51" t="inlineStr"/>
      <c r="V795" s="55" t="n"/>
      <c r="W795" s="51" t="inlineStr"/>
      <c r="X795" s="51" t="inlineStr"/>
      <c r="Y795" s="51" t="n"/>
      <c r="AB795" s="57" t="n"/>
      <c r="AC795" s="90" t="n"/>
      <c r="AD795" s="90" t="n"/>
      <c r="AE795" s="88" t="n"/>
      <c r="AF795" s="91" t="n"/>
      <c r="AG795" s="91" t="n"/>
      <c r="AH795" s="88" t="n"/>
      <c r="AI795" s="88" t="n"/>
      <c r="AJ795" s="90" t="n"/>
      <c r="AK795" s="88" t="n"/>
      <c r="AL795" s="91" t="n"/>
      <c r="AM795" s="88" t="n"/>
      <c r="AN795" s="95" t="n"/>
      <c r="AO795" s="90" t="n"/>
      <c r="AP795" s="90" t="n"/>
    </row>
    <row r="796" ht="14.25" customHeight="1" s="84">
      <c r="A796" s="51" t="n"/>
      <c r="B796" s="47" t="n"/>
      <c r="C796" s="51" t="n"/>
      <c r="D796" s="51" t="n"/>
      <c r="E796" s="51" t="n"/>
      <c r="F796" s="51" t="n"/>
      <c r="G796" s="47" t="n"/>
      <c r="H796" s="51" t="n"/>
      <c r="I796" s="51" t="n"/>
      <c r="J796" s="51" t="n"/>
      <c r="K796" s="51" t="n"/>
      <c r="L796" s="51" t="n"/>
      <c r="N796" s="51" t="n"/>
      <c r="Q796" s="51" t="n"/>
      <c r="S796" s="51" t="n"/>
      <c r="T796" s="51" t="n"/>
      <c r="U796" s="51" t="inlineStr"/>
      <c r="V796" s="55" t="n"/>
      <c r="W796" s="51" t="inlineStr"/>
      <c r="X796" s="51" t="inlineStr"/>
      <c r="Y796" s="51" t="n"/>
      <c r="AB796" s="57" t="n"/>
      <c r="AC796" s="90" t="n"/>
      <c r="AD796" s="90" t="n"/>
      <c r="AE796" s="88" t="n"/>
      <c r="AF796" s="91" t="n"/>
      <c r="AG796" s="91" t="n"/>
      <c r="AH796" s="88" t="n"/>
      <c r="AI796" s="88" t="n"/>
      <c r="AJ796" s="90" t="n"/>
      <c r="AK796" s="88" t="n"/>
      <c r="AL796" s="91" t="n"/>
      <c r="AM796" s="88" t="n"/>
      <c r="AN796" s="95" t="n"/>
      <c r="AO796" s="90" t="n"/>
      <c r="AP796" s="90" t="n"/>
    </row>
    <row r="797" ht="14.25" customHeight="1" s="84">
      <c r="A797" s="51" t="n"/>
      <c r="B797" s="47" t="n"/>
      <c r="C797" s="51" t="n"/>
      <c r="D797" s="51" t="n"/>
      <c r="E797" s="51" t="n"/>
      <c r="F797" s="51" t="n"/>
      <c r="G797" s="47" t="n"/>
      <c r="H797" s="51" t="n"/>
      <c r="I797" s="51" t="n"/>
      <c r="J797" s="51" t="n"/>
      <c r="K797" s="51" t="n"/>
      <c r="L797" s="51" t="n"/>
      <c r="N797" s="51" t="n"/>
      <c r="Q797" s="51" t="n"/>
      <c r="S797" s="51" t="n"/>
      <c r="T797" s="51" t="n"/>
      <c r="U797" s="51" t="inlineStr"/>
      <c r="V797" s="55" t="n"/>
      <c r="W797" s="51" t="inlineStr"/>
      <c r="X797" s="51" t="inlineStr"/>
      <c r="Y797" s="51" t="n"/>
      <c r="AB797" s="57" t="n"/>
      <c r="AC797" s="90" t="n"/>
      <c r="AD797" s="90" t="n"/>
      <c r="AE797" s="88" t="n"/>
      <c r="AF797" s="91" t="n"/>
      <c r="AG797" s="91" t="n"/>
      <c r="AH797" s="88" t="n"/>
      <c r="AI797" s="88" t="n"/>
      <c r="AJ797" s="90" t="n"/>
      <c r="AK797" s="88" t="n"/>
      <c r="AL797" s="91" t="n"/>
      <c r="AM797" s="88" t="n"/>
      <c r="AN797" s="95" t="n"/>
      <c r="AO797" s="90" t="n"/>
      <c r="AP797" s="90" t="n"/>
    </row>
    <row r="798" ht="14.25" customHeight="1" s="84">
      <c r="A798" s="51" t="n"/>
      <c r="B798" s="47" t="n"/>
      <c r="C798" s="51" t="n"/>
      <c r="D798" s="51" t="n"/>
      <c r="E798" s="51" t="n"/>
      <c r="F798" s="51" t="n"/>
      <c r="G798" s="47" t="n"/>
      <c r="H798" s="51" t="n"/>
      <c r="I798" s="51" t="n"/>
      <c r="J798" s="51" t="n"/>
      <c r="K798" s="51" t="n"/>
      <c r="L798" s="51" t="n"/>
      <c r="N798" s="51" t="n"/>
      <c r="Q798" s="51" t="n"/>
      <c r="S798" s="51" t="n"/>
      <c r="T798" s="51" t="n"/>
      <c r="U798" s="51" t="inlineStr"/>
      <c r="V798" s="55" t="n"/>
      <c r="W798" s="51" t="inlineStr"/>
      <c r="X798" s="51" t="inlineStr"/>
      <c r="Y798" s="51" t="n"/>
      <c r="AB798" s="57" t="n"/>
      <c r="AC798" s="90" t="n"/>
      <c r="AD798" s="90" t="n"/>
      <c r="AE798" s="88" t="n"/>
      <c r="AF798" s="91" t="n"/>
      <c r="AG798" s="91" t="n"/>
      <c r="AH798" s="88" t="n"/>
      <c r="AI798" s="88" t="n"/>
      <c r="AJ798" s="90" t="n"/>
      <c r="AK798" s="88" t="n"/>
      <c r="AL798" s="91" t="n"/>
      <c r="AM798" s="88" t="n"/>
      <c r="AN798" s="95" t="n"/>
      <c r="AO798" s="90" t="n"/>
      <c r="AP798" s="90" t="n"/>
    </row>
    <row r="799" ht="14.25" customHeight="1" s="84">
      <c r="A799" s="51" t="n"/>
      <c r="B799" s="47" t="n"/>
      <c r="C799" s="51" t="n"/>
      <c r="D799" s="51" t="n"/>
      <c r="E799" s="51" t="n"/>
      <c r="F799" s="51" t="n"/>
      <c r="G799" s="47" t="n"/>
      <c r="H799" s="51" t="n"/>
      <c r="I799" s="51" t="n"/>
      <c r="J799" s="51" t="n"/>
      <c r="K799" s="51" t="n"/>
      <c r="L799" s="51" t="n"/>
      <c r="N799" s="51" t="n"/>
      <c r="Q799" s="51" t="n"/>
      <c r="S799" s="51" t="n"/>
      <c r="T799" s="51" t="n"/>
      <c r="U799" s="51" t="inlineStr"/>
      <c r="V799" s="55" t="n"/>
      <c r="W799" s="51" t="inlineStr"/>
      <c r="X799" s="51" t="inlineStr"/>
      <c r="Y799" s="51" t="n"/>
      <c r="AB799" s="57" t="n"/>
      <c r="AC799" s="90" t="n"/>
      <c r="AD799" s="90" t="n"/>
      <c r="AE799" s="88" t="n"/>
      <c r="AF799" s="91" t="n"/>
      <c r="AG799" s="91" t="n"/>
      <c r="AH799" s="88" t="n"/>
      <c r="AI799" s="88" t="n"/>
      <c r="AJ799" s="90" t="n"/>
      <c r="AK799" s="88" t="n"/>
      <c r="AL799" s="91" t="n"/>
      <c r="AM799" s="88" t="n"/>
      <c r="AN799" s="95" t="n"/>
      <c r="AO799" s="90" t="n"/>
      <c r="AP799" s="90" t="n"/>
    </row>
    <row r="800" ht="14.25" customHeight="1" s="84">
      <c r="A800" s="51" t="n"/>
      <c r="B800" s="47" t="n"/>
      <c r="C800" s="51" t="n"/>
      <c r="D800" s="51" t="n"/>
      <c r="E800" s="51" t="n"/>
      <c r="F800" s="51" t="n"/>
      <c r="G800" s="47" t="n"/>
      <c r="H800" s="51" t="n"/>
      <c r="I800" s="51" t="n"/>
      <c r="J800" s="51" t="n"/>
      <c r="K800" s="51" t="n"/>
      <c r="L800" s="51" t="n"/>
      <c r="N800" s="51" t="n"/>
      <c r="Q800" s="51" t="n"/>
      <c r="S800" s="51" t="n"/>
      <c r="T800" s="51" t="n"/>
      <c r="U800" s="51" t="inlineStr"/>
      <c r="V800" s="55" t="n"/>
      <c r="W800" s="51" t="inlineStr"/>
      <c r="X800" s="51" t="inlineStr"/>
      <c r="Y800" s="51" t="n"/>
      <c r="AB800" s="57" t="n"/>
      <c r="AC800" s="90" t="n"/>
      <c r="AD800" s="90" t="n"/>
      <c r="AE800" s="88" t="n"/>
      <c r="AF800" s="91" t="n"/>
      <c r="AG800" s="91" t="n"/>
      <c r="AH800" s="88" t="n"/>
      <c r="AI800" s="88" t="n"/>
      <c r="AJ800" s="90" t="n"/>
      <c r="AK800" s="88" t="n"/>
      <c r="AL800" s="91" t="n"/>
      <c r="AM800" s="88" t="n"/>
      <c r="AN800" s="95" t="n"/>
      <c r="AO800" s="90" t="n"/>
      <c r="AP800" s="90" t="n"/>
    </row>
    <row r="801" ht="14.25" customHeight="1" s="84">
      <c r="A801" s="51" t="n"/>
      <c r="B801" s="47" t="n"/>
      <c r="C801" s="51" t="n"/>
      <c r="D801" s="51" t="n"/>
      <c r="E801" s="51" t="n"/>
      <c r="F801" s="51" t="n"/>
      <c r="G801" s="47" t="n"/>
      <c r="H801" s="51" t="n"/>
      <c r="I801" s="51" t="n"/>
      <c r="J801" s="51" t="n"/>
      <c r="K801" s="51" t="n"/>
      <c r="L801" s="51" t="n"/>
      <c r="N801" s="51" t="n"/>
      <c r="Q801" s="51" t="n"/>
      <c r="S801" s="51" t="n"/>
      <c r="T801" s="51" t="n"/>
      <c r="U801" s="51" t="inlineStr"/>
      <c r="V801" s="55" t="n"/>
      <c r="W801" s="51" t="inlineStr"/>
      <c r="X801" s="51" t="inlineStr"/>
      <c r="Y801" s="51" t="n"/>
      <c r="AB801" s="57" t="n"/>
      <c r="AC801" s="90" t="n"/>
      <c r="AD801" s="90" t="n"/>
      <c r="AE801" s="88" t="n"/>
      <c r="AF801" s="91" t="n"/>
      <c r="AG801" s="91" t="n"/>
      <c r="AH801" s="88" t="n"/>
      <c r="AI801" s="88" t="n"/>
      <c r="AJ801" s="90" t="n"/>
      <c r="AK801" s="88" t="n"/>
      <c r="AL801" s="91" t="n"/>
      <c r="AM801" s="88" t="n"/>
      <c r="AN801" s="95" t="n"/>
      <c r="AO801" s="90" t="n"/>
      <c r="AP801" s="90" t="n"/>
    </row>
    <row r="802" ht="14.25" customHeight="1" s="84">
      <c r="A802" s="51" t="n"/>
      <c r="B802" s="47" t="n"/>
      <c r="C802" s="51" t="n"/>
      <c r="D802" s="51" t="n"/>
      <c r="E802" s="51" t="n"/>
      <c r="F802" s="51" t="n"/>
      <c r="G802" s="47" t="n"/>
      <c r="H802" s="51" t="n"/>
      <c r="I802" s="51" t="n"/>
      <c r="J802" s="51" t="n"/>
      <c r="K802" s="51" t="n"/>
      <c r="L802" s="51" t="n"/>
      <c r="N802" s="51" t="n"/>
      <c r="Q802" s="51" t="n"/>
      <c r="S802" s="51" t="n"/>
      <c r="T802" s="51" t="n"/>
      <c r="U802" s="51" t="inlineStr"/>
      <c r="V802" s="55" t="n"/>
      <c r="W802" s="51" t="inlineStr"/>
      <c r="X802" s="51" t="inlineStr"/>
      <c r="Y802" s="51" t="n"/>
      <c r="AB802" s="57" t="n"/>
      <c r="AC802" s="90" t="n"/>
      <c r="AD802" s="90" t="n"/>
      <c r="AE802" s="88" t="n"/>
      <c r="AF802" s="91" t="n"/>
      <c r="AG802" s="91" t="n"/>
      <c r="AH802" s="88" t="n"/>
      <c r="AI802" s="88" t="n"/>
      <c r="AJ802" s="90" t="n"/>
      <c r="AK802" s="88" t="n"/>
      <c r="AL802" s="91" t="n"/>
      <c r="AM802" s="88" t="n"/>
      <c r="AN802" s="95" t="n"/>
      <c r="AO802" s="90" t="n"/>
      <c r="AP802" s="90" t="n"/>
    </row>
    <row r="803" ht="14.25" customHeight="1" s="84">
      <c r="A803" s="51" t="n"/>
      <c r="B803" s="47" t="n"/>
      <c r="C803" s="51" t="n"/>
      <c r="D803" s="51" t="n"/>
      <c r="E803" s="51" t="n"/>
      <c r="F803" s="51" t="n"/>
      <c r="G803" s="47" t="n"/>
      <c r="H803" s="51" t="n"/>
      <c r="I803" s="51" t="n"/>
      <c r="J803" s="51" t="n"/>
      <c r="K803" s="51" t="n"/>
      <c r="L803" s="51" t="n"/>
      <c r="N803" s="51" t="n"/>
      <c r="Q803" s="51" t="n"/>
      <c r="S803" s="51" t="n"/>
      <c r="T803" s="51" t="n"/>
      <c r="U803" s="51" t="inlineStr"/>
      <c r="V803" s="55" t="n"/>
      <c r="W803" s="51" t="inlineStr"/>
      <c r="X803" s="51" t="inlineStr"/>
      <c r="Y803" s="51" t="n"/>
      <c r="AB803" s="57" t="n"/>
      <c r="AC803" s="90" t="n"/>
      <c r="AD803" s="90" t="n"/>
      <c r="AE803" s="88" t="n"/>
      <c r="AF803" s="91" t="n"/>
      <c r="AG803" s="91" t="n"/>
      <c r="AH803" s="88" t="n"/>
      <c r="AI803" s="88" t="n"/>
      <c r="AJ803" s="90" t="n"/>
      <c r="AK803" s="88" t="n"/>
      <c r="AL803" s="91" t="n"/>
      <c r="AM803" s="88" t="n"/>
      <c r="AN803" s="95" t="n"/>
      <c r="AO803" s="90" t="n"/>
      <c r="AP803" s="90" t="n"/>
    </row>
    <row r="804" ht="14.25" customHeight="1" s="84">
      <c r="A804" s="51" t="n"/>
      <c r="B804" s="47" t="n"/>
      <c r="C804" s="51" t="n"/>
      <c r="D804" s="51" t="n"/>
      <c r="E804" s="51" t="n"/>
      <c r="F804" s="51" t="n"/>
      <c r="G804" s="47" t="n"/>
      <c r="H804" s="51" t="n"/>
      <c r="I804" s="51" t="n"/>
      <c r="J804" s="51" t="n"/>
      <c r="K804" s="51" t="n"/>
      <c r="L804" s="51" t="n"/>
      <c r="N804" s="51" t="n"/>
      <c r="Q804" s="51" t="n"/>
      <c r="S804" s="51" t="n"/>
      <c r="T804" s="51" t="n"/>
      <c r="U804" s="51" t="inlineStr"/>
      <c r="V804" s="55" t="n"/>
      <c r="W804" s="51" t="inlineStr"/>
      <c r="X804" s="51" t="inlineStr"/>
      <c r="Y804" s="51" t="n"/>
      <c r="AB804" s="57" t="n"/>
      <c r="AC804" s="90" t="n"/>
      <c r="AD804" s="90" t="n"/>
      <c r="AE804" s="88" t="n"/>
      <c r="AF804" s="91" t="n"/>
      <c r="AG804" s="91" t="n"/>
      <c r="AH804" s="88" t="n"/>
      <c r="AI804" s="88" t="n"/>
      <c r="AJ804" s="90" t="n"/>
      <c r="AK804" s="88" t="n"/>
      <c r="AL804" s="91" t="n"/>
      <c r="AM804" s="88" t="n"/>
      <c r="AN804" s="95" t="n"/>
      <c r="AO804" s="90" t="n"/>
      <c r="AP804" s="90" t="n"/>
    </row>
    <row r="805" ht="14.25" customHeight="1" s="84">
      <c r="A805" s="51" t="n"/>
      <c r="B805" s="47" t="n"/>
      <c r="C805" s="51" t="n"/>
      <c r="D805" s="51" t="n"/>
      <c r="E805" s="51" t="n"/>
      <c r="F805" s="51" t="n"/>
      <c r="G805" s="47" t="n"/>
      <c r="H805" s="51" t="n"/>
      <c r="I805" s="51" t="n"/>
      <c r="J805" s="51" t="n"/>
      <c r="K805" s="51" t="n"/>
      <c r="L805" s="51" t="n"/>
      <c r="N805" s="51" t="n"/>
      <c r="Q805" s="51" t="n"/>
      <c r="S805" s="51" t="n"/>
      <c r="T805" s="51" t="n"/>
      <c r="U805" s="51" t="inlineStr"/>
      <c r="V805" s="55" t="n"/>
      <c r="W805" s="51" t="inlineStr"/>
      <c r="X805" s="51" t="inlineStr"/>
      <c r="Y805" s="51" t="n"/>
      <c r="AB805" s="57" t="n"/>
      <c r="AC805" s="90" t="n"/>
      <c r="AD805" s="90" t="n"/>
      <c r="AE805" s="88" t="n"/>
      <c r="AF805" s="91" t="n"/>
      <c r="AG805" s="91" t="n"/>
      <c r="AH805" s="88" t="n"/>
      <c r="AI805" s="88" t="n"/>
      <c r="AJ805" s="90" t="n"/>
      <c r="AK805" s="88" t="n"/>
      <c r="AL805" s="91" t="n"/>
      <c r="AM805" s="88" t="n"/>
      <c r="AN805" s="95" t="n"/>
      <c r="AO805" s="90" t="n"/>
      <c r="AP805" s="90" t="n"/>
    </row>
    <row r="806" ht="14.25" customHeight="1" s="84">
      <c r="A806" s="51" t="n"/>
      <c r="B806" s="47" t="n"/>
      <c r="C806" s="51" t="n"/>
      <c r="D806" s="51" t="n"/>
      <c r="E806" s="51" t="n"/>
      <c r="F806" s="51" t="n"/>
      <c r="G806" s="47" t="n"/>
      <c r="H806" s="51" t="n"/>
      <c r="I806" s="51" t="n"/>
      <c r="J806" s="51" t="n"/>
      <c r="K806" s="51" t="n"/>
      <c r="L806" s="51" t="n"/>
      <c r="N806" s="51" t="n"/>
      <c r="Q806" s="51" t="n"/>
      <c r="S806" s="51" t="n"/>
      <c r="T806" s="51" t="n"/>
      <c r="U806" s="51" t="inlineStr"/>
      <c r="V806" s="55" t="n"/>
      <c r="W806" s="51" t="inlineStr"/>
      <c r="X806" s="51" t="inlineStr"/>
      <c r="Y806" s="51" t="n"/>
      <c r="AB806" s="57" t="n"/>
      <c r="AC806" s="90" t="n"/>
      <c r="AD806" s="90" t="n"/>
      <c r="AE806" s="88" t="n"/>
      <c r="AF806" s="91" t="n"/>
      <c r="AG806" s="91" t="n"/>
      <c r="AH806" s="88" t="n"/>
      <c r="AI806" s="88" t="n"/>
      <c r="AJ806" s="90" t="n"/>
      <c r="AK806" s="88" t="n"/>
      <c r="AL806" s="91" t="n"/>
      <c r="AM806" s="88" t="n"/>
      <c r="AN806" s="95" t="n"/>
      <c r="AO806" s="90" t="n"/>
      <c r="AP806" s="90" t="n"/>
    </row>
    <row r="807" ht="14.25" customHeight="1" s="84">
      <c r="A807" s="51" t="n"/>
      <c r="B807" s="47" t="n"/>
      <c r="C807" s="51" t="n"/>
      <c r="D807" s="51" t="n"/>
      <c r="E807" s="51" t="n"/>
      <c r="F807" s="51" t="n"/>
      <c r="G807" s="47" t="n"/>
      <c r="H807" s="51" t="n"/>
      <c r="I807" s="51" t="n"/>
      <c r="J807" s="51" t="n"/>
      <c r="K807" s="51" t="n"/>
      <c r="L807" s="51" t="n"/>
      <c r="N807" s="51" t="n"/>
      <c r="Q807" s="51" t="n"/>
      <c r="S807" s="51" t="n"/>
      <c r="T807" s="51" t="n"/>
      <c r="U807" s="51" t="inlineStr"/>
      <c r="V807" s="55" t="n"/>
      <c r="W807" s="51" t="inlineStr"/>
      <c r="X807" s="51" t="inlineStr"/>
      <c r="Y807" s="51" t="n"/>
      <c r="AB807" s="57" t="n"/>
      <c r="AC807" s="90" t="n"/>
      <c r="AD807" s="90" t="n"/>
      <c r="AE807" s="88" t="n"/>
      <c r="AF807" s="91" t="n"/>
      <c r="AG807" s="91" t="n"/>
      <c r="AH807" s="88" t="n"/>
      <c r="AI807" s="88" t="n"/>
      <c r="AJ807" s="90" t="n"/>
      <c r="AK807" s="88" t="n"/>
      <c r="AL807" s="91" t="n"/>
      <c r="AM807" s="88" t="n"/>
      <c r="AN807" s="95" t="n"/>
      <c r="AO807" s="90" t="n"/>
      <c r="AP807" s="90" t="n"/>
    </row>
    <row r="808" ht="14.25" customHeight="1" s="84">
      <c r="A808" s="51" t="n"/>
      <c r="B808" s="47" t="n"/>
      <c r="C808" s="51" t="n"/>
      <c r="D808" s="51" t="n"/>
      <c r="E808" s="51" t="n"/>
      <c r="F808" s="51" t="n"/>
      <c r="G808" s="47" t="n"/>
      <c r="H808" s="51" t="n"/>
      <c r="I808" s="51" t="n"/>
      <c r="J808" s="51" t="n"/>
      <c r="K808" s="51" t="n"/>
      <c r="L808" s="51" t="n"/>
      <c r="N808" s="51" t="n"/>
      <c r="Q808" s="51" t="n"/>
      <c r="S808" s="51" t="n"/>
      <c r="T808" s="51" t="n"/>
      <c r="U808" s="51" t="inlineStr"/>
      <c r="V808" s="55" t="n"/>
      <c r="W808" s="51" t="inlineStr"/>
      <c r="X808" s="51" t="inlineStr"/>
      <c r="Y808" s="51" t="n"/>
      <c r="AB808" s="57" t="n"/>
      <c r="AC808" s="90" t="n"/>
      <c r="AD808" s="90" t="n"/>
      <c r="AE808" s="88" t="n"/>
      <c r="AF808" s="91" t="n"/>
      <c r="AG808" s="91" t="n"/>
      <c r="AH808" s="88" t="n"/>
      <c r="AI808" s="88" t="n"/>
      <c r="AJ808" s="90" t="n"/>
      <c r="AK808" s="88" t="n"/>
      <c r="AL808" s="91" t="n"/>
      <c r="AM808" s="88" t="n"/>
      <c r="AN808" s="95" t="n"/>
      <c r="AO808" s="90" t="n"/>
      <c r="AP808" s="90" t="n"/>
    </row>
    <row r="809" ht="14.25" customHeight="1" s="84">
      <c r="A809" s="51" t="n"/>
      <c r="B809" s="47" t="n"/>
      <c r="C809" s="51" t="n"/>
      <c r="D809" s="51" t="n"/>
      <c r="E809" s="51" t="n"/>
      <c r="F809" s="51" t="n"/>
      <c r="G809" s="47" t="n"/>
      <c r="H809" s="51" t="n"/>
      <c r="I809" s="51" t="n"/>
      <c r="J809" s="51" t="n"/>
      <c r="K809" s="51" t="n"/>
      <c r="L809" s="51" t="n"/>
      <c r="N809" s="51" t="n"/>
      <c r="Q809" s="51" t="n"/>
      <c r="S809" s="51" t="n"/>
      <c r="T809" s="51" t="n"/>
      <c r="U809" s="51" t="inlineStr"/>
      <c r="V809" s="55" t="n"/>
      <c r="W809" s="51" t="inlineStr"/>
      <c r="X809" s="51" t="inlineStr"/>
      <c r="Y809" s="51" t="n"/>
      <c r="AB809" s="57" t="n"/>
      <c r="AC809" s="90" t="n"/>
      <c r="AD809" s="90" t="n"/>
      <c r="AE809" s="88" t="n"/>
      <c r="AF809" s="91" t="n"/>
      <c r="AG809" s="91" t="n"/>
      <c r="AH809" s="88" t="n"/>
      <c r="AI809" s="88" t="n"/>
      <c r="AJ809" s="90" t="n"/>
      <c r="AK809" s="88" t="n"/>
      <c r="AL809" s="91" t="n"/>
      <c r="AM809" s="88" t="n"/>
      <c r="AN809" s="95" t="n"/>
      <c r="AO809" s="90" t="n"/>
      <c r="AP809" s="90" t="n"/>
    </row>
    <row r="810" ht="14.25" customHeight="1" s="84">
      <c r="A810" s="51" t="n"/>
      <c r="B810" s="47" t="n"/>
      <c r="C810" s="51" t="n"/>
      <c r="D810" s="51" t="n"/>
      <c r="E810" s="51" t="n"/>
      <c r="F810" s="51" t="n"/>
      <c r="G810" s="47" t="n"/>
      <c r="H810" s="51" t="n"/>
      <c r="I810" s="51" t="n"/>
      <c r="J810" s="51" t="n"/>
      <c r="K810" s="51" t="n"/>
      <c r="L810" s="51" t="n"/>
      <c r="N810" s="51" t="n"/>
      <c r="Q810" s="51" t="n"/>
      <c r="S810" s="51" t="n"/>
      <c r="T810" s="51" t="n"/>
      <c r="U810" s="51" t="inlineStr"/>
      <c r="V810" s="55" t="n"/>
      <c r="W810" s="51" t="inlineStr"/>
      <c r="X810" s="51" t="inlineStr"/>
      <c r="Y810" s="51" t="n"/>
      <c r="AB810" s="57" t="n"/>
      <c r="AC810" s="90" t="n"/>
      <c r="AD810" s="90" t="n"/>
      <c r="AE810" s="88" t="n"/>
      <c r="AF810" s="91" t="n"/>
      <c r="AG810" s="91" t="n"/>
      <c r="AH810" s="88" t="n"/>
      <c r="AI810" s="88" t="n"/>
      <c r="AJ810" s="90" t="n"/>
      <c r="AK810" s="88" t="n"/>
      <c r="AL810" s="91" t="n"/>
      <c r="AM810" s="88" t="n"/>
      <c r="AN810" s="95" t="n"/>
      <c r="AO810" s="90" t="n"/>
      <c r="AP810" s="90" t="n"/>
    </row>
    <row r="811" ht="14.25" customHeight="1" s="84">
      <c r="A811" s="51" t="n"/>
      <c r="B811" s="47" t="n"/>
      <c r="C811" s="51" t="n"/>
      <c r="D811" s="51" t="n"/>
      <c r="E811" s="51" t="n"/>
      <c r="F811" s="51" t="n"/>
      <c r="G811" s="47" t="n"/>
      <c r="H811" s="51" t="n"/>
      <c r="I811" s="51" t="n"/>
      <c r="J811" s="51" t="n"/>
      <c r="K811" s="51" t="n"/>
      <c r="L811" s="51" t="n"/>
      <c r="N811" s="51" t="n"/>
      <c r="Q811" s="51" t="n"/>
      <c r="S811" s="51" t="n"/>
      <c r="T811" s="51" t="n"/>
      <c r="U811" s="51" t="inlineStr"/>
      <c r="V811" s="55" t="n"/>
      <c r="W811" s="51" t="inlineStr"/>
      <c r="X811" s="51" t="inlineStr"/>
      <c r="Y811" s="51" t="n"/>
      <c r="AB811" s="57" t="n"/>
      <c r="AC811" s="90" t="n"/>
      <c r="AD811" s="90" t="n"/>
      <c r="AE811" s="88" t="n"/>
      <c r="AF811" s="91" t="n"/>
      <c r="AG811" s="91" t="n"/>
      <c r="AH811" s="88" t="n"/>
      <c r="AI811" s="88" t="n"/>
      <c r="AJ811" s="90" t="n"/>
      <c r="AK811" s="88" t="n"/>
      <c r="AL811" s="91" t="n"/>
      <c r="AM811" s="88" t="n"/>
      <c r="AN811" s="95" t="n"/>
      <c r="AO811" s="90" t="n"/>
      <c r="AP811" s="90" t="n"/>
    </row>
    <row r="812" ht="14.25" customHeight="1" s="84">
      <c r="A812" s="51" t="n"/>
      <c r="B812" s="47" t="n"/>
      <c r="C812" s="51" t="n"/>
      <c r="D812" s="51" t="n"/>
      <c r="E812" s="51" t="n"/>
      <c r="F812" s="51" t="n"/>
      <c r="G812" s="47" t="n"/>
      <c r="H812" s="51" t="n"/>
      <c r="I812" s="51" t="n"/>
      <c r="J812" s="51" t="n"/>
      <c r="K812" s="51" t="n"/>
      <c r="L812" s="51" t="n"/>
      <c r="N812" s="51" t="n"/>
      <c r="Q812" s="51" t="n"/>
      <c r="S812" s="51" t="n"/>
      <c r="T812" s="51" t="n"/>
      <c r="U812" s="51" t="inlineStr"/>
      <c r="V812" s="55" t="n"/>
      <c r="W812" s="51" t="inlineStr"/>
      <c r="X812" s="51" t="inlineStr"/>
      <c r="Y812" s="51" t="n"/>
      <c r="AB812" s="57" t="n"/>
      <c r="AC812" s="90" t="n"/>
      <c r="AD812" s="90" t="n"/>
      <c r="AE812" s="88" t="n"/>
      <c r="AF812" s="91" t="n"/>
      <c r="AG812" s="91" t="n"/>
      <c r="AH812" s="88" t="n"/>
      <c r="AI812" s="88" t="n"/>
      <c r="AJ812" s="90" t="n"/>
      <c r="AK812" s="88" t="n"/>
      <c r="AL812" s="91" t="n"/>
      <c r="AM812" s="88" t="n"/>
      <c r="AN812" s="95" t="n"/>
      <c r="AO812" s="90" t="n"/>
      <c r="AP812" s="90" t="n"/>
    </row>
    <row r="813" ht="14.25" customHeight="1" s="84">
      <c r="A813" s="51" t="n"/>
      <c r="B813" s="47" t="n"/>
      <c r="C813" s="51" t="n"/>
      <c r="D813" s="51" t="n"/>
      <c r="E813" s="51" t="n"/>
      <c r="F813" s="51" t="n"/>
      <c r="G813" s="47" t="n"/>
      <c r="H813" s="51" t="n"/>
      <c r="I813" s="51" t="n"/>
      <c r="J813" s="51" t="n"/>
      <c r="K813" s="51" t="n"/>
      <c r="L813" s="51" t="n"/>
      <c r="N813" s="51" t="n"/>
      <c r="Q813" s="51" t="n"/>
      <c r="S813" s="51" t="n"/>
      <c r="T813" s="51" t="n"/>
      <c r="U813" s="51" t="inlineStr"/>
      <c r="V813" s="55" t="n"/>
      <c r="W813" s="51" t="inlineStr"/>
      <c r="X813" s="51" t="inlineStr"/>
      <c r="Y813" s="51" t="n"/>
      <c r="AB813" s="57" t="n"/>
      <c r="AC813" s="90" t="n"/>
      <c r="AD813" s="90" t="n"/>
      <c r="AE813" s="88" t="n"/>
      <c r="AF813" s="91" t="n"/>
      <c r="AG813" s="91" t="n"/>
      <c r="AH813" s="88" t="n"/>
      <c r="AI813" s="88" t="n"/>
      <c r="AJ813" s="90" t="n"/>
      <c r="AK813" s="88" t="n"/>
      <c r="AL813" s="91" t="n"/>
      <c r="AM813" s="88" t="n"/>
      <c r="AN813" s="95" t="n"/>
      <c r="AO813" s="90" t="n"/>
      <c r="AP813" s="90" t="n"/>
    </row>
    <row r="814" ht="14.25" customHeight="1" s="84">
      <c r="A814" s="51" t="n"/>
      <c r="B814" s="47" t="n"/>
      <c r="C814" s="51" t="n"/>
      <c r="D814" s="51" t="n"/>
      <c r="E814" s="51" t="n"/>
      <c r="F814" s="51" t="n"/>
      <c r="G814" s="47" t="n"/>
      <c r="H814" s="51" t="n"/>
      <c r="I814" s="51" t="n"/>
      <c r="J814" s="51" t="n"/>
      <c r="K814" s="51" t="n"/>
      <c r="L814" s="51" t="n"/>
      <c r="N814" s="51" t="n"/>
      <c r="Q814" s="51" t="n"/>
      <c r="S814" s="51" t="n"/>
      <c r="T814" s="51" t="n"/>
      <c r="U814" s="51" t="inlineStr"/>
      <c r="V814" s="55" t="n"/>
      <c r="W814" s="51" t="inlineStr"/>
      <c r="X814" s="51" t="inlineStr"/>
      <c r="Y814" s="51" t="n"/>
      <c r="AB814" s="57" t="n"/>
      <c r="AC814" s="90" t="n"/>
      <c r="AD814" s="90" t="n"/>
      <c r="AE814" s="88" t="n"/>
      <c r="AF814" s="91" t="n"/>
      <c r="AG814" s="91" t="n"/>
      <c r="AH814" s="88" t="n"/>
      <c r="AI814" s="88" t="n"/>
      <c r="AJ814" s="90" t="n"/>
      <c r="AK814" s="88" t="n"/>
      <c r="AL814" s="91" t="n"/>
      <c r="AM814" s="88" t="n"/>
      <c r="AN814" s="95" t="n"/>
      <c r="AO814" s="90" t="n"/>
      <c r="AP814" s="90" t="n"/>
    </row>
    <row r="815" ht="14.25" customHeight="1" s="84">
      <c r="A815" s="51" t="n"/>
      <c r="B815" s="47" t="n"/>
      <c r="C815" s="51" t="n"/>
      <c r="D815" s="51" t="n"/>
      <c r="E815" s="51" t="n"/>
      <c r="F815" s="51" t="n"/>
      <c r="G815" s="47" t="n"/>
      <c r="H815" s="51" t="n"/>
      <c r="I815" s="51" t="n"/>
      <c r="J815" s="51" t="n"/>
      <c r="K815" s="51" t="n"/>
      <c r="L815" s="51" t="n"/>
      <c r="N815" s="51" t="n"/>
      <c r="Q815" s="51" t="n"/>
      <c r="S815" s="51" t="n"/>
      <c r="T815" s="51" t="n"/>
      <c r="U815" s="51" t="inlineStr"/>
      <c r="V815" s="55" t="n"/>
      <c r="W815" s="51" t="inlineStr"/>
      <c r="X815" s="51" t="inlineStr"/>
      <c r="Y815" s="51" t="n"/>
      <c r="AB815" s="57" t="n"/>
      <c r="AC815" s="90" t="n"/>
      <c r="AD815" s="90" t="n"/>
      <c r="AE815" s="88" t="n"/>
      <c r="AF815" s="91" t="n"/>
      <c r="AG815" s="91" t="n"/>
      <c r="AH815" s="88" t="n"/>
      <c r="AI815" s="88" t="n"/>
      <c r="AJ815" s="90" t="n"/>
      <c r="AK815" s="88" t="n"/>
      <c r="AL815" s="91" t="n"/>
      <c r="AM815" s="88" t="n"/>
      <c r="AN815" s="95" t="n"/>
      <c r="AO815" s="90" t="n"/>
      <c r="AP815" s="90" t="n"/>
    </row>
    <row r="816" ht="14.25" customHeight="1" s="84">
      <c r="A816" s="51" t="n"/>
      <c r="B816" s="47" t="n"/>
      <c r="C816" s="51" t="n"/>
      <c r="D816" s="51" t="n"/>
      <c r="E816" s="51" t="n"/>
      <c r="F816" s="51" t="n"/>
      <c r="G816" s="47" t="n"/>
      <c r="H816" s="51" t="n"/>
      <c r="I816" s="51" t="n"/>
      <c r="J816" s="51" t="n"/>
      <c r="K816" s="51" t="n"/>
      <c r="L816" s="51" t="n"/>
      <c r="N816" s="51" t="n"/>
      <c r="Q816" s="51" t="n"/>
      <c r="S816" s="51" t="n"/>
      <c r="T816" s="51" t="n"/>
      <c r="U816" s="51" t="inlineStr"/>
      <c r="V816" s="55" t="n"/>
      <c r="W816" s="51" t="inlineStr"/>
      <c r="X816" s="51" t="inlineStr"/>
      <c r="Y816" s="51" t="n"/>
      <c r="AB816" s="57" t="n"/>
      <c r="AC816" s="90" t="n"/>
      <c r="AD816" s="90" t="n"/>
      <c r="AE816" s="88" t="n"/>
      <c r="AF816" s="91" t="n"/>
      <c r="AG816" s="91" t="n"/>
      <c r="AH816" s="88" t="n"/>
      <c r="AI816" s="88" t="n"/>
      <c r="AJ816" s="90" t="n"/>
      <c r="AK816" s="88" t="n"/>
      <c r="AL816" s="91" t="n"/>
      <c r="AM816" s="88" t="n"/>
      <c r="AN816" s="95" t="n"/>
      <c r="AO816" s="90" t="n"/>
      <c r="AP816" s="90" t="n"/>
    </row>
    <row r="817" ht="14.25" customHeight="1" s="84">
      <c r="A817" s="51" t="n"/>
      <c r="B817" s="47" t="n"/>
      <c r="C817" s="51" t="n"/>
      <c r="D817" s="51" t="n"/>
      <c r="E817" s="51" t="n"/>
      <c r="F817" s="51" t="n"/>
      <c r="G817" s="47" t="n"/>
      <c r="H817" s="51" t="n"/>
      <c r="I817" s="51" t="n"/>
      <c r="J817" s="51" t="n"/>
      <c r="K817" s="51" t="n"/>
      <c r="L817" s="51" t="n"/>
      <c r="N817" s="51" t="n"/>
      <c r="Q817" s="51" t="n"/>
      <c r="S817" s="51" t="n"/>
      <c r="T817" s="51" t="n"/>
      <c r="U817" s="51" t="inlineStr"/>
      <c r="V817" s="55" t="n"/>
      <c r="W817" s="51" t="inlineStr"/>
      <c r="X817" s="51" t="inlineStr"/>
      <c r="Y817" s="51" t="n"/>
      <c r="AB817" s="57" t="n"/>
      <c r="AC817" s="90" t="n"/>
      <c r="AD817" s="90" t="n"/>
      <c r="AE817" s="88" t="n"/>
      <c r="AF817" s="91" t="n"/>
      <c r="AG817" s="91" t="n"/>
      <c r="AH817" s="88" t="n"/>
      <c r="AI817" s="88" t="n"/>
      <c r="AJ817" s="90" t="n"/>
      <c r="AK817" s="88" t="n"/>
      <c r="AL817" s="91" t="n"/>
      <c r="AM817" s="88" t="n"/>
      <c r="AN817" s="95" t="n"/>
      <c r="AO817" s="90" t="n"/>
      <c r="AP817" s="90" t="n"/>
    </row>
    <row r="818" ht="14.25" customHeight="1" s="84">
      <c r="A818" s="51" t="n"/>
      <c r="B818" s="47" t="n"/>
      <c r="C818" s="51" t="n"/>
      <c r="D818" s="51" t="n"/>
      <c r="E818" s="51" t="n"/>
      <c r="F818" s="51" t="n"/>
      <c r="G818" s="47" t="n"/>
      <c r="H818" s="51" t="n"/>
      <c r="I818" s="51" t="n"/>
      <c r="J818" s="51" t="n"/>
      <c r="K818" s="51" t="n"/>
      <c r="L818" s="51" t="n"/>
      <c r="N818" s="51" t="n"/>
      <c r="Q818" s="51" t="n"/>
      <c r="S818" s="51" t="n"/>
      <c r="T818" s="51" t="n"/>
      <c r="U818" s="51" t="inlineStr"/>
      <c r="V818" s="55" t="n"/>
      <c r="W818" s="51" t="inlineStr"/>
      <c r="X818" s="51" t="inlineStr"/>
      <c r="Y818" s="51" t="n"/>
      <c r="AB818" s="57" t="n"/>
      <c r="AC818" s="90" t="n"/>
      <c r="AD818" s="90" t="n"/>
      <c r="AE818" s="88" t="n"/>
      <c r="AF818" s="91" t="n"/>
      <c r="AG818" s="91" t="n"/>
      <c r="AH818" s="88" t="n"/>
      <c r="AI818" s="88" t="n"/>
      <c r="AJ818" s="90" t="n"/>
      <c r="AK818" s="88" t="n"/>
      <c r="AL818" s="91" t="n"/>
      <c r="AM818" s="88" t="n"/>
      <c r="AN818" s="95" t="n"/>
      <c r="AO818" s="90" t="n"/>
      <c r="AP818" s="90" t="n"/>
    </row>
    <row r="819" ht="14.25" customHeight="1" s="84">
      <c r="A819" s="51" t="n"/>
      <c r="B819" s="47" t="n"/>
      <c r="C819" s="51" t="n"/>
      <c r="D819" s="51" t="n"/>
      <c r="E819" s="51" t="n"/>
      <c r="F819" s="51" t="n"/>
      <c r="G819" s="47" t="n"/>
      <c r="H819" s="51" t="n"/>
      <c r="I819" s="51" t="n"/>
      <c r="J819" s="51" t="n"/>
      <c r="K819" s="51" t="n"/>
      <c r="L819" s="51" t="n"/>
      <c r="N819" s="51" t="n"/>
      <c r="Q819" s="51" t="n"/>
      <c r="S819" s="51" t="n"/>
      <c r="T819" s="51" t="n"/>
      <c r="U819" s="51" t="inlineStr"/>
      <c r="V819" s="55" t="n"/>
      <c r="W819" s="51" t="inlineStr"/>
      <c r="X819" s="51" t="inlineStr"/>
      <c r="Y819" s="51" t="n"/>
      <c r="AB819" s="57" t="n"/>
      <c r="AC819" s="90" t="n"/>
      <c r="AD819" s="90" t="n"/>
      <c r="AE819" s="88" t="n"/>
      <c r="AF819" s="91" t="n"/>
      <c r="AG819" s="91" t="n"/>
      <c r="AH819" s="88" t="n"/>
      <c r="AI819" s="88" t="n"/>
      <c r="AJ819" s="90" t="n"/>
      <c r="AK819" s="88" t="n"/>
      <c r="AL819" s="91" t="n"/>
      <c r="AM819" s="88" t="n"/>
      <c r="AN819" s="95" t="n"/>
      <c r="AO819" s="90" t="n"/>
      <c r="AP819" s="90" t="n"/>
    </row>
    <row r="820" ht="14.25" customHeight="1" s="84">
      <c r="A820" s="51" t="n"/>
      <c r="B820" s="47" t="n"/>
      <c r="C820" s="51" t="n"/>
      <c r="D820" s="51" t="n"/>
      <c r="E820" s="51" t="n"/>
      <c r="F820" s="51" t="n"/>
      <c r="G820" s="47" t="n"/>
      <c r="H820" s="51" t="n"/>
      <c r="I820" s="51" t="n"/>
      <c r="J820" s="51" t="n"/>
      <c r="K820" s="51" t="n"/>
      <c r="L820" s="51" t="n"/>
      <c r="N820" s="51" t="n"/>
      <c r="Q820" s="51" t="n"/>
      <c r="S820" s="51" t="n"/>
      <c r="T820" s="51" t="n"/>
      <c r="U820" s="51" t="inlineStr"/>
      <c r="V820" s="55" t="n"/>
      <c r="W820" s="51" t="inlineStr"/>
      <c r="X820" s="51" t="inlineStr"/>
      <c r="Y820" s="51" t="n"/>
      <c r="AB820" s="57" t="n"/>
      <c r="AC820" s="90" t="n"/>
      <c r="AD820" s="90" t="n"/>
      <c r="AE820" s="88" t="n"/>
      <c r="AF820" s="91" t="n"/>
      <c r="AG820" s="91" t="n"/>
      <c r="AH820" s="88" t="n"/>
      <c r="AI820" s="88" t="n"/>
      <c r="AJ820" s="90" t="n"/>
      <c r="AK820" s="88" t="n"/>
      <c r="AL820" s="91" t="n"/>
      <c r="AM820" s="88" t="n"/>
      <c r="AN820" s="95" t="n"/>
      <c r="AO820" s="90" t="n"/>
      <c r="AP820" s="90" t="n"/>
    </row>
    <row r="821" ht="14.25" customHeight="1" s="84">
      <c r="A821" s="51" t="n"/>
      <c r="B821" s="47" t="n"/>
      <c r="C821" s="51" t="n"/>
      <c r="D821" s="51" t="n"/>
      <c r="E821" s="51" t="n"/>
      <c r="F821" s="51" t="n"/>
      <c r="G821" s="47" t="n"/>
      <c r="H821" s="51" t="n"/>
      <c r="I821" s="51" t="n"/>
      <c r="J821" s="51" t="n"/>
      <c r="K821" s="51" t="n"/>
      <c r="L821" s="51" t="n"/>
      <c r="N821" s="51" t="n"/>
      <c r="Q821" s="51" t="n"/>
      <c r="S821" s="51" t="n"/>
      <c r="T821" s="51" t="n"/>
      <c r="U821" s="51" t="inlineStr"/>
      <c r="V821" s="55" t="n"/>
      <c r="W821" s="51" t="inlineStr"/>
      <c r="X821" s="51" t="inlineStr"/>
      <c r="Y821" s="51" t="n"/>
      <c r="AB821" s="57" t="n"/>
      <c r="AC821" s="90" t="n"/>
      <c r="AD821" s="90" t="n"/>
      <c r="AE821" s="88" t="n"/>
      <c r="AF821" s="91" t="n"/>
      <c r="AG821" s="91" t="n"/>
      <c r="AH821" s="88" t="n"/>
      <c r="AI821" s="88" t="n"/>
      <c r="AJ821" s="90" t="n"/>
      <c r="AK821" s="88" t="n"/>
      <c r="AL821" s="91" t="n"/>
      <c r="AM821" s="88" t="n"/>
      <c r="AN821" s="95" t="n"/>
      <c r="AO821" s="90" t="n"/>
      <c r="AP821" s="90" t="n"/>
    </row>
    <row r="822" ht="14.25" customHeight="1" s="84">
      <c r="A822" s="51" t="n"/>
      <c r="B822" s="47" t="n"/>
      <c r="C822" s="51" t="n"/>
      <c r="D822" s="51" t="n"/>
      <c r="E822" s="51" t="n"/>
      <c r="F822" s="51" t="n"/>
      <c r="G822" s="47" t="n"/>
      <c r="H822" s="51" t="n"/>
      <c r="I822" s="51" t="n"/>
      <c r="J822" s="51" t="n"/>
      <c r="K822" s="51" t="n"/>
      <c r="L822" s="51" t="n"/>
      <c r="N822" s="51" t="n"/>
      <c r="Q822" s="51" t="n"/>
      <c r="S822" s="51" t="n"/>
      <c r="T822" s="51" t="n"/>
      <c r="U822" s="51" t="inlineStr"/>
      <c r="V822" s="55" t="n"/>
      <c r="W822" s="51" t="inlineStr"/>
      <c r="X822" s="51" t="inlineStr"/>
      <c r="Y822" s="51" t="n"/>
      <c r="AB822" s="57" t="n"/>
      <c r="AC822" s="90" t="n"/>
      <c r="AD822" s="90" t="n"/>
      <c r="AE822" s="88" t="n"/>
      <c r="AF822" s="91" t="n"/>
      <c r="AG822" s="91" t="n"/>
      <c r="AH822" s="88" t="n"/>
      <c r="AI822" s="88" t="n"/>
      <c r="AJ822" s="90" t="n"/>
      <c r="AK822" s="88" t="n"/>
      <c r="AL822" s="91" t="n"/>
      <c r="AM822" s="88" t="n"/>
      <c r="AN822" s="95" t="n"/>
      <c r="AO822" s="90" t="n"/>
      <c r="AP822" s="90" t="n"/>
    </row>
    <row r="823" ht="14.25" customHeight="1" s="84">
      <c r="A823" s="51" t="n"/>
      <c r="B823" s="47" t="n"/>
      <c r="C823" s="51" t="n"/>
      <c r="D823" s="51" t="n"/>
      <c r="E823" s="51" t="n"/>
      <c r="F823" s="51" t="n"/>
      <c r="G823" s="47" t="n"/>
      <c r="H823" s="51" t="n"/>
      <c r="I823" s="51" t="n"/>
      <c r="J823" s="51" t="n"/>
      <c r="K823" s="51" t="n"/>
      <c r="L823" s="51" t="n"/>
      <c r="N823" s="51" t="n"/>
      <c r="Q823" s="51" t="n"/>
      <c r="S823" s="51" t="n"/>
      <c r="T823" s="51" t="n"/>
      <c r="U823" s="51" t="inlineStr"/>
      <c r="V823" s="55" t="n"/>
      <c r="W823" s="51" t="inlineStr"/>
      <c r="X823" s="51" t="inlineStr"/>
      <c r="Y823" s="51" t="n"/>
      <c r="AB823" s="57" t="n"/>
      <c r="AC823" s="90" t="n"/>
      <c r="AD823" s="90" t="n"/>
      <c r="AE823" s="88" t="n"/>
      <c r="AF823" s="91" t="n"/>
      <c r="AG823" s="91" t="n"/>
      <c r="AH823" s="88" t="n"/>
      <c r="AI823" s="88" t="n"/>
      <c r="AJ823" s="90" t="n"/>
      <c r="AK823" s="88" t="n"/>
      <c r="AL823" s="91" t="n"/>
      <c r="AM823" s="88" t="n"/>
      <c r="AN823" s="95" t="n"/>
      <c r="AO823" s="90" t="n"/>
      <c r="AP823" s="90" t="n"/>
    </row>
    <row r="824" ht="14.25" customHeight="1" s="84">
      <c r="A824" s="51" t="n"/>
      <c r="B824" s="47" t="n"/>
      <c r="C824" s="51" t="n"/>
      <c r="D824" s="51" t="n"/>
      <c r="E824" s="51" t="n"/>
      <c r="F824" s="51" t="n"/>
      <c r="G824" s="47" t="n"/>
      <c r="H824" s="51" t="n"/>
      <c r="I824" s="51" t="n"/>
      <c r="J824" s="51" t="n"/>
      <c r="K824" s="51" t="n"/>
      <c r="L824" s="51" t="n"/>
      <c r="N824" s="51" t="n"/>
      <c r="Q824" s="51" t="n"/>
      <c r="S824" s="51" t="n"/>
      <c r="T824" s="51" t="n"/>
      <c r="U824" s="51" t="inlineStr"/>
      <c r="V824" s="55" t="n"/>
      <c r="W824" s="51" t="inlineStr"/>
      <c r="X824" s="51" t="inlineStr"/>
      <c r="Y824" s="51" t="n"/>
      <c r="AB824" s="57" t="n"/>
      <c r="AC824" s="90" t="n"/>
      <c r="AD824" s="90" t="n"/>
      <c r="AE824" s="88" t="n"/>
      <c r="AF824" s="91" t="n"/>
      <c r="AG824" s="91" t="n"/>
      <c r="AH824" s="88" t="n"/>
      <c r="AI824" s="88" t="n"/>
      <c r="AJ824" s="90" t="n"/>
      <c r="AK824" s="88" t="n"/>
      <c r="AL824" s="91" t="n"/>
      <c r="AM824" s="88" t="n"/>
      <c r="AN824" s="95" t="n"/>
      <c r="AO824" s="90" t="n"/>
      <c r="AP824" s="90" t="n"/>
    </row>
    <row r="825" ht="14.25" customHeight="1" s="84">
      <c r="A825" s="51" t="n"/>
      <c r="B825" s="47" t="n"/>
      <c r="C825" s="51" t="n"/>
      <c r="D825" s="51" t="n"/>
      <c r="E825" s="51" t="n"/>
      <c r="F825" s="51" t="n"/>
      <c r="G825" s="47" t="n"/>
      <c r="H825" s="51" t="n"/>
      <c r="I825" s="51" t="n"/>
      <c r="J825" s="51" t="n"/>
      <c r="K825" s="51" t="n"/>
      <c r="L825" s="51" t="n"/>
      <c r="N825" s="51" t="n"/>
      <c r="Q825" s="51" t="n"/>
      <c r="S825" s="51" t="n"/>
      <c r="T825" s="51" t="n"/>
      <c r="U825" s="51" t="inlineStr"/>
      <c r="V825" s="55" t="n"/>
      <c r="W825" s="51" t="inlineStr"/>
      <c r="X825" s="51" t="inlineStr"/>
      <c r="Y825" s="51" t="n"/>
      <c r="AB825" s="57" t="n"/>
      <c r="AC825" s="90" t="n"/>
      <c r="AD825" s="90" t="n"/>
      <c r="AE825" s="88" t="n"/>
      <c r="AF825" s="91" t="n"/>
      <c r="AG825" s="91" t="n"/>
      <c r="AH825" s="88" t="n"/>
      <c r="AI825" s="88" t="n"/>
      <c r="AJ825" s="90" t="n"/>
      <c r="AK825" s="88" t="n"/>
      <c r="AL825" s="91" t="n"/>
      <c r="AM825" s="88" t="n"/>
      <c r="AN825" s="95" t="n"/>
      <c r="AO825" s="90" t="n"/>
      <c r="AP825" s="90" t="n"/>
    </row>
    <row r="826" ht="14.25" customHeight="1" s="84">
      <c r="A826" s="51" t="n"/>
      <c r="B826" s="47" t="n"/>
      <c r="C826" s="51" t="n"/>
      <c r="D826" s="51" t="n"/>
      <c r="E826" s="51" t="n"/>
      <c r="F826" s="51" t="n"/>
      <c r="G826" s="47" t="n"/>
      <c r="H826" s="51" t="n"/>
      <c r="I826" s="51" t="n"/>
      <c r="J826" s="51" t="n"/>
      <c r="K826" s="51" t="n"/>
      <c r="L826" s="51" t="n"/>
      <c r="N826" s="51" t="n"/>
      <c r="Q826" s="51" t="n"/>
      <c r="S826" s="51" t="n"/>
      <c r="T826" s="51" t="n"/>
      <c r="U826" s="51" t="inlineStr"/>
      <c r="V826" s="55" t="n"/>
      <c r="W826" s="51" t="inlineStr"/>
      <c r="X826" s="51" t="inlineStr"/>
      <c r="Y826" s="51" t="n"/>
      <c r="AB826" s="57" t="n"/>
      <c r="AC826" s="90" t="n"/>
      <c r="AD826" s="90" t="n"/>
      <c r="AE826" s="88" t="n"/>
      <c r="AF826" s="91" t="n"/>
      <c r="AG826" s="91" t="n"/>
      <c r="AH826" s="88" t="n"/>
      <c r="AI826" s="88" t="n"/>
      <c r="AJ826" s="90" t="n"/>
      <c r="AK826" s="88" t="n"/>
      <c r="AL826" s="91" t="n"/>
      <c r="AM826" s="88" t="n"/>
      <c r="AN826" s="95" t="n"/>
      <c r="AO826" s="90" t="n"/>
      <c r="AP826" s="90" t="n"/>
    </row>
    <row r="827" ht="14.25" customHeight="1" s="84">
      <c r="A827" s="51" t="n"/>
      <c r="B827" s="47" t="n"/>
      <c r="C827" s="51" t="n"/>
      <c r="D827" s="51" t="n"/>
      <c r="E827" s="51" t="n"/>
      <c r="F827" s="51" t="n"/>
      <c r="G827" s="47" t="n"/>
      <c r="H827" s="51" t="n"/>
      <c r="I827" s="51" t="n"/>
      <c r="J827" s="51" t="n"/>
      <c r="K827" s="51" t="n"/>
      <c r="L827" s="51" t="n"/>
      <c r="N827" s="51" t="n"/>
      <c r="Q827" s="51" t="n"/>
      <c r="S827" s="51" t="n"/>
      <c r="T827" s="51" t="n"/>
      <c r="U827" s="51" t="inlineStr"/>
      <c r="V827" s="55" t="n"/>
      <c r="W827" s="51" t="inlineStr"/>
      <c r="X827" s="51" t="inlineStr"/>
      <c r="Y827" s="51" t="n"/>
      <c r="AB827" s="57" t="n"/>
      <c r="AC827" s="90" t="n"/>
      <c r="AD827" s="90" t="n"/>
      <c r="AE827" s="88" t="n"/>
      <c r="AF827" s="91" t="n"/>
      <c r="AG827" s="91" t="n"/>
      <c r="AH827" s="88" t="n"/>
      <c r="AI827" s="88" t="n"/>
      <c r="AJ827" s="90" t="n"/>
      <c r="AK827" s="88" t="n"/>
      <c r="AL827" s="91" t="n"/>
      <c r="AM827" s="88" t="n"/>
      <c r="AN827" s="95" t="n"/>
      <c r="AO827" s="90" t="n"/>
      <c r="AP827" s="90" t="n"/>
    </row>
    <row r="828" ht="14.25" customHeight="1" s="84">
      <c r="A828" s="51" t="n"/>
      <c r="B828" s="47" t="n"/>
      <c r="C828" s="51" t="n"/>
      <c r="D828" s="51" t="n"/>
      <c r="E828" s="51" t="n"/>
      <c r="F828" s="51" t="n"/>
      <c r="G828" s="47" t="n"/>
      <c r="H828" s="51" t="n"/>
      <c r="I828" s="51" t="n"/>
      <c r="J828" s="51" t="n"/>
      <c r="K828" s="51" t="n"/>
      <c r="L828" s="51" t="n"/>
      <c r="N828" s="51" t="n"/>
      <c r="Q828" s="51" t="n"/>
      <c r="S828" s="51" t="n"/>
      <c r="T828" s="51" t="n"/>
      <c r="U828" s="51" t="inlineStr"/>
      <c r="V828" s="55" t="n"/>
      <c r="W828" s="51" t="inlineStr"/>
      <c r="X828" s="51" t="inlineStr"/>
      <c r="Y828" s="51" t="n"/>
      <c r="AB828" s="57" t="n"/>
      <c r="AC828" s="90" t="n"/>
      <c r="AD828" s="90" t="n"/>
      <c r="AE828" s="88" t="n"/>
      <c r="AF828" s="91" t="n"/>
      <c r="AG828" s="91" t="n"/>
      <c r="AH828" s="88" t="n"/>
      <c r="AI828" s="88" t="n"/>
      <c r="AJ828" s="90" t="n"/>
      <c r="AK828" s="88" t="n"/>
      <c r="AL828" s="91" t="n"/>
      <c r="AM828" s="88" t="n"/>
      <c r="AN828" s="95" t="n"/>
      <c r="AO828" s="90" t="n"/>
      <c r="AP828" s="90" t="n"/>
    </row>
    <row r="829" ht="14.25" customHeight="1" s="84">
      <c r="A829" s="51" t="n"/>
      <c r="B829" s="47" t="n"/>
      <c r="C829" s="51" t="n"/>
      <c r="D829" s="51" t="n"/>
      <c r="E829" s="51" t="n"/>
      <c r="F829" s="51" t="n"/>
      <c r="G829" s="47" t="n"/>
      <c r="H829" s="51" t="n"/>
      <c r="I829" s="51" t="n"/>
      <c r="J829" s="51" t="n"/>
      <c r="K829" s="51" t="n"/>
      <c r="L829" s="51" t="n"/>
      <c r="N829" s="51" t="n"/>
      <c r="Q829" s="51" t="n"/>
      <c r="S829" s="51" t="n"/>
      <c r="T829" s="51" t="n"/>
      <c r="U829" s="51" t="inlineStr"/>
      <c r="V829" s="55" t="n"/>
      <c r="W829" s="51" t="inlineStr"/>
      <c r="X829" s="51" t="inlineStr"/>
      <c r="Y829" s="51" t="n"/>
      <c r="AB829" s="57" t="n"/>
      <c r="AC829" s="90" t="n"/>
      <c r="AD829" s="90" t="n"/>
      <c r="AE829" s="88" t="n"/>
      <c r="AF829" s="91" t="n"/>
      <c r="AG829" s="91" t="n"/>
      <c r="AH829" s="88" t="n"/>
      <c r="AI829" s="88" t="n"/>
      <c r="AJ829" s="90" t="n"/>
      <c r="AK829" s="88" t="n"/>
      <c r="AL829" s="91" t="n"/>
      <c r="AM829" s="88" t="n"/>
      <c r="AN829" s="95" t="n"/>
      <c r="AO829" s="90" t="n"/>
      <c r="AP829" s="90" t="n"/>
    </row>
    <row r="830" ht="14.25" customHeight="1" s="84">
      <c r="A830" s="51" t="n"/>
      <c r="B830" s="47" t="n"/>
      <c r="C830" s="51" t="n"/>
      <c r="D830" s="51" t="n"/>
      <c r="E830" s="51" t="n"/>
      <c r="F830" s="51" t="n"/>
      <c r="G830" s="47" t="n"/>
      <c r="H830" s="51" t="n"/>
      <c r="I830" s="51" t="n"/>
      <c r="J830" s="51" t="n"/>
      <c r="K830" s="51" t="n"/>
      <c r="L830" s="51" t="n"/>
      <c r="N830" s="51" t="n"/>
      <c r="Q830" s="51" t="n"/>
      <c r="S830" s="51" t="n"/>
      <c r="T830" s="51" t="n"/>
      <c r="U830" s="51" t="inlineStr"/>
      <c r="V830" s="55" t="n"/>
      <c r="W830" s="51" t="inlineStr"/>
      <c r="X830" s="51" t="inlineStr"/>
      <c r="Y830" s="51" t="n"/>
      <c r="AB830" s="57" t="n"/>
      <c r="AC830" s="90" t="n"/>
      <c r="AD830" s="90" t="n"/>
      <c r="AE830" s="88" t="n"/>
      <c r="AF830" s="91" t="n"/>
      <c r="AG830" s="91" t="n"/>
      <c r="AH830" s="88" t="n"/>
      <c r="AI830" s="88" t="n"/>
      <c r="AJ830" s="90" t="n"/>
      <c r="AK830" s="88" t="n"/>
      <c r="AL830" s="91" t="n"/>
      <c r="AM830" s="88" t="n"/>
      <c r="AN830" s="95" t="n"/>
      <c r="AO830" s="90" t="n"/>
      <c r="AP830" s="90" t="n"/>
    </row>
    <row r="831" ht="14.25" customHeight="1" s="84">
      <c r="A831" s="51" t="n"/>
      <c r="B831" s="47" t="n"/>
      <c r="C831" s="51" t="n"/>
      <c r="D831" s="51" t="n"/>
      <c r="E831" s="51" t="n"/>
      <c r="F831" s="51" t="n"/>
      <c r="G831" s="47" t="n"/>
      <c r="H831" s="51" t="n"/>
      <c r="I831" s="51" t="n"/>
      <c r="J831" s="51" t="n"/>
      <c r="K831" s="51" t="n"/>
      <c r="L831" s="51" t="n"/>
      <c r="N831" s="51" t="n"/>
      <c r="Q831" s="51" t="n"/>
      <c r="S831" s="51" t="n"/>
      <c r="T831" s="51" t="n"/>
      <c r="U831" s="51" t="inlineStr"/>
      <c r="V831" s="55" t="n"/>
      <c r="W831" s="51" t="inlineStr"/>
      <c r="X831" s="51" t="inlineStr"/>
      <c r="Y831" s="51" t="n"/>
      <c r="AB831" s="57" t="n"/>
      <c r="AC831" s="90" t="n"/>
      <c r="AD831" s="90" t="n"/>
      <c r="AE831" s="88" t="n"/>
      <c r="AF831" s="91" t="n"/>
      <c r="AG831" s="91" t="n"/>
      <c r="AH831" s="88" t="n"/>
      <c r="AI831" s="88" t="n"/>
      <c r="AJ831" s="90" t="n"/>
      <c r="AK831" s="88" t="n"/>
      <c r="AL831" s="91" t="n"/>
      <c r="AM831" s="88" t="n"/>
      <c r="AN831" s="95" t="n"/>
      <c r="AO831" s="90" t="n"/>
      <c r="AP831" s="90" t="n"/>
    </row>
    <row r="832" ht="14.25" customHeight="1" s="84">
      <c r="A832" s="51" t="n"/>
      <c r="B832" s="47" t="n"/>
      <c r="C832" s="51" t="n"/>
      <c r="D832" s="51" t="n"/>
      <c r="E832" s="51" t="n"/>
      <c r="F832" s="51" t="n"/>
      <c r="G832" s="47" t="n"/>
      <c r="H832" s="51" t="n"/>
      <c r="I832" s="51" t="n"/>
      <c r="J832" s="51" t="n"/>
      <c r="K832" s="51" t="n"/>
      <c r="L832" s="51" t="n"/>
      <c r="N832" s="51" t="n"/>
      <c r="Q832" s="51" t="n"/>
      <c r="S832" s="51" t="n"/>
      <c r="T832" s="51" t="n"/>
      <c r="U832" s="51" t="inlineStr"/>
      <c r="V832" s="55" t="n"/>
      <c r="W832" s="51" t="inlineStr"/>
      <c r="X832" s="51" t="inlineStr"/>
      <c r="Y832" s="51" t="n"/>
      <c r="AB832" s="57" t="n"/>
      <c r="AC832" s="90" t="n"/>
      <c r="AD832" s="90" t="n"/>
      <c r="AE832" s="88" t="n"/>
      <c r="AF832" s="91" t="n"/>
      <c r="AG832" s="91" t="n"/>
      <c r="AH832" s="88" t="n"/>
      <c r="AI832" s="88" t="n"/>
      <c r="AJ832" s="90" t="n"/>
      <c r="AK832" s="88" t="n"/>
      <c r="AL832" s="91" t="n"/>
      <c r="AM832" s="88" t="n"/>
      <c r="AN832" s="95" t="n"/>
      <c r="AO832" s="90" t="n"/>
      <c r="AP832" s="90" t="n"/>
    </row>
    <row r="833" ht="14.25" customHeight="1" s="84">
      <c r="A833" s="51" t="n"/>
      <c r="B833" s="47" t="n"/>
      <c r="C833" s="51" t="n"/>
      <c r="D833" s="51" t="n"/>
      <c r="E833" s="51" t="n"/>
      <c r="F833" s="51" t="n"/>
      <c r="G833" s="47" t="n"/>
      <c r="H833" s="51" t="n"/>
      <c r="I833" s="51" t="n"/>
      <c r="J833" s="51" t="n"/>
      <c r="K833" s="51" t="n"/>
      <c r="L833" s="51" t="n"/>
      <c r="N833" s="51" t="n"/>
      <c r="Q833" s="51" t="n"/>
      <c r="S833" s="51" t="n"/>
      <c r="T833" s="51" t="n"/>
      <c r="U833" s="51" t="inlineStr"/>
      <c r="V833" s="55" t="n"/>
      <c r="W833" s="51" t="inlineStr"/>
      <c r="X833" s="51" t="inlineStr"/>
      <c r="Y833" s="51" t="n"/>
      <c r="AB833" s="57" t="n"/>
      <c r="AC833" s="90" t="n"/>
      <c r="AD833" s="90" t="n"/>
      <c r="AE833" s="88" t="n"/>
      <c r="AF833" s="91" t="n"/>
      <c r="AG833" s="91" t="n"/>
      <c r="AH833" s="88" t="n"/>
      <c r="AI833" s="88" t="n"/>
      <c r="AJ833" s="90" t="n"/>
      <c r="AK833" s="88" t="n"/>
      <c r="AL833" s="91" t="n"/>
      <c r="AM833" s="88" t="n"/>
      <c r="AN833" s="95" t="n"/>
      <c r="AO833" s="90" t="n"/>
      <c r="AP833" s="90" t="n"/>
    </row>
    <row r="834" ht="14.25" customHeight="1" s="84">
      <c r="A834" s="51" t="n"/>
      <c r="B834" s="47" t="n"/>
      <c r="C834" s="51" t="n"/>
      <c r="D834" s="51" t="n"/>
      <c r="E834" s="51" t="n"/>
      <c r="F834" s="51" t="n"/>
      <c r="G834" s="47" t="n"/>
      <c r="H834" s="51" t="n"/>
      <c r="I834" s="51" t="n"/>
      <c r="J834" s="51" t="n"/>
      <c r="K834" s="51" t="n"/>
      <c r="L834" s="51" t="n"/>
      <c r="N834" s="51" t="n"/>
      <c r="Q834" s="51" t="n"/>
      <c r="S834" s="51" t="n"/>
      <c r="T834" s="51" t="n"/>
      <c r="U834" s="51" t="inlineStr"/>
      <c r="V834" s="55" t="n"/>
      <c r="W834" s="51" t="inlineStr"/>
      <c r="X834" s="51" t="inlineStr"/>
      <c r="Y834" s="51" t="n"/>
      <c r="AB834" s="57" t="n"/>
      <c r="AC834" s="90" t="n"/>
      <c r="AD834" s="90" t="n"/>
      <c r="AE834" s="88" t="n"/>
      <c r="AF834" s="91" t="n"/>
      <c r="AG834" s="91" t="n"/>
      <c r="AH834" s="88" t="n"/>
      <c r="AI834" s="88" t="n"/>
      <c r="AJ834" s="90" t="n"/>
      <c r="AK834" s="88" t="n"/>
      <c r="AL834" s="91" t="n"/>
      <c r="AM834" s="88" t="n"/>
      <c r="AN834" s="95" t="n"/>
      <c r="AO834" s="90" t="n"/>
      <c r="AP834" s="90" t="n"/>
    </row>
    <row r="835" ht="14.25" customHeight="1" s="84">
      <c r="A835" s="51" t="n"/>
      <c r="B835" s="47" t="n"/>
      <c r="C835" s="51" t="n"/>
      <c r="D835" s="51" t="n"/>
      <c r="E835" s="51" t="n"/>
      <c r="F835" s="51" t="n"/>
      <c r="G835" s="47" t="n"/>
      <c r="H835" s="51" t="n"/>
      <c r="I835" s="51" t="n"/>
      <c r="J835" s="51" t="n"/>
      <c r="K835" s="51" t="n"/>
      <c r="L835" s="51" t="n"/>
      <c r="N835" s="51" t="n"/>
      <c r="Q835" s="51" t="n"/>
      <c r="S835" s="51" t="n"/>
      <c r="T835" s="51" t="n"/>
      <c r="U835" s="51" t="inlineStr"/>
      <c r="V835" s="55" t="n"/>
      <c r="W835" s="51" t="inlineStr"/>
      <c r="X835" s="51" t="inlineStr"/>
      <c r="Y835" s="51" t="n"/>
      <c r="AB835" s="57" t="n"/>
      <c r="AC835" s="90" t="n"/>
      <c r="AD835" s="90" t="n"/>
      <c r="AE835" s="88" t="n"/>
      <c r="AF835" s="91" t="n"/>
      <c r="AG835" s="91" t="n"/>
      <c r="AH835" s="88" t="n"/>
      <c r="AI835" s="88" t="n"/>
      <c r="AJ835" s="90" t="n"/>
      <c r="AK835" s="88" t="n"/>
      <c r="AL835" s="91" t="n"/>
      <c r="AM835" s="88" t="n"/>
      <c r="AN835" s="95" t="n"/>
      <c r="AO835" s="90" t="n"/>
      <c r="AP835" s="90" t="n"/>
    </row>
    <row r="836" ht="14.25" customHeight="1" s="84">
      <c r="A836" s="51" t="n"/>
      <c r="B836" s="47" t="n"/>
      <c r="C836" s="51" t="n"/>
      <c r="D836" s="51" t="n"/>
      <c r="E836" s="51" t="n"/>
      <c r="F836" s="51" t="n"/>
      <c r="G836" s="47" t="n"/>
      <c r="H836" s="51" t="n"/>
      <c r="I836" s="51" t="n"/>
      <c r="J836" s="51" t="n"/>
      <c r="K836" s="51" t="n"/>
      <c r="L836" s="51" t="n"/>
      <c r="N836" s="51" t="n"/>
      <c r="Q836" s="51" t="n"/>
      <c r="S836" s="51" t="n"/>
      <c r="T836" s="51" t="n"/>
      <c r="U836" s="51" t="inlineStr"/>
      <c r="V836" s="55" t="n"/>
      <c r="W836" s="51" t="inlineStr"/>
      <c r="X836" s="51" t="inlineStr"/>
      <c r="Y836" s="51" t="n"/>
      <c r="AB836" s="57" t="n"/>
      <c r="AC836" s="90" t="n"/>
      <c r="AD836" s="90" t="n"/>
      <c r="AE836" s="88" t="n"/>
      <c r="AF836" s="91" t="n"/>
      <c r="AG836" s="91" t="n"/>
      <c r="AH836" s="88" t="n"/>
      <c r="AI836" s="88" t="n"/>
      <c r="AJ836" s="90" t="n"/>
      <c r="AK836" s="88" t="n"/>
      <c r="AL836" s="91" t="n"/>
      <c r="AM836" s="88" t="n"/>
      <c r="AN836" s="95" t="n"/>
      <c r="AO836" s="90" t="n"/>
      <c r="AP836" s="90" t="n"/>
    </row>
    <row r="837" ht="14.25" customHeight="1" s="84">
      <c r="A837" s="51" t="n"/>
      <c r="B837" s="47" t="n"/>
      <c r="C837" s="51" t="n"/>
      <c r="D837" s="51" t="n"/>
      <c r="E837" s="51" t="n"/>
      <c r="F837" s="51" t="n"/>
      <c r="G837" s="47" t="n"/>
      <c r="H837" s="51" t="n"/>
      <c r="I837" s="51" t="n"/>
      <c r="J837" s="51" t="n"/>
      <c r="K837" s="51" t="n"/>
      <c r="L837" s="51" t="n"/>
      <c r="N837" s="51" t="n"/>
      <c r="Q837" s="51" t="n"/>
      <c r="S837" s="51" t="n"/>
      <c r="T837" s="51" t="n"/>
      <c r="U837" s="51" t="inlineStr"/>
      <c r="V837" s="55" t="n"/>
      <c r="W837" s="51" t="inlineStr"/>
      <c r="X837" s="51" t="inlineStr"/>
      <c r="Y837" s="51" t="n"/>
      <c r="AB837" s="57" t="n"/>
      <c r="AC837" s="90" t="n"/>
      <c r="AD837" s="90" t="n"/>
      <c r="AE837" s="88" t="n"/>
      <c r="AF837" s="91" t="n"/>
      <c r="AG837" s="91" t="n"/>
      <c r="AH837" s="88" t="n"/>
      <c r="AI837" s="88" t="n"/>
      <c r="AJ837" s="90" t="n"/>
      <c r="AK837" s="88" t="n"/>
      <c r="AL837" s="91" t="n"/>
      <c r="AM837" s="88" t="n"/>
      <c r="AN837" s="95" t="n"/>
      <c r="AO837" s="90" t="n"/>
      <c r="AP837" s="90" t="n"/>
    </row>
    <row r="838" ht="14.25" customHeight="1" s="84">
      <c r="A838" s="51" t="n"/>
      <c r="B838" s="47" t="n"/>
      <c r="C838" s="51" t="n"/>
      <c r="D838" s="51" t="n"/>
      <c r="E838" s="51" t="n"/>
      <c r="F838" s="51" t="n"/>
      <c r="G838" s="47" t="n"/>
      <c r="H838" s="51" t="n"/>
      <c r="I838" s="51" t="n"/>
      <c r="J838" s="51" t="n"/>
      <c r="K838" s="51" t="n"/>
      <c r="L838" s="51" t="n"/>
      <c r="N838" s="51" t="n"/>
      <c r="Q838" s="51" t="n"/>
      <c r="S838" s="51" t="n"/>
      <c r="T838" s="51" t="n"/>
      <c r="U838" s="51" t="inlineStr"/>
      <c r="V838" s="55" t="n"/>
      <c r="W838" s="51" t="inlineStr"/>
      <c r="X838" s="51" t="inlineStr"/>
      <c r="Y838" s="51" t="n"/>
      <c r="AB838" s="57" t="n"/>
      <c r="AC838" s="90" t="n"/>
      <c r="AD838" s="90" t="n"/>
      <c r="AE838" s="88" t="n"/>
      <c r="AF838" s="91" t="n"/>
      <c r="AG838" s="91" t="n"/>
      <c r="AH838" s="88" t="n"/>
      <c r="AI838" s="88" t="n"/>
      <c r="AJ838" s="90" t="n"/>
      <c r="AK838" s="88" t="n"/>
      <c r="AL838" s="91" t="n"/>
      <c r="AM838" s="88" t="n"/>
      <c r="AN838" s="95" t="n"/>
      <c r="AO838" s="90" t="n"/>
      <c r="AP838" s="90" t="n"/>
    </row>
    <row r="839" ht="14.25" customHeight="1" s="84">
      <c r="A839" s="51" t="n"/>
      <c r="B839" s="47" t="n"/>
      <c r="C839" s="51" t="n"/>
      <c r="D839" s="51" t="n"/>
      <c r="E839" s="51" t="n"/>
      <c r="F839" s="51" t="n"/>
      <c r="G839" s="47" t="n"/>
      <c r="H839" s="51" t="n"/>
      <c r="I839" s="51" t="n"/>
      <c r="J839" s="51" t="n"/>
      <c r="K839" s="51" t="n"/>
      <c r="L839" s="51" t="n"/>
      <c r="N839" s="51" t="n"/>
      <c r="Q839" s="51" t="n"/>
      <c r="S839" s="51" t="n"/>
      <c r="T839" s="51" t="n"/>
      <c r="U839" s="51" t="inlineStr"/>
      <c r="V839" s="55" t="n"/>
      <c r="W839" s="51" t="inlineStr"/>
      <c r="X839" s="51" t="inlineStr"/>
      <c r="Y839" s="51" t="n"/>
      <c r="AB839" s="57" t="n"/>
      <c r="AC839" s="90" t="n"/>
      <c r="AD839" s="90" t="n"/>
      <c r="AE839" s="88" t="n"/>
      <c r="AF839" s="91" t="n"/>
      <c r="AG839" s="91" t="n"/>
      <c r="AH839" s="88" t="n"/>
      <c r="AI839" s="88" t="n"/>
      <c r="AJ839" s="90" t="n"/>
      <c r="AK839" s="88" t="n"/>
      <c r="AL839" s="91" t="n"/>
      <c r="AM839" s="88" t="n"/>
      <c r="AN839" s="95" t="n"/>
      <c r="AO839" s="90" t="n"/>
      <c r="AP839" s="90" t="n"/>
    </row>
    <row r="840" ht="14.25" customHeight="1" s="84">
      <c r="A840" s="51" t="n"/>
      <c r="B840" s="47" t="n"/>
      <c r="C840" s="51" t="n"/>
      <c r="D840" s="51" t="n"/>
      <c r="E840" s="51" t="n"/>
      <c r="F840" s="51" t="n"/>
      <c r="G840" s="47" t="n"/>
      <c r="H840" s="51" t="n"/>
      <c r="I840" s="51" t="n"/>
      <c r="J840" s="51" t="n"/>
      <c r="K840" s="51" t="n"/>
      <c r="L840" s="51" t="n"/>
      <c r="N840" s="51" t="n"/>
      <c r="Q840" s="51" t="n"/>
      <c r="S840" s="51" t="n"/>
      <c r="T840" s="51" t="n"/>
      <c r="U840" s="51" t="inlineStr"/>
      <c r="V840" s="55" t="n"/>
      <c r="W840" s="51" t="inlineStr"/>
      <c r="X840" s="51" t="inlineStr"/>
      <c r="Y840" s="51" t="n"/>
      <c r="AB840" s="57" t="n"/>
      <c r="AC840" s="90" t="n"/>
      <c r="AD840" s="90" t="n"/>
      <c r="AE840" s="88" t="n"/>
      <c r="AF840" s="91" t="n"/>
      <c r="AG840" s="91" t="n"/>
      <c r="AH840" s="88" t="n"/>
      <c r="AI840" s="88" t="n"/>
      <c r="AJ840" s="90" t="n"/>
      <c r="AK840" s="88" t="n"/>
      <c r="AL840" s="91" t="n"/>
      <c r="AM840" s="88" t="n"/>
      <c r="AN840" s="95" t="n"/>
      <c r="AO840" s="90" t="n"/>
      <c r="AP840" s="90" t="n"/>
    </row>
    <row r="841" ht="14.25" customHeight="1" s="84">
      <c r="A841" s="51" t="n"/>
      <c r="B841" s="47" t="n"/>
      <c r="C841" s="51" t="n"/>
      <c r="D841" s="51" t="n"/>
      <c r="E841" s="51" t="n"/>
      <c r="F841" s="51" t="n"/>
      <c r="G841" s="47" t="n"/>
      <c r="H841" s="51" t="n"/>
      <c r="I841" s="51" t="n"/>
      <c r="J841" s="51" t="n"/>
      <c r="K841" s="51" t="n"/>
      <c r="L841" s="51" t="n"/>
      <c r="N841" s="51" t="n"/>
      <c r="Q841" s="51" t="n"/>
      <c r="S841" s="51" t="n"/>
      <c r="T841" s="51" t="n"/>
      <c r="U841" s="51" t="inlineStr"/>
      <c r="V841" s="55" t="n"/>
      <c r="W841" s="51" t="inlineStr"/>
      <c r="X841" s="51" t="inlineStr"/>
      <c r="Y841" s="51" t="n"/>
      <c r="AB841" s="57" t="n"/>
      <c r="AC841" s="90" t="n"/>
      <c r="AD841" s="90" t="n"/>
      <c r="AE841" s="88" t="n"/>
      <c r="AF841" s="91" t="n"/>
      <c r="AG841" s="91" t="n"/>
      <c r="AH841" s="88" t="n"/>
      <c r="AI841" s="88" t="n"/>
      <c r="AJ841" s="90" t="n"/>
      <c r="AK841" s="88" t="n"/>
      <c r="AL841" s="91" t="n"/>
      <c r="AM841" s="88" t="n"/>
      <c r="AN841" s="95" t="n"/>
      <c r="AO841" s="90" t="n"/>
      <c r="AP841" s="90" t="n"/>
    </row>
    <row r="842" ht="14.25" customHeight="1" s="84">
      <c r="A842" s="51" t="n"/>
      <c r="B842" s="47" t="n"/>
      <c r="C842" s="51" t="n"/>
      <c r="D842" s="51" t="n"/>
      <c r="E842" s="51" t="n"/>
      <c r="F842" s="51" t="n"/>
      <c r="G842" s="47" t="n"/>
      <c r="H842" s="51" t="n"/>
      <c r="I842" s="51" t="n"/>
      <c r="J842" s="51" t="n"/>
      <c r="K842" s="51" t="n"/>
      <c r="L842" s="51" t="n"/>
      <c r="N842" s="51" t="n"/>
      <c r="Q842" s="51" t="n"/>
      <c r="S842" s="51" t="n"/>
      <c r="T842" s="51" t="n"/>
      <c r="U842" s="51" t="inlineStr"/>
      <c r="V842" s="55" t="n"/>
      <c r="W842" s="51" t="inlineStr"/>
      <c r="X842" s="51" t="inlineStr"/>
      <c r="Y842" s="51" t="n"/>
      <c r="AB842" s="57" t="n"/>
      <c r="AC842" s="90" t="n"/>
      <c r="AD842" s="90" t="n"/>
      <c r="AE842" s="88" t="n"/>
      <c r="AF842" s="91" t="n"/>
      <c r="AG842" s="91" t="n"/>
      <c r="AH842" s="88" t="n"/>
      <c r="AI842" s="88" t="n"/>
      <c r="AJ842" s="90" t="n"/>
      <c r="AK842" s="88" t="n"/>
      <c r="AL842" s="91" t="n"/>
      <c r="AM842" s="88" t="n"/>
      <c r="AN842" s="95" t="n"/>
      <c r="AO842" s="90" t="n"/>
      <c r="AP842" s="90" t="n"/>
    </row>
    <row r="843" ht="14.25" customHeight="1" s="84">
      <c r="A843" s="51" t="n"/>
      <c r="B843" s="47" t="n"/>
      <c r="C843" s="51" t="n"/>
      <c r="D843" s="51" t="n"/>
      <c r="E843" s="51" t="n"/>
      <c r="F843" s="51" t="n"/>
      <c r="G843" s="47" t="n"/>
      <c r="H843" s="51" t="n"/>
      <c r="I843" s="51" t="n"/>
      <c r="J843" s="51" t="n"/>
      <c r="K843" s="51" t="n"/>
      <c r="L843" s="51" t="n"/>
      <c r="N843" s="51" t="n"/>
      <c r="Q843" s="51" t="n"/>
      <c r="S843" s="51" t="n"/>
      <c r="T843" s="51" t="n"/>
      <c r="U843" s="51" t="inlineStr"/>
      <c r="V843" s="55" t="n"/>
      <c r="W843" s="51" t="inlineStr"/>
      <c r="X843" s="51" t="inlineStr"/>
      <c r="Y843" s="51" t="n"/>
      <c r="AB843" s="57" t="n"/>
      <c r="AC843" s="90" t="n"/>
      <c r="AD843" s="90" t="n"/>
      <c r="AE843" s="88" t="n"/>
      <c r="AF843" s="91" t="n"/>
      <c r="AG843" s="91" t="n"/>
      <c r="AH843" s="88" t="n"/>
      <c r="AI843" s="88" t="n"/>
      <c r="AJ843" s="90" t="n"/>
      <c r="AK843" s="88" t="n"/>
      <c r="AL843" s="91" t="n"/>
      <c r="AM843" s="88" t="n"/>
      <c r="AN843" s="95" t="n"/>
      <c r="AO843" s="90" t="n"/>
      <c r="AP843" s="90" t="n"/>
    </row>
    <row r="844" ht="14.25" customHeight="1" s="84">
      <c r="A844" s="51" t="n"/>
      <c r="B844" s="47" t="n"/>
      <c r="C844" s="51" t="n"/>
      <c r="D844" s="51" t="n"/>
      <c r="E844" s="51" t="n"/>
      <c r="F844" s="51" t="n"/>
      <c r="G844" s="47" t="n"/>
      <c r="H844" s="51" t="n"/>
      <c r="I844" s="51" t="n"/>
      <c r="J844" s="51" t="n"/>
      <c r="K844" s="51" t="n"/>
      <c r="L844" s="51" t="n"/>
      <c r="N844" s="51" t="n"/>
      <c r="Q844" s="51" t="n"/>
      <c r="S844" s="51" t="n"/>
      <c r="T844" s="51" t="n"/>
      <c r="U844" s="51" t="inlineStr"/>
      <c r="V844" s="55" t="n"/>
      <c r="W844" s="51" t="inlineStr"/>
      <c r="X844" s="51" t="inlineStr"/>
      <c r="Y844" s="51" t="n"/>
      <c r="AB844" s="57" t="n"/>
      <c r="AC844" s="90" t="n"/>
      <c r="AD844" s="90" t="n"/>
      <c r="AE844" s="88" t="n"/>
      <c r="AF844" s="91" t="n"/>
      <c r="AG844" s="91" t="n"/>
      <c r="AH844" s="88" t="n"/>
      <c r="AI844" s="88" t="n"/>
      <c r="AJ844" s="90" t="n"/>
      <c r="AK844" s="88" t="n"/>
      <c r="AL844" s="91" t="n"/>
      <c r="AM844" s="88" t="n"/>
      <c r="AN844" s="95" t="n"/>
      <c r="AO844" s="90" t="n"/>
      <c r="AP844" s="90" t="n"/>
    </row>
    <row r="845" ht="14.25" customHeight="1" s="84">
      <c r="A845" s="51" t="n"/>
      <c r="B845" s="47" t="n"/>
      <c r="C845" s="51" t="n"/>
      <c r="D845" s="51" t="n"/>
      <c r="E845" s="51" t="n"/>
      <c r="F845" s="51" t="n"/>
      <c r="G845" s="47" t="n"/>
      <c r="H845" s="51" t="n"/>
      <c r="I845" s="51" t="n"/>
      <c r="J845" s="51" t="n"/>
      <c r="K845" s="51" t="n"/>
      <c r="L845" s="51" t="n"/>
      <c r="N845" s="51" t="n"/>
      <c r="Q845" s="51" t="n"/>
      <c r="S845" s="51" t="n"/>
      <c r="T845" s="51" t="n"/>
      <c r="U845" s="51" t="inlineStr"/>
      <c r="V845" s="55" t="n"/>
      <c r="W845" s="51" t="inlineStr"/>
      <c r="X845" s="51" t="inlineStr"/>
      <c r="Y845" s="51" t="n"/>
      <c r="AB845" s="57" t="n"/>
      <c r="AC845" s="90" t="n"/>
      <c r="AD845" s="90" t="n"/>
      <c r="AE845" s="88" t="n"/>
      <c r="AF845" s="91" t="n"/>
      <c r="AG845" s="91" t="n"/>
      <c r="AH845" s="88" t="n"/>
      <c r="AI845" s="88" t="n"/>
      <c r="AJ845" s="90" t="n"/>
      <c r="AK845" s="88" t="n"/>
      <c r="AL845" s="91" t="n"/>
      <c r="AM845" s="88" t="n"/>
      <c r="AN845" s="95" t="n"/>
      <c r="AO845" s="90" t="n"/>
      <c r="AP845" s="90" t="n"/>
    </row>
    <row r="846" ht="14.25" customHeight="1" s="84">
      <c r="A846" s="51" t="n"/>
      <c r="B846" s="47" t="n"/>
      <c r="C846" s="51" t="n"/>
      <c r="D846" s="51" t="n"/>
      <c r="E846" s="51" t="n"/>
      <c r="F846" s="51" t="n"/>
      <c r="G846" s="47" t="n"/>
      <c r="H846" s="51" t="n"/>
      <c r="I846" s="51" t="n"/>
      <c r="J846" s="51" t="n"/>
      <c r="K846" s="51" t="n"/>
      <c r="L846" s="51" t="n"/>
      <c r="N846" s="51" t="n"/>
      <c r="Q846" s="51" t="n"/>
      <c r="S846" s="51" t="n"/>
      <c r="T846" s="51" t="n"/>
      <c r="U846" s="51" t="inlineStr"/>
      <c r="V846" s="55" t="n"/>
      <c r="W846" s="51" t="inlineStr"/>
      <c r="X846" s="51" t="inlineStr"/>
      <c r="Y846" s="51" t="n"/>
      <c r="AB846" s="57" t="n"/>
      <c r="AC846" s="90" t="n"/>
      <c r="AD846" s="90" t="n"/>
      <c r="AE846" s="88" t="n"/>
      <c r="AF846" s="91" t="n"/>
      <c r="AG846" s="91" t="n"/>
      <c r="AH846" s="88" t="n"/>
      <c r="AI846" s="88" t="n"/>
      <c r="AJ846" s="90" t="n"/>
      <c r="AK846" s="88" t="n"/>
      <c r="AL846" s="91" t="n"/>
      <c r="AM846" s="88" t="n"/>
      <c r="AN846" s="95" t="n"/>
      <c r="AO846" s="90" t="n"/>
      <c r="AP846" s="90" t="n"/>
    </row>
    <row r="847" ht="14.25" customHeight="1" s="84">
      <c r="A847" s="51" t="n"/>
      <c r="B847" s="47" t="n"/>
      <c r="C847" s="51" t="n"/>
      <c r="D847" s="51" t="n"/>
      <c r="E847" s="51" t="n"/>
      <c r="F847" s="51" t="n"/>
      <c r="G847" s="47" t="n"/>
      <c r="H847" s="51" t="n"/>
      <c r="I847" s="51" t="n"/>
      <c r="J847" s="51" t="n"/>
      <c r="K847" s="51" t="n"/>
      <c r="L847" s="51" t="n"/>
      <c r="N847" s="51" t="n"/>
      <c r="Q847" s="51" t="n"/>
      <c r="S847" s="51" t="n"/>
      <c r="T847" s="51" t="n"/>
      <c r="U847" s="51" t="inlineStr"/>
      <c r="V847" s="55" t="n"/>
      <c r="W847" s="51" t="inlineStr"/>
      <c r="X847" s="51" t="inlineStr"/>
      <c r="Y847" s="51" t="n"/>
      <c r="AB847" s="57" t="n"/>
      <c r="AC847" s="90" t="n"/>
      <c r="AD847" s="90" t="n"/>
      <c r="AE847" s="88" t="n"/>
      <c r="AF847" s="91" t="n"/>
      <c r="AG847" s="91" t="n"/>
      <c r="AH847" s="88" t="n"/>
      <c r="AI847" s="88" t="n"/>
      <c r="AJ847" s="90" t="n"/>
      <c r="AK847" s="88" t="n"/>
      <c r="AL847" s="91" t="n"/>
      <c r="AM847" s="88" t="n"/>
      <c r="AN847" s="95" t="n"/>
      <c r="AO847" s="90" t="n"/>
      <c r="AP847" s="90" t="n"/>
    </row>
    <row r="848" ht="14.25" customHeight="1" s="84">
      <c r="A848" s="51" t="n"/>
      <c r="B848" s="47" t="n"/>
      <c r="C848" s="51" t="n"/>
      <c r="D848" s="51" t="n"/>
      <c r="E848" s="51" t="n"/>
      <c r="F848" s="51" t="n"/>
      <c r="G848" s="47" t="n"/>
      <c r="H848" s="51" t="n"/>
      <c r="I848" s="51" t="n"/>
      <c r="J848" s="51" t="n"/>
      <c r="K848" s="51" t="n"/>
      <c r="L848" s="51" t="n"/>
      <c r="N848" s="51" t="n"/>
      <c r="Q848" s="51" t="n"/>
      <c r="S848" s="51" t="n"/>
      <c r="T848" s="51" t="n"/>
      <c r="U848" s="51" t="inlineStr"/>
      <c r="V848" s="55" t="n"/>
      <c r="W848" s="51" t="inlineStr"/>
      <c r="X848" s="51" t="inlineStr"/>
      <c r="Y848" s="51" t="n"/>
      <c r="AB848" s="57" t="n"/>
      <c r="AC848" s="90" t="n"/>
      <c r="AD848" s="90" t="n"/>
      <c r="AE848" s="88" t="n"/>
      <c r="AF848" s="91" t="n"/>
      <c r="AG848" s="91" t="n"/>
      <c r="AH848" s="88" t="n"/>
      <c r="AI848" s="88" t="n"/>
      <c r="AJ848" s="90" t="n"/>
      <c r="AK848" s="88" t="n"/>
      <c r="AL848" s="91" t="n"/>
      <c r="AM848" s="88" t="n"/>
      <c r="AN848" s="95" t="n"/>
      <c r="AO848" s="90" t="n"/>
      <c r="AP848" s="90" t="n"/>
    </row>
    <row r="849" ht="14.25" customHeight="1" s="84">
      <c r="A849" s="51" t="n"/>
      <c r="B849" s="47" t="n"/>
      <c r="C849" s="51" t="n"/>
      <c r="D849" s="51" t="n"/>
      <c r="E849" s="51" t="n"/>
      <c r="F849" s="51" t="n"/>
      <c r="G849" s="47" t="n"/>
      <c r="H849" s="51" t="n"/>
      <c r="I849" s="51" t="n"/>
      <c r="J849" s="51" t="n"/>
      <c r="K849" s="51" t="n"/>
      <c r="L849" s="51" t="n"/>
      <c r="N849" s="51" t="n"/>
      <c r="Q849" s="51" t="n"/>
      <c r="S849" s="51" t="n"/>
      <c r="T849" s="51" t="n"/>
      <c r="U849" s="51" t="inlineStr"/>
      <c r="V849" s="55" t="n"/>
      <c r="W849" s="51" t="inlineStr"/>
      <c r="X849" s="51" t="inlineStr"/>
      <c r="Y849" s="51" t="n"/>
      <c r="AB849" s="57" t="n"/>
      <c r="AC849" s="90" t="n"/>
      <c r="AD849" s="90" t="n"/>
      <c r="AE849" s="88" t="n"/>
      <c r="AF849" s="91" t="n"/>
      <c r="AG849" s="91" t="n"/>
      <c r="AH849" s="88" t="n"/>
      <c r="AI849" s="88" t="n"/>
      <c r="AJ849" s="90" t="n"/>
      <c r="AK849" s="88" t="n"/>
      <c r="AL849" s="91" t="n"/>
      <c r="AM849" s="88" t="n"/>
      <c r="AN849" s="95" t="n"/>
      <c r="AO849" s="90" t="n"/>
      <c r="AP849" s="90" t="n"/>
    </row>
    <row r="850" ht="14.25" customHeight="1" s="84">
      <c r="A850" s="51" t="n"/>
      <c r="B850" s="47" t="n"/>
      <c r="C850" s="51" t="n"/>
      <c r="D850" s="51" t="n"/>
      <c r="E850" s="51" t="n"/>
      <c r="F850" s="51" t="n"/>
      <c r="G850" s="47" t="n"/>
      <c r="H850" s="51" t="n"/>
      <c r="I850" s="51" t="n"/>
      <c r="J850" s="51" t="n"/>
      <c r="K850" s="51" t="n"/>
      <c r="L850" s="51" t="n"/>
      <c r="N850" s="51" t="n"/>
      <c r="Q850" s="51" t="n"/>
      <c r="S850" s="51" t="n"/>
      <c r="T850" s="51" t="n"/>
      <c r="U850" s="51" t="inlineStr"/>
      <c r="V850" s="55" t="n"/>
      <c r="W850" s="51" t="inlineStr"/>
      <c r="X850" s="51" t="inlineStr"/>
      <c r="Y850" s="51" t="n"/>
      <c r="AB850" s="57" t="n"/>
      <c r="AC850" s="90" t="n"/>
      <c r="AD850" s="90" t="n"/>
      <c r="AE850" s="88" t="n"/>
      <c r="AF850" s="91" t="n"/>
      <c r="AG850" s="91" t="n"/>
      <c r="AH850" s="88" t="n"/>
      <c r="AI850" s="88" t="n"/>
      <c r="AJ850" s="90" t="n"/>
      <c r="AK850" s="88" t="n"/>
      <c r="AL850" s="91" t="n"/>
      <c r="AM850" s="88" t="n"/>
      <c r="AN850" s="95" t="n"/>
      <c r="AO850" s="90" t="n"/>
      <c r="AP850" s="90" t="n"/>
    </row>
    <row r="851" ht="14.25" customHeight="1" s="84">
      <c r="A851" s="51" t="n"/>
      <c r="B851" s="47" t="n"/>
      <c r="C851" s="51" t="n"/>
      <c r="D851" s="51" t="n"/>
      <c r="E851" s="51" t="n"/>
      <c r="F851" s="51" t="n"/>
      <c r="G851" s="47" t="n"/>
      <c r="H851" s="51" t="n"/>
      <c r="I851" s="51" t="n"/>
      <c r="J851" s="51" t="n"/>
      <c r="K851" s="51" t="n"/>
      <c r="L851" s="51" t="n"/>
      <c r="N851" s="51" t="n"/>
      <c r="Q851" s="51" t="n"/>
      <c r="S851" s="51" t="n"/>
      <c r="T851" s="51" t="n"/>
      <c r="U851" s="51" t="inlineStr"/>
      <c r="V851" s="55" t="n"/>
      <c r="W851" s="51" t="inlineStr"/>
      <c r="X851" s="51" t="inlineStr"/>
      <c r="Y851" s="51" t="n"/>
      <c r="AB851" s="57" t="n"/>
      <c r="AC851" s="90" t="n"/>
      <c r="AD851" s="90" t="n"/>
      <c r="AE851" s="88" t="n"/>
      <c r="AF851" s="91" t="n"/>
      <c r="AG851" s="91" t="n"/>
      <c r="AH851" s="88" t="n"/>
      <c r="AI851" s="88" t="n"/>
      <c r="AJ851" s="90" t="n"/>
      <c r="AK851" s="88" t="n"/>
      <c r="AL851" s="91" t="n"/>
      <c r="AM851" s="88" t="n"/>
      <c r="AN851" s="95" t="n"/>
      <c r="AO851" s="90" t="n"/>
      <c r="AP851" s="90" t="n"/>
    </row>
    <row r="852" ht="14.25" customHeight="1" s="84">
      <c r="A852" s="51" t="n"/>
      <c r="B852" s="47" t="n"/>
      <c r="C852" s="51" t="n"/>
      <c r="D852" s="51" t="n"/>
      <c r="E852" s="51" t="n"/>
      <c r="F852" s="51" t="n"/>
      <c r="G852" s="47" t="n"/>
      <c r="H852" s="51" t="n"/>
      <c r="I852" s="51" t="n"/>
      <c r="J852" s="51" t="n"/>
      <c r="K852" s="51" t="n"/>
      <c r="L852" s="51" t="n"/>
      <c r="N852" s="51" t="n"/>
      <c r="Q852" s="51" t="n"/>
      <c r="S852" s="51" t="n"/>
      <c r="T852" s="51" t="n"/>
      <c r="U852" s="51" t="inlineStr"/>
      <c r="V852" s="55" t="n"/>
      <c r="W852" s="51" t="inlineStr"/>
      <c r="X852" s="51" t="inlineStr"/>
      <c r="Y852" s="51" t="n"/>
      <c r="AB852" s="57" t="n"/>
      <c r="AC852" s="90" t="n"/>
      <c r="AD852" s="90" t="n"/>
      <c r="AE852" s="88" t="n"/>
      <c r="AF852" s="91" t="n"/>
      <c r="AG852" s="91" t="n"/>
      <c r="AH852" s="88" t="n"/>
      <c r="AI852" s="88" t="n"/>
      <c r="AJ852" s="90" t="n"/>
      <c r="AK852" s="88" t="n"/>
      <c r="AL852" s="91" t="n"/>
      <c r="AM852" s="88" t="n"/>
      <c r="AN852" s="95" t="n"/>
      <c r="AO852" s="90" t="n"/>
      <c r="AP852" s="90" t="n"/>
    </row>
    <row r="853" ht="14.25" customHeight="1" s="84">
      <c r="A853" s="51" t="n"/>
      <c r="B853" s="47" t="n"/>
      <c r="C853" s="51" t="n"/>
      <c r="D853" s="51" t="n"/>
      <c r="E853" s="51" t="n"/>
      <c r="F853" s="51" t="n"/>
      <c r="G853" s="47" t="n"/>
      <c r="H853" s="51" t="n"/>
      <c r="I853" s="51" t="n"/>
      <c r="J853" s="51" t="n"/>
      <c r="K853" s="51" t="n"/>
      <c r="L853" s="51" t="n"/>
      <c r="N853" s="51" t="n"/>
      <c r="Q853" s="51" t="n"/>
      <c r="S853" s="51" t="n"/>
      <c r="T853" s="51" t="n"/>
      <c r="U853" s="51" t="inlineStr"/>
      <c r="V853" s="55" t="n"/>
      <c r="W853" s="51" t="inlineStr"/>
      <c r="X853" s="51" t="inlineStr"/>
      <c r="Y853" s="51" t="n"/>
      <c r="AB853" s="57" t="n"/>
      <c r="AC853" s="90" t="n"/>
      <c r="AD853" s="90" t="n"/>
      <c r="AE853" s="88" t="n"/>
      <c r="AF853" s="91" t="n"/>
      <c r="AG853" s="91" t="n"/>
      <c r="AH853" s="88" t="n"/>
      <c r="AI853" s="88" t="n"/>
      <c r="AJ853" s="90" t="n"/>
      <c r="AK853" s="88" t="n"/>
      <c r="AL853" s="91" t="n"/>
      <c r="AM853" s="88" t="n"/>
      <c r="AN853" s="95" t="n"/>
      <c r="AO853" s="90" t="n"/>
      <c r="AP853" s="90" t="n"/>
    </row>
    <row r="854" ht="14.25" customHeight="1" s="84">
      <c r="A854" s="51" t="n"/>
      <c r="B854" s="47" t="n"/>
      <c r="C854" s="51" t="n"/>
      <c r="D854" s="51" t="n"/>
      <c r="E854" s="51" t="n"/>
      <c r="F854" s="51" t="n"/>
      <c r="G854" s="47" t="n"/>
      <c r="H854" s="51" t="n"/>
      <c r="I854" s="51" t="n"/>
      <c r="J854" s="51" t="n"/>
      <c r="K854" s="51" t="n"/>
      <c r="L854" s="51" t="n"/>
      <c r="N854" s="51" t="n"/>
      <c r="Q854" s="51" t="n"/>
      <c r="S854" s="51" t="n"/>
      <c r="T854" s="51" t="n"/>
      <c r="U854" s="51" t="inlineStr"/>
      <c r="V854" s="55" t="n"/>
      <c r="W854" s="51" t="inlineStr"/>
      <c r="X854" s="51" t="inlineStr"/>
      <c r="Y854" s="51" t="n"/>
      <c r="AB854" s="57" t="n"/>
      <c r="AC854" s="90" t="n"/>
      <c r="AD854" s="90" t="n"/>
      <c r="AE854" s="88" t="n"/>
      <c r="AF854" s="91" t="n"/>
      <c r="AG854" s="91" t="n"/>
      <c r="AH854" s="88" t="n"/>
      <c r="AI854" s="88" t="n"/>
      <c r="AJ854" s="90" t="n"/>
      <c r="AK854" s="88" t="n"/>
      <c r="AL854" s="91" t="n"/>
      <c r="AM854" s="88" t="n"/>
      <c r="AN854" s="95" t="n"/>
      <c r="AO854" s="90" t="n"/>
      <c r="AP854" s="90" t="n"/>
    </row>
    <row r="855" ht="14.25" customHeight="1" s="84">
      <c r="A855" s="51" t="n"/>
      <c r="B855" s="47" t="n"/>
      <c r="C855" s="51" t="n"/>
      <c r="D855" s="51" t="n"/>
      <c r="E855" s="51" t="n"/>
      <c r="F855" s="51" t="n"/>
      <c r="G855" s="47" t="n"/>
      <c r="H855" s="51" t="n"/>
      <c r="I855" s="51" t="n"/>
      <c r="J855" s="51" t="n"/>
      <c r="K855" s="51" t="n"/>
      <c r="L855" s="51" t="n"/>
      <c r="N855" s="51" t="n"/>
      <c r="Q855" s="51" t="n"/>
      <c r="S855" s="51" t="n"/>
      <c r="T855" s="51" t="n"/>
      <c r="U855" s="51" t="inlineStr"/>
      <c r="V855" s="55" t="n"/>
      <c r="W855" s="51" t="inlineStr"/>
      <c r="X855" s="51" t="inlineStr"/>
      <c r="Y855" s="51" t="n"/>
      <c r="AB855" s="57" t="n"/>
      <c r="AC855" s="90" t="n"/>
      <c r="AD855" s="90" t="n"/>
      <c r="AE855" s="88" t="n"/>
      <c r="AF855" s="91" t="n"/>
      <c r="AG855" s="91" t="n"/>
      <c r="AH855" s="88" t="n"/>
      <c r="AI855" s="88" t="n"/>
      <c r="AJ855" s="90" t="n"/>
      <c r="AK855" s="88" t="n"/>
      <c r="AL855" s="91" t="n"/>
      <c r="AM855" s="88" t="n"/>
      <c r="AN855" s="95" t="n"/>
      <c r="AO855" s="90" t="n"/>
      <c r="AP855" s="90" t="n"/>
    </row>
    <row r="856" ht="14.25" customHeight="1" s="84">
      <c r="A856" s="51" t="n"/>
      <c r="B856" s="47" t="n"/>
      <c r="C856" s="51" t="n"/>
      <c r="D856" s="51" t="n"/>
      <c r="E856" s="51" t="n"/>
      <c r="F856" s="51" t="n"/>
      <c r="G856" s="47" t="n"/>
      <c r="H856" s="51" t="n"/>
      <c r="I856" s="51" t="n"/>
      <c r="J856" s="51" t="n"/>
      <c r="K856" s="51" t="n"/>
      <c r="L856" s="51" t="n"/>
      <c r="N856" s="51" t="n"/>
      <c r="Q856" s="51" t="n"/>
      <c r="S856" s="51" t="n"/>
      <c r="T856" s="51" t="n"/>
      <c r="U856" s="51" t="inlineStr"/>
      <c r="V856" s="55" t="n"/>
      <c r="W856" s="51" t="inlineStr"/>
      <c r="X856" s="51" t="inlineStr"/>
      <c r="Y856" s="51" t="n"/>
      <c r="AB856" s="57" t="n"/>
      <c r="AC856" s="90" t="n"/>
      <c r="AD856" s="90" t="n"/>
      <c r="AE856" s="88" t="n"/>
      <c r="AF856" s="91" t="n"/>
      <c r="AG856" s="91" t="n"/>
      <c r="AH856" s="88" t="n"/>
      <c r="AI856" s="88" t="n"/>
      <c r="AJ856" s="90" t="n"/>
      <c r="AK856" s="88" t="n"/>
      <c r="AL856" s="91" t="n"/>
      <c r="AM856" s="88" t="n"/>
      <c r="AN856" s="95" t="n"/>
      <c r="AO856" s="90" t="n"/>
      <c r="AP856" s="90" t="n"/>
    </row>
    <row r="857" ht="14.25" customHeight="1" s="84">
      <c r="A857" s="51" t="n"/>
      <c r="B857" s="47" t="n"/>
      <c r="C857" s="51" t="n"/>
      <c r="D857" s="51" t="n"/>
      <c r="E857" s="51" t="n"/>
      <c r="F857" s="51" t="n"/>
      <c r="G857" s="47" t="n"/>
      <c r="H857" s="51" t="n"/>
      <c r="I857" s="51" t="n"/>
      <c r="J857" s="51" t="n"/>
      <c r="K857" s="51" t="n"/>
      <c r="L857" s="51" t="n"/>
      <c r="N857" s="51" t="n"/>
      <c r="Q857" s="51" t="n"/>
      <c r="S857" s="51" t="n"/>
      <c r="T857" s="51" t="n"/>
      <c r="U857" s="51" t="inlineStr"/>
      <c r="V857" s="55" t="n"/>
      <c r="W857" s="51" t="inlineStr"/>
      <c r="X857" s="51" t="inlineStr"/>
      <c r="Y857" s="51" t="n"/>
      <c r="AB857" s="57" t="n"/>
      <c r="AC857" s="90" t="n"/>
      <c r="AD857" s="90" t="n"/>
      <c r="AE857" s="88" t="n"/>
      <c r="AF857" s="91" t="n"/>
      <c r="AG857" s="91" t="n"/>
      <c r="AH857" s="88" t="n"/>
      <c r="AI857" s="88" t="n"/>
      <c r="AJ857" s="90" t="n"/>
      <c r="AK857" s="88" t="n"/>
      <c r="AL857" s="91" t="n"/>
      <c r="AM857" s="88" t="n"/>
      <c r="AN857" s="95" t="n"/>
      <c r="AO857" s="90" t="n"/>
      <c r="AP857" s="90" t="n"/>
    </row>
    <row r="858" ht="14.25" customHeight="1" s="84">
      <c r="A858" s="51" t="n"/>
      <c r="B858" s="47" t="n"/>
      <c r="C858" s="51" t="n"/>
      <c r="D858" s="51" t="n"/>
      <c r="E858" s="51" t="n"/>
      <c r="F858" s="51" t="n"/>
      <c r="G858" s="47" t="n"/>
      <c r="H858" s="51" t="n"/>
      <c r="I858" s="51" t="n"/>
      <c r="J858" s="51" t="n"/>
      <c r="K858" s="51" t="n"/>
      <c r="L858" s="51" t="n"/>
      <c r="N858" s="51" t="n"/>
      <c r="Q858" s="51" t="n"/>
      <c r="S858" s="51" t="n"/>
      <c r="T858" s="51" t="n"/>
      <c r="U858" s="51" t="inlineStr"/>
      <c r="V858" s="55" t="n"/>
      <c r="W858" s="51" t="inlineStr"/>
      <c r="X858" s="51" t="inlineStr"/>
      <c r="Y858" s="51" t="n"/>
      <c r="AB858" s="57" t="n"/>
      <c r="AC858" s="90" t="n"/>
      <c r="AD858" s="90" t="n"/>
      <c r="AE858" s="88" t="n"/>
      <c r="AF858" s="91" t="n"/>
      <c r="AG858" s="91" t="n"/>
      <c r="AH858" s="88" t="n"/>
      <c r="AI858" s="88" t="n"/>
      <c r="AJ858" s="90" t="n"/>
      <c r="AK858" s="88" t="n"/>
      <c r="AL858" s="91" t="n"/>
      <c r="AM858" s="88" t="n"/>
      <c r="AN858" s="95" t="n"/>
      <c r="AO858" s="90" t="n"/>
      <c r="AP858" s="90" t="n"/>
    </row>
    <row r="859" ht="14.25" customHeight="1" s="84">
      <c r="A859" s="51" t="n"/>
      <c r="B859" s="47" t="n"/>
      <c r="C859" s="51" t="n"/>
      <c r="D859" s="51" t="n"/>
      <c r="E859" s="51" t="n"/>
      <c r="F859" s="51" t="n"/>
      <c r="G859" s="47" t="n"/>
      <c r="H859" s="51" t="n"/>
      <c r="I859" s="51" t="n"/>
      <c r="J859" s="51" t="n"/>
      <c r="K859" s="51" t="n"/>
      <c r="L859" s="51" t="n"/>
      <c r="N859" s="51" t="n"/>
      <c r="Q859" s="51" t="n"/>
      <c r="S859" s="51" t="n"/>
      <c r="T859" s="51" t="n"/>
      <c r="U859" s="51" t="inlineStr"/>
      <c r="V859" s="55" t="n"/>
      <c r="W859" s="51" t="inlineStr"/>
      <c r="X859" s="51" t="inlineStr"/>
      <c r="Y859" s="51" t="n"/>
      <c r="AB859" s="57" t="n"/>
      <c r="AC859" s="90" t="n"/>
      <c r="AD859" s="90" t="n"/>
      <c r="AE859" s="88" t="n"/>
      <c r="AF859" s="91" t="n"/>
      <c r="AG859" s="91" t="n"/>
      <c r="AH859" s="88" t="n"/>
      <c r="AI859" s="88" t="n"/>
      <c r="AJ859" s="90" t="n"/>
      <c r="AK859" s="88" t="n"/>
      <c r="AL859" s="91" t="n"/>
      <c r="AM859" s="88" t="n"/>
      <c r="AN859" s="95" t="n"/>
      <c r="AO859" s="90" t="n"/>
      <c r="AP859" s="90" t="n"/>
    </row>
    <row r="860" ht="14.25" customHeight="1" s="84">
      <c r="A860" s="51" t="n"/>
      <c r="B860" s="47" t="n"/>
      <c r="C860" s="51" t="n"/>
      <c r="D860" s="51" t="n"/>
      <c r="E860" s="51" t="n"/>
      <c r="F860" s="51" t="n"/>
      <c r="G860" s="47" t="n"/>
      <c r="H860" s="51" t="n"/>
      <c r="I860" s="51" t="n"/>
      <c r="J860" s="51" t="n"/>
      <c r="K860" s="51" t="n"/>
      <c r="L860" s="51" t="n"/>
      <c r="N860" s="51" t="n"/>
      <c r="Q860" s="51" t="n"/>
      <c r="S860" s="51" t="n"/>
      <c r="T860" s="51" t="n"/>
      <c r="U860" s="51" t="inlineStr"/>
      <c r="V860" s="55" t="n"/>
      <c r="W860" s="51" t="inlineStr"/>
      <c r="X860" s="51" t="inlineStr"/>
      <c r="Y860" s="51" t="n"/>
      <c r="AB860" s="57" t="n"/>
      <c r="AC860" s="90" t="n"/>
      <c r="AD860" s="90" t="n"/>
      <c r="AE860" s="88" t="n"/>
      <c r="AF860" s="91" t="n"/>
      <c r="AG860" s="91" t="n"/>
      <c r="AH860" s="88" t="n"/>
      <c r="AI860" s="88" t="n"/>
      <c r="AJ860" s="90" t="n"/>
      <c r="AK860" s="88" t="n"/>
      <c r="AL860" s="91" t="n"/>
      <c r="AM860" s="88" t="n"/>
      <c r="AN860" s="95" t="n"/>
      <c r="AO860" s="90" t="n"/>
      <c r="AP860" s="90" t="n"/>
    </row>
    <row r="861" ht="14.25" customHeight="1" s="84">
      <c r="A861" s="51" t="n"/>
      <c r="B861" s="47" t="n"/>
      <c r="C861" s="51" t="n"/>
      <c r="D861" s="51" t="n"/>
      <c r="E861" s="51" t="n"/>
      <c r="F861" s="51" t="n"/>
      <c r="G861" s="47" t="n"/>
      <c r="H861" s="51" t="n"/>
      <c r="I861" s="51" t="n"/>
      <c r="J861" s="51" t="n"/>
      <c r="K861" s="51" t="n"/>
      <c r="L861" s="51" t="n"/>
      <c r="N861" s="51" t="n"/>
      <c r="Q861" s="51" t="n"/>
      <c r="S861" s="51" t="n"/>
      <c r="T861" s="51" t="n"/>
      <c r="U861" s="51" t="inlineStr"/>
      <c r="V861" s="55" t="n"/>
      <c r="W861" s="51" t="inlineStr"/>
      <c r="X861" s="51" t="inlineStr"/>
      <c r="Y861" s="51" t="n"/>
      <c r="AB861" s="57" t="n"/>
      <c r="AC861" s="90" t="n"/>
      <c r="AD861" s="90" t="n"/>
      <c r="AE861" s="88" t="n"/>
      <c r="AF861" s="91" t="n"/>
      <c r="AG861" s="91" t="n"/>
      <c r="AH861" s="88" t="n"/>
      <c r="AI861" s="88" t="n"/>
      <c r="AJ861" s="90" t="n"/>
      <c r="AK861" s="88" t="n"/>
      <c r="AL861" s="91" t="n"/>
      <c r="AM861" s="88" t="n"/>
      <c r="AN861" s="95" t="n"/>
      <c r="AO861" s="90" t="n"/>
      <c r="AP861" s="90" t="n"/>
    </row>
    <row r="862" ht="14.25" customHeight="1" s="84">
      <c r="A862" s="51" t="n"/>
      <c r="B862" s="47" t="n"/>
      <c r="C862" s="51" t="n"/>
      <c r="D862" s="51" t="n"/>
      <c r="E862" s="51" t="n"/>
      <c r="F862" s="51" t="n"/>
      <c r="G862" s="47" t="n"/>
      <c r="H862" s="51" t="n"/>
      <c r="I862" s="51" t="n"/>
      <c r="J862" s="51" t="n"/>
      <c r="K862" s="51" t="n"/>
      <c r="L862" s="51" t="n"/>
      <c r="N862" s="51" t="n"/>
      <c r="Q862" s="51" t="n"/>
      <c r="S862" s="51" t="n"/>
      <c r="T862" s="51" t="n"/>
      <c r="U862" s="51" t="inlineStr"/>
      <c r="V862" s="55" t="n"/>
      <c r="W862" s="51" t="inlineStr"/>
      <c r="X862" s="51" t="inlineStr"/>
      <c r="Y862" s="51" t="n"/>
      <c r="AB862" s="57" t="n"/>
      <c r="AC862" s="90" t="n"/>
      <c r="AD862" s="90" t="n"/>
      <c r="AE862" s="88" t="n"/>
      <c r="AF862" s="91" t="n"/>
      <c r="AG862" s="91" t="n"/>
      <c r="AH862" s="88" t="n"/>
      <c r="AI862" s="88" t="n"/>
      <c r="AJ862" s="90" t="n"/>
      <c r="AK862" s="88" t="n"/>
      <c r="AL862" s="91" t="n"/>
      <c r="AM862" s="88" t="n"/>
      <c r="AN862" s="95" t="n"/>
      <c r="AO862" s="90" t="n"/>
      <c r="AP862" s="90" t="n"/>
    </row>
    <row r="863" ht="14.25" customHeight="1" s="84">
      <c r="A863" s="51" t="n"/>
      <c r="B863" s="47" t="n"/>
      <c r="C863" s="51" t="n"/>
      <c r="D863" s="51" t="n"/>
      <c r="E863" s="51" t="n"/>
      <c r="F863" s="51" t="n"/>
      <c r="G863" s="47" t="n"/>
      <c r="H863" s="51" t="n"/>
      <c r="I863" s="51" t="n"/>
      <c r="J863" s="51" t="n"/>
      <c r="K863" s="51" t="n"/>
      <c r="L863" s="51" t="n"/>
      <c r="N863" s="51" t="n"/>
      <c r="Q863" s="51" t="n"/>
      <c r="S863" s="51" t="n"/>
      <c r="T863" s="51" t="n"/>
      <c r="U863" s="51" t="inlineStr"/>
      <c r="V863" s="55" t="n"/>
      <c r="W863" s="51" t="inlineStr"/>
      <c r="X863" s="51" t="inlineStr"/>
      <c r="Y863" s="51" t="n"/>
      <c r="AB863" s="57" t="n"/>
      <c r="AC863" s="90" t="n"/>
      <c r="AD863" s="90" t="n"/>
      <c r="AE863" s="88" t="n"/>
      <c r="AF863" s="91" t="n"/>
      <c r="AG863" s="91" t="n"/>
      <c r="AH863" s="88" t="n"/>
      <c r="AI863" s="88" t="n"/>
      <c r="AJ863" s="90" t="n"/>
      <c r="AK863" s="88" t="n"/>
      <c r="AL863" s="91" t="n"/>
      <c r="AM863" s="88" t="n"/>
      <c r="AN863" s="95" t="n"/>
      <c r="AO863" s="90" t="n"/>
      <c r="AP863" s="90" t="n"/>
    </row>
    <row r="864" ht="14.25" customHeight="1" s="84">
      <c r="A864" s="51" t="n"/>
      <c r="B864" s="47" t="n"/>
      <c r="C864" s="51" t="n"/>
      <c r="D864" s="51" t="n"/>
      <c r="E864" s="51" t="n"/>
      <c r="F864" s="51" t="n"/>
      <c r="G864" s="47" t="n"/>
      <c r="H864" s="51" t="n"/>
      <c r="I864" s="51" t="n"/>
      <c r="J864" s="51" t="n"/>
      <c r="K864" s="51" t="n"/>
      <c r="L864" s="51" t="n"/>
      <c r="N864" s="51" t="n"/>
      <c r="Q864" s="51" t="n"/>
      <c r="S864" s="51" t="n"/>
      <c r="T864" s="51" t="n"/>
      <c r="U864" s="51" t="inlineStr"/>
      <c r="V864" s="55" t="n"/>
      <c r="W864" s="51" t="inlineStr"/>
      <c r="X864" s="51" t="inlineStr"/>
      <c r="Y864" s="51" t="n"/>
      <c r="AB864" s="57" t="n"/>
      <c r="AC864" s="90" t="n"/>
      <c r="AD864" s="90" t="n"/>
      <c r="AE864" s="88" t="n"/>
      <c r="AF864" s="91" t="n"/>
      <c r="AG864" s="91" t="n"/>
      <c r="AH864" s="88" t="n"/>
      <c r="AI864" s="88" t="n"/>
      <c r="AJ864" s="90" t="n"/>
      <c r="AK864" s="88" t="n"/>
      <c r="AL864" s="91" t="n"/>
      <c r="AM864" s="88" t="n"/>
      <c r="AN864" s="95" t="n"/>
      <c r="AO864" s="90" t="n"/>
      <c r="AP864" s="90" t="n"/>
    </row>
    <row r="865" ht="14.25" customHeight="1" s="84">
      <c r="A865" s="51" t="n"/>
      <c r="B865" s="47" t="n"/>
      <c r="C865" s="51" t="n"/>
      <c r="D865" s="51" t="n"/>
      <c r="E865" s="51" t="n"/>
      <c r="F865" s="51" t="n"/>
      <c r="G865" s="47" t="n"/>
      <c r="H865" s="51" t="n"/>
      <c r="I865" s="51" t="n"/>
      <c r="J865" s="51" t="n"/>
      <c r="K865" s="51" t="n"/>
      <c r="L865" s="51" t="n"/>
      <c r="N865" s="51" t="n"/>
      <c r="Q865" s="51" t="n"/>
      <c r="S865" s="51" t="n"/>
      <c r="T865" s="51" t="n"/>
      <c r="U865" s="51" t="inlineStr"/>
      <c r="V865" s="55" t="n"/>
      <c r="W865" s="51" t="inlineStr"/>
      <c r="X865" s="51" t="inlineStr"/>
      <c r="Y865" s="51" t="n"/>
      <c r="AB865" s="57" t="n"/>
      <c r="AC865" s="90" t="n"/>
      <c r="AD865" s="90" t="n"/>
      <c r="AE865" s="88" t="n"/>
      <c r="AF865" s="91" t="n"/>
      <c r="AG865" s="91" t="n"/>
      <c r="AH865" s="88" t="n"/>
      <c r="AI865" s="88" t="n"/>
      <c r="AJ865" s="90" t="n"/>
      <c r="AK865" s="88" t="n"/>
      <c r="AL865" s="91" t="n"/>
      <c r="AM865" s="88" t="n"/>
      <c r="AN865" s="95" t="n"/>
      <c r="AO865" s="90" t="n"/>
      <c r="AP865" s="90" t="n"/>
    </row>
    <row r="866" ht="14.25" customHeight="1" s="84">
      <c r="A866" s="51" t="n"/>
      <c r="B866" s="47" t="n"/>
      <c r="C866" s="51" t="n"/>
      <c r="D866" s="51" t="n"/>
      <c r="E866" s="51" t="n"/>
      <c r="F866" s="51" t="n"/>
      <c r="G866" s="47" t="n"/>
      <c r="H866" s="51" t="n"/>
      <c r="I866" s="51" t="n"/>
      <c r="J866" s="51" t="n"/>
      <c r="K866" s="51" t="n"/>
      <c r="L866" s="51" t="n"/>
      <c r="N866" s="51" t="n"/>
      <c r="Q866" s="51" t="n"/>
      <c r="S866" s="51" t="n"/>
      <c r="T866" s="51" t="n"/>
      <c r="U866" s="51" t="inlineStr"/>
      <c r="V866" s="55" t="n"/>
      <c r="W866" s="51" t="inlineStr"/>
      <c r="X866" s="51" t="inlineStr"/>
      <c r="Y866" s="51" t="n"/>
      <c r="AB866" s="57" t="n"/>
      <c r="AC866" s="90" t="n"/>
      <c r="AD866" s="90" t="n"/>
      <c r="AE866" s="88" t="n"/>
      <c r="AF866" s="91" t="n"/>
      <c r="AG866" s="91" t="n"/>
      <c r="AH866" s="88" t="n"/>
      <c r="AI866" s="88" t="n"/>
      <c r="AJ866" s="90" t="n"/>
      <c r="AK866" s="88" t="n"/>
      <c r="AL866" s="91" t="n"/>
      <c r="AM866" s="88" t="n"/>
      <c r="AN866" s="95" t="n"/>
      <c r="AO866" s="90" t="n"/>
      <c r="AP866" s="90" t="n"/>
    </row>
    <row r="867" ht="14.25" customHeight="1" s="84">
      <c r="A867" s="51" t="n"/>
      <c r="B867" s="47" t="n"/>
      <c r="C867" s="51" t="n"/>
      <c r="D867" s="51" t="n"/>
      <c r="E867" s="51" t="n"/>
      <c r="F867" s="51" t="n"/>
      <c r="G867" s="47" t="n"/>
      <c r="H867" s="51" t="n"/>
      <c r="I867" s="51" t="n"/>
      <c r="J867" s="51" t="n"/>
      <c r="K867" s="51" t="n"/>
      <c r="L867" s="51" t="n"/>
      <c r="N867" s="51" t="n"/>
      <c r="Q867" s="51" t="n"/>
      <c r="S867" s="51" t="n"/>
      <c r="T867" s="51" t="n"/>
      <c r="U867" s="51" t="inlineStr"/>
      <c r="V867" s="55" t="n"/>
      <c r="W867" s="51" t="inlineStr"/>
      <c r="X867" s="51" t="inlineStr"/>
      <c r="Y867" s="51" t="n"/>
      <c r="AB867" s="57" t="n"/>
      <c r="AC867" s="90" t="n"/>
      <c r="AD867" s="90" t="n"/>
      <c r="AE867" s="88" t="n"/>
      <c r="AF867" s="91" t="n"/>
      <c r="AG867" s="91" t="n"/>
      <c r="AH867" s="88" t="n"/>
      <c r="AI867" s="88" t="n"/>
      <c r="AJ867" s="90" t="n"/>
      <c r="AK867" s="88" t="n"/>
      <c r="AL867" s="91" t="n"/>
      <c r="AM867" s="88" t="n"/>
      <c r="AN867" s="95" t="n"/>
      <c r="AO867" s="90" t="n"/>
      <c r="AP867" s="90" t="n"/>
    </row>
    <row r="868" ht="14.25" customHeight="1" s="84">
      <c r="A868" s="51" t="n"/>
      <c r="B868" s="47" t="n"/>
      <c r="C868" s="51" t="n"/>
      <c r="D868" s="51" t="n"/>
      <c r="E868" s="51" t="n"/>
      <c r="F868" s="51" t="n"/>
      <c r="G868" s="47" t="n"/>
      <c r="H868" s="51" t="n"/>
      <c r="I868" s="51" t="n"/>
      <c r="J868" s="51" t="n"/>
      <c r="K868" s="51" t="n"/>
      <c r="L868" s="51" t="n"/>
      <c r="N868" s="51" t="n"/>
      <c r="Q868" s="51" t="n"/>
      <c r="S868" s="51" t="n"/>
      <c r="T868" s="51" t="n"/>
      <c r="U868" s="51" t="inlineStr"/>
      <c r="V868" s="55" t="n"/>
      <c r="W868" s="51" t="inlineStr"/>
      <c r="X868" s="51" t="inlineStr"/>
      <c r="Y868" s="51" t="n"/>
      <c r="AB868" s="57" t="n"/>
      <c r="AC868" s="90" t="n"/>
      <c r="AD868" s="90" t="n"/>
      <c r="AE868" s="88" t="n"/>
      <c r="AF868" s="91" t="n"/>
      <c r="AG868" s="91" t="n"/>
      <c r="AH868" s="88" t="n"/>
      <c r="AI868" s="88" t="n"/>
      <c r="AJ868" s="90" t="n"/>
      <c r="AK868" s="88" t="n"/>
      <c r="AL868" s="91" t="n"/>
      <c r="AM868" s="88" t="n"/>
      <c r="AN868" s="95" t="n"/>
      <c r="AO868" s="90" t="n"/>
      <c r="AP868" s="90" t="n"/>
    </row>
    <row r="869" ht="14.25" customHeight="1" s="84">
      <c r="A869" s="51" t="n"/>
      <c r="B869" s="47" t="n"/>
      <c r="C869" s="51" t="n"/>
      <c r="D869" s="51" t="n"/>
      <c r="E869" s="51" t="n"/>
      <c r="F869" s="51" t="n"/>
      <c r="G869" s="47" t="n"/>
      <c r="H869" s="51" t="n"/>
      <c r="I869" s="51" t="n"/>
      <c r="J869" s="51" t="n"/>
      <c r="K869" s="51" t="n"/>
      <c r="L869" s="51" t="n"/>
      <c r="N869" s="51" t="n"/>
      <c r="Q869" s="51" t="n"/>
      <c r="S869" s="51" t="n"/>
      <c r="T869" s="51" t="n"/>
      <c r="U869" s="51" t="inlineStr"/>
      <c r="V869" s="55" t="n"/>
      <c r="W869" s="51" t="inlineStr"/>
      <c r="X869" s="51" t="inlineStr"/>
      <c r="Y869" s="51" t="n"/>
      <c r="AB869" s="57" t="n"/>
      <c r="AC869" s="90" t="n"/>
      <c r="AD869" s="90" t="n"/>
      <c r="AE869" s="88" t="n"/>
      <c r="AF869" s="91" t="n"/>
      <c r="AG869" s="91" t="n"/>
      <c r="AH869" s="88" t="n"/>
      <c r="AI869" s="88" t="n"/>
      <c r="AJ869" s="90" t="n"/>
      <c r="AK869" s="88" t="n"/>
      <c r="AL869" s="91" t="n"/>
      <c r="AM869" s="88" t="n"/>
      <c r="AN869" s="95" t="n"/>
      <c r="AO869" s="90" t="n"/>
      <c r="AP869" s="90" t="n"/>
    </row>
    <row r="870" ht="14.25" customHeight="1" s="84">
      <c r="A870" s="51" t="n"/>
      <c r="B870" s="47" t="n"/>
      <c r="C870" s="51" t="n"/>
      <c r="D870" s="51" t="n"/>
      <c r="E870" s="51" t="n"/>
      <c r="F870" s="51" t="n"/>
      <c r="G870" s="47" t="n"/>
      <c r="H870" s="51" t="n"/>
      <c r="I870" s="51" t="n"/>
      <c r="J870" s="51" t="n"/>
      <c r="K870" s="51" t="n"/>
      <c r="L870" s="51" t="n"/>
      <c r="N870" s="51" t="n"/>
      <c r="Q870" s="51" t="n"/>
      <c r="S870" s="51" t="n"/>
      <c r="T870" s="51" t="n"/>
      <c r="U870" s="51" t="inlineStr"/>
      <c r="V870" s="55" t="n"/>
      <c r="W870" s="51" t="inlineStr"/>
      <c r="X870" s="51" t="inlineStr"/>
      <c r="Y870" s="51" t="n"/>
      <c r="AB870" s="57" t="n"/>
      <c r="AC870" s="90" t="n"/>
      <c r="AD870" s="90" t="n"/>
      <c r="AE870" s="88" t="n"/>
      <c r="AF870" s="91" t="n"/>
      <c r="AG870" s="91" t="n"/>
      <c r="AH870" s="88" t="n"/>
      <c r="AI870" s="88" t="n"/>
      <c r="AJ870" s="90" t="n"/>
      <c r="AK870" s="88" t="n"/>
      <c r="AL870" s="91" t="n"/>
      <c r="AM870" s="88" t="n"/>
      <c r="AN870" s="95" t="n"/>
      <c r="AO870" s="90" t="n"/>
      <c r="AP870" s="90" t="n"/>
    </row>
    <row r="871" ht="14.25" customHeight="1" s="84">
      <c r="A871" s="51" t="n"/>
      <c r="B871" s="47" t="n"/>
      <c r="C871" s="51" t="n"/>
      <c r="D871" s="51" t="n"/>
      <c r="E871" s="51" t="n"/>
      <c r="F871" s="51" t="n"/>
      <c r="G871" s="47" t="n"/>
      <c r="H871" s="51" t="n"/>
      <c r="I871" s="51" t="n"/>
      <c r="J871" s="51" t="n"/>
      <c r="K871" s="51" t="n"/>
      <c r="L871" s="51" t="n"/>
      <c r="N871" s="51" t="n"/>
      <c r="Q871" s="51" t="n"/>
      <c r="S871" s="51" t="n"/>
      <c r="T871" s="51" t="n"/>
      <c r="U871" s="51" t="inlineStr"/>
      <c r="V871" s="55" t="n"/>
      <c r="W871" s="51" t="inlineStr"/>
      <c r="X871" s="51" t="inlineStr"/>
      <c r="Y871" s="51" t="n"/>
      <c r="AB871" s="57" t="n"/>
      <c r="AC871" s="90" t="n"/>
      <c r="AD871" s="90" t="n"/>
      <c r="AE871" s="88" t="n"/>
      <c r="AF871" s="91" t="n"/>
      <c r="AG871" s="91" t="n"/>
      <c r="AH871" s="88" t="n"/>
      <c r="AI871" s="88" t="n"/>
      <c r="AJ871" s="90" t="n"/>
      <c r="AK871" s="88" t="n"/>
      <c r="AL871" s="91" t="n"/>
      <c r="AM871" s="88" t="n"/>
      <c r="AN871" s="95" t="n"/>
      <c r="AO871" s="90" t="n"/>
      <c r="AP871" s="90" t="n"/>
    </row>
    <row r="872" ht="14.25" customHeight="1" s="84">
      <c r="A872" s="51" t="n"/>
      <c r="B872" s="47" t="n"/>
      <c r="C872" s="51" t="n"/>
      <c r="D872" s="51" t="n"/>
      <c r="E872" s="51" t="n"/>
      <c r="F872" s="51" t="n"/>
      <c r="G872" s="47" t="n"/>
      <c r="H872" s="51" t="n"/>
      <c r="I872" s="51" t="n"/>
      <c r="J872" s="51" t="n"/>
      <c r="K872" s="51" t="n"/>
      <c r="L872" s="51" t="n"/>
      <c r="N872" s="51" t="n"/>
      <c r="Q872" s="51" t="n"/>
      <c r="S872" s="51" t="n"/>
      <c r="T872" s="51" t="n"/>
      <c r="U872" s="51" t="inlineStr"/>
      <c r="V872" s="55" t="n"/>
      <c r="W872" s="51" t="inlineStr"/>
      <c r="X872" s="51" t="inlineStr"/>
      <c r="Y872" s="51" t="n"/>
      <c r="AB872" s="57" t="n"/>
      <c r="AC872" s="90" t="n"/>
      <c r="AD872" s="90" t="n"/>
      <c r="AE872" s="88" t="n"/>
      <c r="AF872" s="91" t="n"/>
      <c r="AG872" s="91" t="n"/>
      <c r="AH872" s="88" t="n"/>
      <c r="AI872" s="88" t="n"/>
      <c r="AJ872" s="90" t="n"/>
      <c r="AK872" s="88" t="n"/>
      <c r="AL872" s="91" t="n"/>
      <c r="AM872" s="88" t="n"/>
      <c r="AN872" s="95" t="n"/>
      <c r="AO872" s="90" t="n"/>
      <c r="AP872" s="90" t="n"/>
    </row>
    <row r="873" ht="14.25" customHeight="1" s="84">
      <c r="A873" s="51" t="n"/>
      <c r="B873" s="47" t="n"/>
      <c r="C873" s="51" t="n"/>
      <c r="D873" s="51" t="n"/>
      <c r="E873" s="51" t="n"/>
      <c r="F873" s="51" t="n"/>
      <c r="G873" s="47" t="n"/>
      <c r="H873" s="51" t="n"/>
      <c r="I873" s="51" t="n"/>
      <c r="J873" s="51" t="n"/>
      <c r="K873" s="51" t="n"/>
      <c r="L873" s="51" t="n"/>
      <c r="N873" s="51" t="n"/>
      <c r="Q873" s="51" t="n"/>
      <c r="S873" s="51" t="n"/>
      <c r="T873" s="51" t="n"/>
      <c r="U873" s="51" t="inlineStr"/>
      <c r="V873" s="55" t="n"/>
      <c r="W873" s="51" t="inlineStr"/>
      <c r="X873" s="51" t="inlineStr"/>
      <c r="Y873" s="51" t="n"/>
      <c r="AB873" s="57" t="n"/>
      <c r="AC873" s="90" t="n"/>
      <c r="AD873" s="90" t="n"/>
      <c r="AE873" s="88" t="n"/>
      <c r="AF873" s="91" t="n"/>
      <c r="AG873" s="91" t="n"/>
      <c r="AH873" s="88" t="n"/>
      <c r="AI873" s="88" t="n"/>
      <c r="AJ873" s="90" t="n"/>
      <c r="AK873" s="88" t="n"/>
      <c r="AL873" s="91" t="n"/>
      <c r="AM873" s="88" t="n"/>
      <c r="AN873" s="95" t="n"/>
      <c r="AO873" s="90" t="n"/>
      <c r="AP873" s="90" t="n"/>
    </row>
    <row r="874" ht="14.25" customHeight="1" s="84">
      <c r="A874" s="51" t="n"/>
      <c r="B874" s="47" t="n"/>
      <c r="C874" s="51" t="n"/>
      <c r="D874" s="51" t="n"/>
      <c r="E874" s="51" t="n"/>
      <c r="F874" s="51" t="n"/>
      <c r="G874" s="47" t="n"/>
      <c r="H874" s="51" t="n"/>
      <c r="I874" s="51" t="n"/>
      <c r="J874" s="51" t="n"/>
      <c r="K874" s="51" t="n"/>
      <c r="L874" s="51" t="n"/>
      <c r="N874" s="51" t="n"/>
      <c r="Q874" s="51" t="n"/>
      <c r="S874" s="51" t="n"/>
      <c r="T874" s="51" t="n"/>
      <c r="U874" s="51" t="inlineStr"/>
      <c r="V874" s="55" t="n"/>
      <c r="W874" s="51" t="inlineStr"/>
      <c r="X874" s="51" t="inlineStr"/>
      <c r="Y874" s="51" t="n"/>
      <c r="AB874" s="57" t="n"/>
      <c r="AC874" s="90" t="n"/>
      <c r="AD874" s="90" t="n"/>
      <c r="AE874" s="88" t="n"/>
      <c r="AF874" s="91" t="n"/>
      <c r="AG874" s="91" t="n"/>
      <c r="AH874" s="88" t="n"/>
      <c r="AI874" s="88" t="n"/>
      <c r="AJ874" s="90" t="n"/>
      <c r="AK874" s="88" t="n"/>
      <c r="AL874" s="91" t="n"/>
      <c r="AM874" s="88" t="n"/>
      <c r="AN874" s="95" t="n"/>
      <c r="AO874" s="90" t="n"/>
      <c r="AP874" s="90" t="n"/>
    </row>
    <row r="875" ht="14.25" customHeight="1" s="84">
      <c r="A875" s="51" t="n"/>
      <c r="B875" s="47" t="n"/>
      <c r="C875" s="51" t="n"/>
      <c r="D875" s="51" t="n"/>
      <c r="E875" s="51" t="n"/>
      <c r="F875" s="51" t="n"/>
      <c r="G875" s="47" t="n"/>
      <c r="H875" s="51" t="n"/>
      <c r="I875" s="51" t="n"/>
      <c r="J875" s="51" t="n"/>
      <c r="K875" s="51" t="n"/>
      <c r="L875" s="51" t="n"/>
      <c r="N875" s="51" t="n"/>
      <c r="Q875" s="51" t="n"/>
      <c r="S875" s="51" t="n"/>
      <c r="T875" s="51" t="n"/>
      <c r="U875" s="51" t="inlineStr"/>
      <c r="V875" s="55" t="n"/>
      <c r="W875" s="51" t="inlineStr"/>
      <c r="X875" s="51" t="inlineStr"/>
      <c r="Y875" s="51" t="n"/>
      <c r="AB875" s="57" t="n"/>
      <c r="AC875" s="90" t="n"/>
      <c r="AD875" s="90" t="n"/>
      <c r="AE875" s="88" t="n"/>
      <c r="AF875" s="91" t="n"/>
      <c r="AG875" s="91" t="n"/>
      <c r="AH875" s="88" t="n"/>
      <c r="AI875" s="88" t="n"/>
      <c r="AJ875" s="90" t="n"/>
      <c r="AK875" s="88" t="n"/>
      <c r="AL875" s="91" t="n"/>
      <c r="AM875" s="88" t="n"/>
      <c r="AN875" s="95" t="n"/>
      <c r="AO875" s="90" t="n"/>
      <c r="AP875" s="90" t="n"/>
    </row>
    <row r="876" ht="14.25" customHeight="1" s="84">
      <c r="A876" s="51" t="n"/>
      <c r="B876" s="47" t="n"/>
      <c r="C876" s="51" t="n"/>
      <c r="D876" s="51" t="n"/>
      <c r="E876" s="51" t="n"/>
      <c r="F876" s="51" t="n"/>
      <c r="G876" s="47" t="n"/>
      <c r="H876" s="51" t="n"/>
      <c r="I876" s="51" t="n"/>
      <c r="J876" s="51" t="n"/>
      <c r="K876" s="51" t="n"/>
      <c r="L876" s="51" t="n"/>
      <c r="N876" s="51" t="n"/>
      <c r="Q876" s="51" t="n"/>
      <c r="S876" s="51" t="n"/>
      <c r="T876" s="51" t="n"/>
      <c r="U876" s="51" t="inlineStr"/>
      <c r="V876" s="55" t="n"/>
      <c r="W876" s="51" t="inlineStr"/>
      <c r="X876" s="51" t="inlineStr"/>
      <c r="Y876" s="51" t="n"/>
      <c r="AB876" s="57" t="n"/>
      <c r="AC876" s="90" t="n"/>
      <c r="AD876" s="90" t="n"/>
      <c r="AE876" s="88" t="n"/>
      <c r="AF876" s="91" t="n"/>
      <c r="AG876" s="91" t="n"/>
      <c r="AH876" s="88" t="n"/>
      <c r="AI876" s="88" t="n"/>
      <c r="AJ876" s="90" t="n"/>
      <c r="AK876" s="88" t="n"/>
      <c r="AL876" s="91" t="n"/>
      <c r="AM876" s="88" t="n"/>
      <c r="AN876" s="95" t="n"/>
      <c r="AO876" s="90" t="n"/>
      <c r="AP876" s="90" t="n"/>
    </row>
    <row r="877" ht="14.25" customHeight="1" s="84">
      <c r="A877" s="51" t="n"/>
      <c r="B877" s="47" t="n"/>
      <c r="C877" s="51" t="n"/>
      <c r="D877" s="51" t="n"/>
      <c r="E877" s="51" t="n"/>
      <c r="F877" s="51" t="n"/>
      <c r="G877" s="47" t="n"/>
      <c r="H877" s="51" t="n"/>
      <c r="I877" s="51" t="n"/>
      <c r="J877" s="51" t="n"/>
      <c r="K877" s="51" t="n"/>
      <c r="L877" s="51" t="n"/>
      <c r="N877" s="51" t="n"/>
      <c r="Q877" s="51" t="n"/>
      <c r="S877" s="51" t="n"/>
      <c r="T877" s="51" t="n"/>
      <c r="U877" s="51" t="inlineStr"/>
      <c r="V877" s="55" t="n"/>
      <c r="W877" s="51" t="inlineStr"/>
      <c r="X877" s="51" t="inlineStr"/>
      <c r="Y877" s="51" t="n"/>
      <c r="AB877" s="57" t="n"/>
      <c r="AC877" s="90" t="n"/>
      <c r="AD877" s="90" t="n"/>
      <c r="AE877" s="88" t="n"/>
      <c r="AF877" s="91" t="n"/>
      <c r="AG877" s="91" t="n"/>
      <c r="AH877" s="88" t="n"/>
      <c r="AI877" s="88" t="n"/>
      <c r="AJ877" s="90" t="n"/>
      <c r="AK877" s="88" t="n"/>
      <c r="AL877" s="91" t="n"/>
      <c r="AM877" s="88" t="n"/>
      <c r="AN877" s="95" t="n"/>
      <c r="AO877" s="90" t="n"/>
      <c r="AP877" s="90" t="n"/>
    </row>
    <row r="878" ht="14.25" customHeight="1" s="84">
      <c r="A878" s="51" t="n"/>
      <c r="B878" s="47" t="n"/>
      <c r="C878" s="51" t="n"/>
      <c r="D878" s="51" t="n"/>
      <c r="E878" s="51" t="n"/>
      <c r="F878" s="51" t="n"/>
      <c r="G878" s="47" t="n"/>
      <c r="H878" s="51" t="n"/>
      <c r="I878" s="51" t="n"/>
      <c r="J878" s="51" t="n"/>
      <c r="K878" s="51" t="n"/>
      <c r="L878" s="51" t="n"/>
      <c r="N878" s="51" t="n"/>
      <c r="Q878" s="51" t="n"/>
      <c r="S878" s="51" t="n"/>
      <c r="T878" s="51" t="n"/>
      <c r="U878" s="51" t="inlineStr"/>
      <c r="V878" s="55" t="n"/>
      <c r="W878" s="51" t="inlineStr"/>
      <c r="X878" s="51" t="inlineStr"/>
      <c r="Y878" s="51" t="n"/>
      <c r="AB878" s="57" t="n"/>
      <c r="AC878" s="90" t="n"/>
      <c r="AD878" s="90" t="n"/>
      <c r="AE878" s="88" t="n"/>
      <c r="AF878" s="91" t="n"/>
      <c r="AG878" s="91" t="n"/>
      <c r="AH878" s="88" t="n"/>
      <c r="AI878" s="88" t="n"/>
      <c r="AJ878" s="90" t="n"/>
      <c r="AK878" s="88" t="n"/>
      <c r="AL878" s="91" t="n"/>
      <c r="AM878" s="88" t="n"/>
      <c r="AN878" s="95" t="n"/>
      <c r="AO878" s="90" t="n"/>
      <c r="AP878" s="90" t="n"/>
    </row>
    <row r="879" ht="14.25" customHeight="1" s="84">
      <c r="A879" s="51" t="n"/>
      <c r="B879" s="47" t="n"/>
      <c r="C879" s="51" t="n"/>
      <c r="D879" s="51" t="n"/>
      <c r="E879" s="51" t="n"/>
      <c r="F879" s="51" t="n"/>
      <c r="G879" s="47" t="n"/>
      <c r="H879" s="51" t="n"/>
      <c r="I879" s="51" t="n"/>
      <c r="J879" s="51" t="n"/>
      <c r="K879" s="51" t="n"/>
      <c r="L879" s="51" t="n"/>
      <c r="N879" s="51" t="n"/>
      <c r="Q879" s="51" t="n"/>
      <c r="S879" s="51" t="n"/>
      <c r="T879" s="51" t="n"/>
      <c r="U879" s="51" t="inlineStr"/>
      <c r="V879" s="55" t="n"/>
      <c r="W879" s="51" t="inlineStr"/>
      <c r="X879" s="51" t="inlineStr"/>
      <c r="Y879" s="51" t="n"/>
      <c r="AB879" s="57" t="n"/>
      <c r="AC879" s="90" t="n"/>
      <c r="AD879" s="90" t="n"/>
      <c r="AE879" s="88" t="n"/>
      <c r="AF879" s="91" t="n"/>
      <c r="AG879" s="91" t="n"/>
      <c r="AH879" s="88" t="n"/>
      <c r="AI879" s="88" t="n"/>
      <c r="AJ879" s="90" t="n"/>
      <c r="AK879" s="88" t="n"/>
      <c r="AL879" s="91" t="n"/>
      <c r="AM879" s="88" t="n"/>
      <c r="AN879" s="95" t="n"/>
      <c r="AO879" s="90" t="n"/>
      <c r="AP879" s="90" t="n"/>
    </row>
    <row r="880" ht="14.25" customHeight="1" s="84">
      <c r="A880" s="51" t="n"/>
      <c r="B880" s="47" t="n"/>
      <c r="C880" s="51" t="n"/>
      <c r="D880" s="51" t="n"/>
      <c r="E880" s="51" t="n"/>
      <c r="F880" s="51" t="n"/>
      <c r="G880" s="47" t="n"/>
      <c r="H880" s="51" t="n"/>
      <c r="I880" s="51" t="n"/>
      <c r="J880" s="51" t="n"/>
      <c r="K880" s="51" t="n"/>
      <c r="L880" s="51" t="n"/>
      <c r="N880" s="51" t="n"/>
      <c r="Q880" s="51" t="n"/>
      <c r="S880" s="51" t="n"/>
      <c r="T880" s="51" t="n"/>
      <c r="U880" s="51" t="inlineStr"/>
      <c r="V880" s="55" t="n"/>
      <c r="W880" s="51" t="inlineStr"/>
      <c r="X880" s="51" t="inlineStr"/>
      <c r="Y880" s="51" t="n"/>
      <c r="AB880" s="57" t="n"/>
      <c r="AC880" s="90" t="n"/>
      <c r="AD880" s="90" t="n"/>
      <c r="AE880" s="88" t="n"/>
      <c r="AF880" s="91" t="n"/>
      <c r="AG880" s="91" t="n"/>
      <c r="AH880" s="88" t="n"/>
      <c r="AI880" s="88" t="n"/>
      <c r="AJ880" s="90" t="n"/>
      <c r="AK880" s="88" t="n"/>
      <c r="AL880" s="91" t="n"/>
      <c r="AM880" s="88" t="n"/>
      <c r="AN880" s="95" t="n"/>
      <c r="AO880" s="90" t="n"/>
      <c r="AP880" s="90" t="n"/>
    </row>
    <row r="881" ht="14.25" customHeight="1" s="84">
      <c r="A881" s="51" t="n"/>
      <c r="B881" s="47" t="n"/>
      <c r="C881" s="51" t="n"/>
      <c r="D881" s="51" t="n"/>
      <c r="E881" s="51" t="n"/>
      <c r="F881" s="51" t="n"/>
      <c r="G881" s="47" t="n"/>
      <c r="H881" s="51" t="n"/>
      <c r="I881" s="51" t="n"/>
      <c r="J881" s="51" t="n"/>
      <c r="K881" s="51" t="n"/>
      <c r="L881" s="51" t="n"/>
      <c r="N881" s="51" t="n"/>
      <c r="Q881" s="51" t="n"/>
      <c r="S881" s="51" t="n"/>
      <c r="T881" s="51" t="n"/>
      <c r="U881" s="51" t="inlineStr"/>
      <c r="V881" s="55" t="n"/>
      <c r="W881" s="51" t="inlineStr"/>
      <c r="X881" s="51" t="inlineStr"/>
      <c r="Y881" s="51" t="n"/>
      <c r="AB881" s="57" t="n"/>
      <c r="AC881" s="90" t="n"/>
      <c r="AD881" s="90" t="n"/>
      <c r="AE881" s="88" t="n"/>
      <c r="AF881" s="91" t="n"/>
      <c r="AG881" s="91" t="n"/>
      <c r="AH881" s="88" t="n"/>
      <c r="AI881" s="88" t="n"/>
      <c r="AJ881" s="90" t="n"/>
      <c r="AK881" s="88" t="n"/>
      <c r="AL881" s="91" t="n"/>
      <c r="AM881" s="88" t="n"/>
      <c r="AN881" s="95" t="n"/>
      <c r="AO881" s="90" t="n"/>
      <c r="AP881" s="90" t="n"/>
    </row>
    <row r="882" ht="14.25" customHeight="1" s="84">
      <c r="A882" s="51" t="n"/>
      <c r="B882" s="47" t="n"/>
      <c r="C882" s="51" t="n"/>
      <c r="D882" s="51" t="n"/>
      <c r="E882" s="51" t="n"/>
      <c r="F882" s="51" t="n"/>
      <c r="G882" s="47" t="n"/>
      <c r="H882" s="51" t="n"/>
      <c r="I882" s="51" t="n"/>
      <c r="J882" s="51" t="n"/>
      <c r="K882" s="51" t="n"/>
      <c r="L882" s="51" t="n"/>
      <c r="N882" s="51" t="n"/>
      <c r="Q882" s="51" t="n"/>
      <c r="S882" s="51" t="n"/>
      <c r="T882" s="51" t="n"/>
      <c r="U882" s="51" t="inlineStr"/>
      <c r="V882" s="55" t="n"/>
      <c r="W882" s="51" t="inlineStr"/>
      <c r="X882" s="51" t="inlineStr"/>
      <c r="Y882" s="51" t="n"/>
      <c r="AB882" s="57" t="n"/>
      <c r="AC882" s="90" t="n"/>
      <c r="AD882" s="90" t="n"/>
      <c r="AE882" s="88" t="n"/>
      <c r="AF882" s="91" t="n"/>
      <c r="AG882" s="91" t="n"/>
      <c r="AH882" s="88" t="n"/>
      <c r="AI882" s="88" t="n"/>
      <c r="AJ882" s="90" t="n"/>
      <c r="AK882" s="88" t="n"/>
      <c r="AL882" s="91" t="n"/>
      <c r="AM882" s="88" t="n"/>
      <c r="AN882" s="95" t="n"/>
      <c r="AO882" s="90" t="n"/>
      <c r="AP882" s="90" t="n"/>
    </row>
    <row r="883" ht="14.25" customHeight="1" s="84">
      <c r="A883" s="51" t="n"/>
      <c r="B883" s="47" t="n"/>
      <c r="C883" s="51" t="n"/>
      <c r="D883" s="51" t="n"/>
      <c r="E883" s="51" t="n"/>
      <c r="F883" s="51" t="n"/>
      <c r="G883" s="47" t="n"/>
      <c r="H883" s="51" t="n"/>
      <c r="I883" s="51" t="n"/>
      <c r="J883" s="51" t="n"/>
      <c r="K883" s="51" t="n"/>
      <c r="L883" s="51" t="n"/>
      <c r="N883" s="51" t="n"/>
      <c r="Q883" s="51" t="n"/>
      <c r="S883" s="51" t="n"/>
      <c r="T883" s="51" t="n"/>
      <c r="U883" s="51" t="inlineStr"/>
      <c r="V883" s="55" t="n"/>
      <c r="W883" s="51" t="inlineStr"/>
      <c r="X883" s="51" t="inlineStr"/>
      <c r="Y883" s="51" t="n"/>
      <c r="AB883" s="57" t="n"/>
      <c r="AC883" s="90" t="n"/>
      <c r="AD883" s="90" t="n"/>
      <c r="AE883" s="88" t="n"/>
      <c r="AF883" s="91" t="n"/>
      <c r="AG883" s="91" t="n"/>
      <c r="AH883" s="88" t="n"/>
      <c r="AI883" s="88" t="n"/>
      <c r="AJ883" s="90" t="n"/>
      <c r="AK883" s="88" t="n"/>
      <c r="AL883" s="91" t="n"/>
      <c r="AM883" s="88" t="n"/>
      <c r="AN883" s="95" t="n"/>
      <c r="AO883" s="90" t="n"/>
      <c r="AP883" s="90" t="n"/>
    </row>
    <row r="884" ht="14.25" customHeight="1" s="84">
      <c r="A884" s="51" t="n"/>
      <c r="B884" s="47" t="n"/>
      <c r="C884" s="51" t="n"/>
      <c r="D884" s="51" t="n"/>
      <c r="E884" s="51" t="n"/>
      <c r="F884" s="51" t="n"/>
      <c r="G884" s="47" t="n"/>
      <c r="H884" s="51" t="n"/>
      <c r="I884" s="51" t="n"/>
      <c r="J884" s="51" t="n"/>
      <c r="K884" s="51" t="n"/>
      <c r="L884" s="51" t="n"/>
      <c r="N884" s="51" t="n"/>
      <c r="Q884" s="51" t="n"/>
      <c r="S884" s="51" t="n"/>
      <c r="T884" s="51" t="n"/>
      <c r="U884" s="51" t="inlineStr"/>
      <c r="V884" s="55" t="n"/>
      <c r="W884" s="51" t="inlineStr"/>
      <c r="X884" s="51" t="inlineStr"/>
      <c r="Y884" s="51" t="n"/>
      <c r="AB884" s="57" t="n"/>
      <c r="AC884" s="90" t="n"/>
      <c r="AD884" s="90" t="n"/>
      <c r="AE884" s="88" t="n"/>
      <c r="AF884" s="91" t="n"/>
      <c r="AG884" s="91" t="n"/>
      <c r="AH884" s="88" t="n"/>
      <c r="AI884" s="88" t="n"/>
      <c r="AJ884" s="90" t="n"/>
      <c r="AK884" s="88" t="n"/>
      <c r="AL884" s="91" t="n"/>
      <c r="AM884" s="88" t="n"/>
      <c r="AN884" s="95" t="n"/>
      <c r="AO884" s="90" t="n"/>
      <c r="AP884" s="90" t="n"/>
    </row>
    <row r="885" ht="14.25" customHeight="1" s="84">
      <c r="A885" s="51" t="n"/>
      <c r="B885" s="47" t="n"/>
      <c r="C885" s="51" t="n"/>
      <c r="D885" s="51" t="n"/>
      <c r="E885" s="51" t="n"/>
      <c r="F885" s="51" t="n"/>
      <c r="G885" s="47" t="n"/>
      <c r="H885" s="51" t="n"/>
      <c r="I885" s="51" t="n"/>
      <c r="J885" s="51" t="n"/>
      <c r="K885" s="51" t="n"/>
      <c r="L885" s="51" t="n"/>
      <c r="N885" s="51" t="n"/>
      <c r="Q885" s="51" t="n"/>
      <c r="S885" s="51" t="n"/>
      <c r="T885" s="51" t="n"/>
      <c r="U885" s="51" t="inlineStr"/>
      <c r="V885" s="55" t="n"/>
      <c r="W885" s="51" t="inlineStr"/>
      <c r="X885" s="51" t="inlineStr"/>
      <c r="Y885" s="51" t="n"/>
      <c r="AB885" s="57" t="n"/>
      <c r="AC885" s="90" t="n"/>
      <c r="AD885" s="90" t="n"/>
      <c r="AE885" s="88" t="n"/>
      <c r="AF885" s="91" t="n"/>
      <c r="AG885" s="91" t="n"/>
      <c r="AH885" s="88" t="n"/>
      <c r="AI885" s="88" t="n"/>
      <c r="AJ885" s="90" t="n"/>
      <c r="AK885" s="88" t="n"/>
      <c r="AL885" s="91" t="n"/>
      <c r="AM885" s="88" t="n"/>
      <c r="AN885" s="95" t="n"/>
      <c r="AO885" s="90" t="n"/>
      <c r="AP885" s="90" t="n"/>
    </row>
    <row r="886" ht="14.25" customHeight="1" s="84">
      <c r="A886" s="51" t="n"/>
      <c r="B886" s="47" t="n"/>
      <c r="C886" s="51" t="n"/>
      <c r="D886" s="51" t="n"/>
      <c r="E886" s="51" t="n"/>
      <c r="F886" s="51" t="n"/>
      <c r="G886" s="47" t="n"/>
      <c r="H886" s="51" t="n"/>
      <c r="I886" s="51" t="n"/>
      <c r="J886" s="51" t="n"/>
      <c r="K886" s="51" t="n"/>
      <c r="L886" s="51" t="n"/>
      <c r="N886" s="51" t="n"/>
      <c r="Q886" s="51" t="n"/>
      <c r="S886" s="51" t="n"/>
      <c r="T886" s="51" t="n"/>
      <c r="U886" s="51" t="inlineStr"/>
      <c r="V886" s="55" t="n"/>
      <c r="W886" s="51" t="inlineStr"/>
      <c r="X886" s="51" t="inlineStr"/>
      <c r="Y886" s="51" t="n"/>
      <c r="AB886" s="57" t="n"/>
      <c r="AC886" s="90" t="n"/>
      <c r="AD886" s="90" t="n"/>
      <c r="AE886" s="88" t="n"/>
      <c r="AF886" s="91" t="n"/>
      <c r="AG886" s="91" t="n"/>
      <c r="AH886" s="88" t="n"/>
      <c r="AI886" s="88" t="n"/>
      <c r="AJ886" s="90" t="n"/>
      <c r="AK886" s="88" t="n"/>
      <c r="AL886" s="91" t="n"/>
      <c r="AM886" s="88" t="n"/>
      <c r="AN886" s="95" t="n"/>
      <c r="AO886" s="90" t="n"/>
      <c r="AP886" s="90" t="n"/>
    </row>
    <row r="887" ht="14.25" customHeight="1" s="84">
      <c r="A887" s="51" t="n"/>
      <c r="B887" s="47" t="n"/>
      <c r="C887" s="51" t="n"/>
      <c r="D887" s="51" t="n"/>
      <c r="E887" s="51" t="n"/>
      <c r="F887" s="51" t="n"/>
      <c r="G887" s="47" t="n"/>
      <c r="H887" s="51" t="n"/>
      <c r="I887" s="51" t="n"/>
      <c r="J887" s="51" t="n"/>
      <c r="K887" s="51" t="n"/>
      <c r="L887" s="51" t="n"/>
      <c r="N887" s="51" t="n"/>
      <c r="Q887" s="51" t="n"/>
      <c r="S887" s="51" t="n"/>
      <c r="T887" s="51" t="n"/>
      <c r="U887" s="51" t="inlineStr"/>
      <c r="V887" s="55" t="n"/>
      <c r="W887" s="51" t="inlineStr"/>
      <c r="X887" s="51" t="inlineStr"/>
      <c r="Y887" s="51" t="n"/>
      <c r="AB887" s="57" t="n"/>
      <c r="AC887" s="90" t="n"/>
      <c r="AD887" s="90" t="n"/>
      <c r="AE887" s="88" t="n"/>
      <c r="AF887" s="91" t="n"/>
      <c r="AG887" s="91" t="n"/>
      <c r="AH887" s="88" t="n"/>
      <c r="AI887" s="88" t="n"/>
      <c r="AJ887" s="90" t="n"/>
      <c r="AK887" s="88" t="n"/>
      <c r="AL887" s="91" t="n"/>
      <c r="AM887" s="88" t="n"/>
      <c r="AN887" s="95" t="n"/>
      <c r="AO887" s="90" t="n"/>
      <c r="AP887" s="90" t="n"/>
    </row>
    <row r="888" ht="14.25" customHeight="1" s="84">
      <c r="A888" s="51" t="n"/>
      <c r="B888" s="47" t="n"/>
      <c r="C888" s="51" t="n"/>
      <c r="D888" s="51" t="n"/>
      <c r="E888" s="51" t="n"/>
      <c r="F888" s="51" t="n"/>
      <c r="G888" s="47" t="n"/>
      <c r="H888" s="51" t="n"/>
      <c r="I888" s="51" t="n"/>
      <c r="J888" s="51" t="n"/>
      <c r="K888" s="51" t="n"/>
      <c r="L888" s="51" t="n"/>
      <c r="N888" s="51" t="n"/>
      <c r="Q888" s="51" t="n"/>
      <c r="S888" s="51" t="n"/>
      <c r="T888" s="51" t="n"/>
      <c r="U888" s="51" t="inlineStr"/>
      <c r="V888" s="55" t="n"/>
      <c r="W888" s="51" t="inlineStr"/>
      <c r="X888" s="51" t="inlineStr"/>
      <c r="Y888" s="51" t="n"/>
      <c r="AB888" s="57" t="n"/>
      <c r="AC888" s="90" t="n"/>
      <c r="AD888" s="90" t="n"/>
      <c r="AE888" s="88" t="n"/>
      <c r="AF888" s="91" t="n"/>
      <c r="AG888" s="91" t="n"/>
      <c r="AH888" s="88" t="n"/>
      <c r="AI888" s="88" t="n"/>
      <c r="AJ888" s="90" t="n"/>
      <c r="AK888" s="88" t="n"/>
      <c r="AL888" s="91" t="n"/>
      <c r="AM888" s="88" t="n"/>
      <c r="AN888" s="95" t="n"/>
      <c r="AO888" s="90" t="n"/>
      <c r="AP888" s="90" t="n"/>
    </row>
    <row r="889" ht="14.25" customHeight="1" s="84">
      <c r="A889" s="51" t="n"/>
      <c r="B889" s="47" t="n"/>
      <c r="C889" s="51" t="n"/>
      <c r="D889" s="51" t="n"/>
      <c r="E889" s="51" t="n"/>
      <c r="F889" s="51" t="n"/>
      <c r="G889" s="47" t="n"/>
      <c r="H889" s="51" t="n"/>
      <c r="I889" s="51" t="n"/>
      <c r="J889" s="51" t="n"/>
      <c r="K889" s="51" t="n"/>
      <c r="L889" s="51" t="n"/>
      <c r="N889" s="51" t="n"/>
      <c r="Q889" s="51" t="n"/>
      <c r="S889" s="51" t="n"/>
      <c r="T889" s="51" t="n"/>
      <c r="U889" s="51" t="inlineStr"/>
      <c r="V889" s="55" t="n"/>
      <c r="W889" s="51" t="inlineStr"/>
      <c r="X889" s="51" t="inlineStr"/>
      <c r="Y889" s="51" t="n"/>
      <c r="AB889" s="57" t="n"/>
      <c r="AC889" s="90" t="n"/>
      <c r="AD889" s="90" t="n"/>
      <c r="AE889" s="88" t="n"/>
      <c r="AF889" s="91" t="n"/>
      <c r="AG889" s="91" t="n"/>
      <c r="AH889" s="88" t="n"/>
      <c r="AI889" s="88" t="n"/>
      <c r="AJ889" s="90" t="n"/>
      <c r="AK889" s="88" t="n"/>
      <c r="AL889" s="91" t="n"/>
      <c r="AM889" s="88" t="n"/>
      <c r="AN889" s="95" t="n"/>
      <c r="AO889" s="90" t="n"/>
      <c r="AP889" s="90" t="n"/>
    </row>
    <row r="890" ht="14.25" customHeight="1" s="84">
      <c r="A890" s="51" t="n"/>
      <c r="B890" s="47" t="n"/>
      <c r="C890" s="51" t="n"/>
      <c r="D890" s="51" t="n"/>
      <c r="E890" s="51" t="n"/>
      <c r="F890" s="51" t="n"/>
      <c r="G890" s="47" t="n"/>
      <c r="H890" s="51" t="n"/>
      <c r="I890" s="51" t="n"/>
      <c r="J890" s="51" t="n"/>
      <c r="K890" s="51" t="n"/>
      <c r="L890" s="51" t="n"/>
      <c r="N890" s="51" t="n"/>
      <c r="Q890" s="51" t="n"/>
      <c r="S890" s="51" t="n"/>
      <c r="T890" s="51" t="n"/>
      <c r="U890" s="51" t="inlineStr"/>
      <c r="V890" s="55" t="n"/>
      <c r="W890" s="51" t="inlineStr"/>
      <c r="X890" s="51" t="inlineStr"/>
      <c r="Y890" s="51" t="n"/>
      <c r="AB890" s="57" t="n"/>
      <c r="AC890" s="90" t="n"/>
      <c r="AD890" s="90" t="n"/>
      <c r="AE890" s="88" t="n"/>
      <c r="AF890" s="91" t="n"/>
      <c r="AG890" s="91" t="n"/>
      <c r="AH890" s="88" t="n"/>
      <c r="AI890" s="88" t="n"/>
      <c r="AJ890" s="90" t="n"/>
      <c r="AK890" s="88" t="n"/>
      <c r="AL890" s="91" t="n"/>
      <c r="AM890" s="88" t="n"/>
      <c r="AN890" s="95" t="n"/>
      <c r="AO890" s="90" t="n"/>
      <c r="AP890" s="90" t="n"/>
    </row>
    <row r="891" ht="14.25" customHeight="1" s="84">
      <c r="A891" s="51" t="n"/>
      <c r="B891" s="47" t="n"/>
      <c r="C891" s="51" t="n"/>
      <c r="D891" s="51" t="n"/>
      <c r="E891" s="51" t="n"/>
      <c r="F891" s="51" t="n"/>
      <c r="G891" s="47" t="n"/>
      <c r="H891" s="51" t="n"/>
      <c r="I891" s="51" t="n"/>
      <c r="J891" s="51" t="n"/>
      <c r="K891" s="51" t="n"/>
      <c r="L891" s="51" t="n"/>
      <c r="N891" s="51" t="n"/>
      <c r="Q891" s="51" t="n"/>
      <c r="S891" s="51" t="n"/>
      <c r="T891" s="51" t="n"/>
      <c r="U891" s="51" t="inlineStr"/>
      <c r="V891" s="55" t="n"/>
      <c r="W891" s="51" t="inlineStr"/>
      <c r="X891" s="51" t="inlineStr"/>
      <c r="Y891" s="51" t="n"/>
      <c r="AB891" s="57" t="n"/>
      <c r="AC891" s="90" t="n"/>
      <c r="AD891" s="90" t="n"/>
      <c r="AE891" s="88" t="n"/>
      <c r="AF891" s="91" t="n"/>
      <c r="AG891" s="91" t="n"/>
      <c r="AH891" s="88" t="n"/>
      <c r="AI891" s="88" t="n"/>
      <c r="AJ891" s="90" t="n"/>
      <c r="AK891" s="88" t="n"/>
      <c r="AL891" s="91" t="n"/>
      <c r="AM891" s="88" t="n"/>
      <c r="AN891" s="95" t="n"/>
      <c r="AO891" s="90" t="n"/>
      <c r="AP891" s="90" t="n"/>
    </row>
    <row r="892" ht="14.25" customHeight="1" s="84">
      <c r="A892" s="51" t="n"/>
      <c r="B892" s="47" t="n"/>
      <c r="C892" s="51" t="n"/>
      <c r="D892" s="51" t="n"/>
      <c r="E892" s="51" t="n"/>
      <c r="F892" s="51" t="n"/>
      <c r="G892" s="47" t="n"/>
      <c r="H892" s="51" t="n"/>
      <c r="I892" s="51" t="n"/>
      <c r="J892" s="51" t="n"/>
      <c r="K892" s="51" t="n"/>
      <c r="L892" s="51" t="n"/>
      <c r="N892" s="51" t="n"/>
      <c r="Q892" s="51" t="n"/>
      <c r="S892" s="51" t="n"/>
      <c r="T892" s="51" t="n"/>
      <c r="U892" s="51" t="inlineStr"/>
      <c r="V892" s="55" t="n"/>
      <c r="W892" s="51" t="inlineStr"/>
      <c r="X892" s="51" t="inlineStr"/>
      <c r="Y892" s="51" t="n"/>
      <c r="AB892" s="57" t="n"/>
      <c r="AC892" s="90" t="n"/>
      <c r="AD892" s="90" t="n"/>
      <c r="AE892" s="88" t="n"/>
      <c r="AF892" s="91" t="n"/>
      <c r="AG892" s="91" t="n"/>
      <c r="AH892" s="88" t="n"/>
      <c r="AI892" s="88" t="n"/>
      <c r="AJ892" s="90" t="n"/>
      <c r="AK892" s="88" t="n"/>
      <c r="AL892" s="91" t="n"/>
      <c r="AM892" s="88" t="n"/>
      <c r="AN892" s="95" t="n"/>
      <c r="AO892" s="90" t="n"/>
      <c r="AP892" s="90" t="n"/>
    </row>
    <row r="893" ht="14.25" customHeight="1" s="84">
      <c r="A893" s="51" t="n"/>
      <c r="B893" s="47" t="n"/>
      <c r="C893" s="51" t="n"/>
      <c r="D893" s="51" t="n"/>
      <c r="E893" s="51" t="n"/>
      <c r="F893" s="51" t="n"/>
      <c r="G893" s="47" t="n"/>
      <c r="H893" s="51" t="n"/>
      <c r="I893" s="51" t="n"/>
      <c r="J893" s="51" t="n"/>
      <c r="K893" s="51" t="n"/>
      <c r="L893" s="51" t="n"/>
      <c r="N893" s="51" t="n"/>
      <c r="Q893" s="51" t="n"/>
      <c r="S893" s="51" t="n"/>
      <c r="T893" s="51" t="n"/>
      <c r="U893" s="51" t="inlineStr"/>
      <c r="V893" s="55" t="n"/>
      <c r="W893" s="51" t="inlineStr"/>
      <c r="X893" s="51" t="inlineStr"/>
      <c r="Y893" s="51" t="n"/>
      <c r="AB893" s="57" t="n"/>
      <c r="AC893" s="90" t="n"/>
      <c r="AD893" s="90" t="n"/>
      <c r="AE893" s="88" t="n"/>
      <c r="AF893" s="91" t="n"/>
      <c r="AG893" s="91" t="n"/>
      <c r="AH893" s="88" t="n"/>
      <c r="AI893" s="88" t="n"/>
      <c r="AJ893" s="90" t="n"/>
      <c r="AK893" s="88" t="n"/>
      <c r="AL893" s="91" t="n"/>
      <c r="AM893" s="88" t="n"/>
      <c r="AN893" s="95" t="n"/>
      <c r="AO893" s="90" t="n"/>
      <c r="AP893" s="90" t="n"/>
    </row>
    <row r="894" ht="14.25" customHeight="1" s="84">
      <c r="A894" s="51" t="n"/>
      <c r="B894" s="47" t="n"/>
      <c r="C894" s="51" t="n"/>
      <c r="D894" s="51" t="n"/>
      <c r="E894" s="51" t="n"/>
      <c r="F894" s="51" t="n"/>
      <c r="G894" s="47" t="n"/>
      <c r="H894" s="51" t="n"/>
      <c r="I894" s="51" t="n"/>
      <c r="J894" s="51" t="n"/>
      <c r="K894" s="51" t="n"/>
      <c r="L894" s="51" t="n"/>
      <c r="N894" s="51" t="n"/>
      <c r="Q894" s="51" t="n"/>
      <c r="S894" s="51" t="n"/>
      <c r="T894" s="51" t="n"/>
      <c r="U894" s="51" t="inlineStr"/>
      <c r="V894" s="55" t="n"/>
      <c r="W894" s="51" t="inlineStr"/>
      <c r="X894" s="51" t="inlineStr"/>
      <c r="Y894" s="51" t="n"/>
      <c r="AB894" s="57" t="n"/>
      <c r="AC894" s="90" t="n"/>
      <c r="AD894" s="90" t="n"/>
      <c r="AE894" s="88" t="n"/>
      <c r="AF894" s="91" t="n"/>
      <c r="AG894" s="91" t="n"/>
      <c r="AH894" s="88" t="n"/>
      <c r="AI894" s="88" t="n"/>
      <c r="AJ894" s="90" t="n"/>
      <c r="AK894" s="88" t="n"/>
      <c r="AL894" s="91" t="n"/>
      <c r="AM894" s="88" t="n"/>
      <c r="AN894" s="95" t="n"/>
      <c r="AO894" s="90" t="n"/>
      <c r="AP894" s="90" t="n"/>
    </row>
    <row r="895" ht="14.25" customHeight="1" s="84">
      <c r="A895" s="51" t="n"/>
      <c r="B895" s="47" t="n"/>
      <c r="C895" s="51" t="n"/>
      <c r="D895" s="51" t="n"/>
      <c r="E895" s="51" t="n"/>
      <c r="F895" s="51" t="n"/>
      <c r="G895" s="47" t="n"/>
      <c r="H895" s="51" t="n"/>
      <c r="I895" s="51" t="n"/>
      <c r="J895" s="51" t="n"/>
      <c r="K895" s="51" t="n"/>
      <c r="L895" s="51" t="n"/>
      <c r="N895" s="51" t="n"/>
      <c r="Q895" s="51" t="n"/>
      <c r="S895" s="51" t="n"/>
      <c r="T895" s="51" t="n"/>
      <c r="U895" s="51" t="inlineStr"/>
      <c r="V895" s="55" t="n"/>
      <c r="W895" s="51" t="inlineStr"/>
      <c r="X895" s="51" t="inlineStr"/>
      <c r="Y895" s="51" t="n"/>
      <c r="AB895" s="57" t="n"/>
      <c r="AC895" s="90" t="n"/>
      <c r="AD895" s="90" t="n"/>
      <c r="AE895" s="88" t="n"/>
      <c r="AF895" s="91" t="n"/>
      <c r="AG895" s="91" t="n"/>
      <c r="AH895" s="88" t="n"/>
      <c r="AI895" s="88" t="n"/>
      <c r="AJ895" s="90" t="n"/>
      <c r="AK895" s="88" t="n"/>
      <c r="AL895" s="91" t="n"/>
      <c r="AM895" s="88" t="n"/>
      <c r="AN895" s="95" t="n"/>
      <c r="AO895" s="90" t="n"/>
      <c r="AP895" s="90" t="n"/>
    </row>
    <row r="896" ht="14.25" customHeight="1" s="84">
      <c r="A896" s="51" t="n"/>
      <c r="B896" s="47" t="n"/>
      <c r="C896" s="51" t="n"/>
      <c r="D896" s="51" t="n"/>
      <c r="E896" s="51" t="n"/>
      <c r="F896" s="51" t="n"/>
      <c r="G896" s="47" t="n"/>
      <c r="H896" s="51" t="n"/>
      <c r="I896" s="51" t="n"/>
      <c r="J896" s="51" t="n"/>
      <c r="K896" s="51" t="n"/>
      <c r="L896" s="51" t="n"/>
      <c r="N896" s="51" t="n"/>
      <c r="Q896" s="51" t="n"/>
      <c r="S896" s="51" t="n"/>
      <c r="T896" s="51" t="n"/>
      <c r="U896" s="51" t="inlineStr"/>
      <c r="V896" s="55" t="n"/>
      <c r="W896" s="51" t="inlineStr"/>
      <c r="X896" s="51" t="inlineStr"/>
      <c r="Y896" s="51" t="n"/>
      <c r="AB896" s="57" t="n"/>
      <c r="AC896" s="90" t="n"/>
      <c r="AD896" s="90" t="n"/>
      <c r="AE896" s="88" t="n"/>
      <c r="AF896" s="91" t="n"/>
      <c r="AG896" s="91" t="n"/>
      <c r="AH896" s="88" t="n"/>
      <c r="AI896" s="88" t="n"/>
      <c r="AJ896" s="90" t="n"/>
      <c r="AK896" s="88" t="n"/>
      <c r="AL896" s="91" t="n"/>
      <c r="AM896" s="88" t="n"/>
      <c r="AN896" s="95" t="n"/>
      <c r="AO896" s="90" t="n"/>
      <c r="AP896" s="90" t="n"/>
    </row>
    <row r="897" ht="14.25" customHeight="1" s="84">
      <c r="A897" s="51" t="n"/>
      <c r="B897" s="47" t="n"/>
      <c r="C897" s="51" t="n"/>
      <c r="D897" s="51" t="n"/>
      <c r="E897" s="51" t="n"/>
      <c r="F897" s="51" t="n"/>
      <c r="G897" s="47" t="n"/>
      <c r="H897" s="51" t="n"/>
      <c r="I897" s="51" t="n"/>
      <c r="J897" s="51" t="n"/>
      <c r="K897" s="51" t="n"/>
      <c r="L897" s="51" t="n"/>
      <c r="N897" s="51" t="n"/>
      <c r="Q897" s="51" t="n"/>
      <c r="S897" s="51" t="n"/>
      <c r="T897" s="51" t="n"/>
      <c r="U897" s="51" t="inlineStr"/>
      <c r="V897" s="55" t="n"/>
      <c r="W897" s="51" t="inlineStr"/>
      <c r="X897" s="51" t="inlineStr"/>
      <c r="Y897" s="51" t="n"/>
      <c r="AB897" s="57" t="n"/>
      <c r="AC897" s="90" t="n"/>
      <c r="AD897" s="90" t="n"/>
      <c r="AE897" s="88" t="n"/>
      <c r="AF897" s="91" t="n"/>
      <c r="AG897" s="91" t="n"/>
      <c r="AH897" s="88" t="n"/>
      <c r="AI897" s="88" t="n"/>
      <c r="AJ897" s="90" t="n"/>
      <c r="AK897" s="88" t="n"/>
      <c r="AL897" s="91" t="n"/>
      <c r="AM897" s="88" t="n"/>
      <c r="AN897" s="95" t="n"/>
      <c r="AO897" s="90" t="n"/>
      <c r="AP897" s="90" t="n"/>
    </row>
    <row r="898" ht="14.25" customHeight="1" s="84">
      <c r="A898" s="51" t="n"/>
      <c r="B898" s="47" t="n"/>
      <c r="C898" s="51" t="n"/>
      <c r="D898" s="51" t="n"/>
      <c r="E898" s="51" t="n"/>
      <c r="F898" s="51" t="n"/>
      <c r="G898" s="47" t="n"/>
      <c r="H898" s="51" t="n"/>
      <c r="I898" s="51" t="n"/>
      <c r="J898" s="51" t="n"/>
      <c r="K898" s="51" t="n"/>
      <c r="L898" s="51" t="n"/>
      <c r="N898" s="51" t="n"/>
      <c r="Q898" s="51" t="n"/>
      <c r="S898" s="51" t="n"/>
      <c r="T898" s="51" t="n"/>
      <c r="U898" s="51" t="inlineStr"/>
      <c r="V898" s="55" t="n"/>
      <c r="W898" s="51" t="inlineStr"/>
      <c r="X898" s="51" t="inlineStr"/>
      <c r="Y898" s="51" t="n"/>
      <c r="AB898" s="57" t="n"/>
      <c r="AC898" s="90" t="n"/>
      <c r="AD898" s="90" t="n"/>
      <c r="AE898" s="88" t="n"/>
      <c r="AF898" s="91" t="n"/>
      <c r="AG898" s="91" t="n"/>
      <c r="AH898" s="88" t="n"/>
      <c r="AI898" s="88" t="n"/>
      <c r="AJ898" s="90" t="n"/>
      <c r="AK898" s="88" t="n"/>
      <c r="AL898" s="91" t="n"/>
      <c r="AM898" s="88" t="n"/>
      <c r="AN898" s="95" t="n"/>
      <c r="AO898" s="90" t="n"/>
      <c r="AP898" s="90" t="n"/>
    </row>
    <row r="899" ht="14.25" customHeight="1" s="84">
      <c r="A899" s="51" t="n"/>
      <c r="B899" s="47" t="n"/>
      <c r="C899" s="51" t="n"/>
      <c r="D899" s="51" t="n"/>
      <c r="E899" s="51" t="n"/>
      <c r="F899" s="51" t="n"/>
      <c r="G899" s="47" t="n"/>
      <c r="H899" s="51" t="n"/>
      <c r="I899" s="51" t="n"/>
      <c r="J899" s="51" t="n"/>
      <c r="K899" s="51" t="n"/>
      <c r="L899" s="51" t="n"/>
      <c r="N899" s="51" t="n"/>
      <c r="Q899" s="51" t="n"/>
      <c r="S899" s="51" t="n"/>
      <c r="T899" s="51" t="n"/>
      <c r="U899" s="51" t="inlineStr"/>
      <c r="V899" s="55" t="n"/>
      <c r="W899" s="51" t="inlineStr"/>
      <c r="X899" s="51" t="inlineStr"/>
      <c r="Y899" s="51" t="n"/>
      <c r="AB899" s="57" t="n"/>
      <c r="AC899" s="90" t="n"/>
      <c r="AD899" s="90" t="n"/>
      <c r="AE899" s="88" t="n"/>
      <c r="AF899" s="91" t="n"/>
      <c r="AG899" s="91" t="n"/>
      <c r="AH899" s="88" t="n"/>
      <c r="AI899" s="88" t="n"/>
      <c r="AJ899" s="90" t="n"/>
      <c r="AK899" s="88" t="n"/>
      <c r="AL899" s="91" t="n"/>
      <c r="AM899" s="88" t="n"/>
      <c r="AN899" s="95" t="n"/>
      <c r="AO899" s="90" t="n"/>
      <c r="AP899" s="90" t="n"/>
    </row>
    <row r="900" ht="14.25" customHeight="1" s="84">
      <c r="A900" s="51" t="n"/>
      <c r="B900" s="47" t="n"/>
      <c r="C900" s="51" t="n"/>
      <c r="D900" s="51" t="n"/>
      <c r="E900" s="51" t="n"/>
      <c r="F900" s="51" t="n"/>
      <c r="G900" s="47" t="n"/>
      <c r="H900" s="51" t="n"/>
      <c r="I900" s="51" t="n"/>
      <c r="J900" s="51" t="n"/>
      <c r="K900" s="51" t="n"/>
      <c r="L900" s="51" t="n"/>
      <c r="N900" s="51" t="n"/>
      <c r="Q900" s="51" t="n"/>
      <c r="S900" s="51" t="n"/>
      <c r="T900" s="51" t="n"/>
      <c r="U900" s="51" t="inlineStr"/>
      <c r="V900" s="55" t="n"/>
      <c r="W900" s="51" t="inlineStr"/>
      <c r="X900" s="51" t="inlineStr"/>
      <c r="Y900" s="51" t="n"/>
      <c r="AB900" s="57" t="n"/>
      <c r="AC900" s="90" t="n"/>
      <c r="AD900" s="90" t="n"/>
      <c r="AE900" s="88" t="n"/>
      <c r="AF900" s="91" t="n"/>
      <c r="AG900" s="91" t="n"/>
      <c r="AH900" s="88" t="n"/>
      <c r="AI900" s="88" t="n"/>
      <c r="AJ900" s="90" t="n"/>
      <c r="AK900" s="88" t="n"/>
      <c r="AL900" s="91" t="n"/>
      <c r="AM900" s="88" t="n"/>
      <c r="AN900" s="95" t="n"/>
      <c r="AO900" s="90" t="n"/>
      <c r="AP900" s="90" t="n"/>
    </row>
    <row r="901" ht="14.25" customHeight="1" s="84">
      <c r="A901" s="51" t="n"/>
      <c r="B901" s="47" t="n"/>
      <c r="C901" s="51" t="n"/>
      <c r="D901" s="51" t="n"/>
      <c r="E901" s="51" t="n"/>
      <c r="F901" s="51" t="n"/>
      <c r="G901" s="47" t="n"/>
      <c r="H901" s="51" t="n"/>
      <c r="I901" s="51" t="n"/>
      <c r="J901" s="51" t="n"/>
      <c r="K901" s="51" t="n"/>
      <c r="L901" s="51" t="n"/>
      <c r="N901" s="51" t="n"/>
      <c r="Q901" s="51" t="n"/>
      <c r="S901" s="51" t="n"/>
      <c r="T901" s="51" t="n"/>
      <c r="U901" s="51" t="inlineStr"/>
      <c r="V901" s="55" t="n"/>
      <c r="W901" s="51" t="inlineStr"/>
      <c r="X901" s="51" t="inlineStr"/>
      <c r="Y901" s="51" t="n"/>
      <c r="AB901" s="57" t="n"/>
      <c r="AC901" s="90" t="n"/>
      <c r="AD901" s="90" t="n"/>
      <c r="AE901" s="88" t="n"/>
      <c r="AF901" s="91" t="n"/>
      <c r="AG901" s="91" t="n"/>
      <c r="AH901" s="88" t="n"/>
      <c r="AI901" s="88" t="n"/>
      <c r="AJ901" s="90" t="n"/>
      <c r="AK901" s="88" t="n"/>
      <c r="AL901" s="91" t="n"/>
      <c r="AM901" s="88" t="n"/>
      <c r="AN901" s="95" t="n"/>
      <c r="AO901" s="90" t="n"/>
      <c r="AP901" s="90" t="n"/>
    </row>
    <row r="902" ht="14.25" customHeight="1" s="84">
      <c r="A902" s="51" t="n"/>
      <c r="B902" s="47" t="n"/>
      <c r="C902" s="51" t="n"/>
      <c r="D902" s="51" t="n"/>
      <c r="E902" s="51" t="n"/>
      <c r="F902" s="51" t="n"/>
      <c r="G902" s="47" t="n"/>
      <c r="H902" s="51" t="n"/>
      <c r="I902" s="51" t="n"/>
      <c r="J902" s="51" t="n"/>
      <c r="K902" s="51" t="n"/>
      <c r="L902" s="51" t="n"/>
      <c r="N902" s="51" t="n"/>
      <c r="Q902" s="51" t="n"/>
      <c r="S902" s="51" t="n"/>
      <c r="T902" s="51" t="n"/>
      <c r="U902" s="51" t="inlineStr"/>
      <c r="V902" s="55" t="n"/>
      <c r="W902" s="51" t="inlineStr"/>
      <c r="X902" s="51" t="inlineStr"/>
      <c r="Y902" s="51" t="n"/>
      <c r="AB902" s="57" t="n"/>
      <c r="AC902" s="90" t="n"/>
      <c r="AD902" s="90" t="n"/>
      <c r="AE902" s="88" t="n"/>
      <c r="AF902" s="91" t="n"/>
      <c r="AG902" s="91" t="n"/>
      <c r="AH902" s="88" t="n"/>
      <c r="AI902" s="88" t="n"/>
      <c r="AJ902" s="90" t="n"/>
      <c r="AK902" s="88" t="n"/>
      <c r="AL902" s="91" t="n"/>
      <c r="AM902" s="88" t="n"/>
      <c r="AN902" s="95" t="n"/>
      <c r="AO902" s="90" t="n"/>
      <c r="AP902" s="90" t="n"/>
    </row>
    <row r="903" ht="14.25" customHeight="1" s="84">
      <c r="A903" s="51" t="n"/>
      <c r="B903" s="47" t="n"/>
      <c r="C903" s="51" t="n"/>
      <c r="D903" s="51" t="n"/>
      <c r="E903" s="51" t="n"/>
      <c r="F903" s="51" t="n"/>
      <c r="G903" s="47" t="n"/>
      <c r="H903" s="51" t="n"/>
      <c r="I903" s="51" t="n"/>
      <c r="J903" s="51" t="n"/>
      <c r="K903" s="51" t="n"/>
      <c r="L903" s="51" t="n"/>
      <c r="N903" s="51" t="n"/>
      <c r="Q903" s="51" t="n"/>
      <c r="S903" s="51" t="n"/>
      <c r="T903" s="51" t="n"/>
      <c r="U903" s="51" t="inlineStr"/>
      <c r="V903" s="55" t="n"/>
      <c r="W903" s="51" t="inlineStr"/>
      <c r="X903" s="51" t="inlineStr"/>
      <c r="Y903" s="51" t="n"/>
      <c r="AB903" s="57" t="n"/>
      <c r="AC903" s="90" t="n"/>
      <c r="AD903" s="90" t="n"/>
      <c r="AE903" s="88" t="n"/>
      <c r="AF903" s="91" t="n"/>
      <c r="AG903" s="91" t="n"/>
      <c r="AH903" s="88" t="n"/>
      <c r="AI903" s="88" t="n"/>
      <c r="AJ903" s="90" t="n"/>
      <c r="AK903" s="88" t="n"/>
      <c r="AL903" s="91" t="n"/>
      <c r="AM903" s="88" t="n"/>
      <c r="AN903" s="95" t="n"/>
      <c r="AO903" s="90" t="n"/>
      <c r="AP903" s="90" t="n"/>
    </row>
    <row r="904" ht="14.25" customHeight="1" s="84">
      <c r="A904" s="51" t="n"/>
      <c r="B904" s="47" t="n"/>
      <c r="C904" s="51" t="n"/>
      <c r="D904" s="51" t="n"/>
      <c r="E904" s="51" t="n"/>
      <c r="F904" s="51" t="n"/>
      <c r="G904" s="47" t="n"/>
      <c r="H904" s="51" t="n"/>
      <c r="I904" s="51" t="n"/>
      <c r="J904" s="51" t="n"/>
      <c r="K904" s="51" t="n"/>
      <c r="L904" s="51" t="n"/>
      <c r="N904" s="51" t="n"/>
      <c r="Q904" s="51" t="n"/>
      <c r="S904" s="51" t="n"/>
      <c r="T904" s="51" t="n"/>
      <c r="U904" s="51" t="inlineStr"/>
      <c r="V904" s="55" t="n"/>
      <c r="W904" s="51" t="inlineStr"/>
      <c r="X904" s="51" t="inlineStr"/>
      <c r="Y904" s="51" t="n"/>
      <c r="AB904" s="57" t="n"/>
      <c r="AC904" s="90" t="n"/>
      <c r="AD904" s="90" t="n"/>
      <c r="AE904" s="88" t="n"/>
      <c r="AF904" s="91" t="n"/>
      <c r="AG904" s="91" t="n"/>
      <c r="AH904" s="88" t="n"/>
      <c r="AI904" s="88" t="n"/>
      <c r="AJ904" s="90" t="n"/>
      <c r="AK904" s="88" t="n"/>
      <c r="AL904" s="91" t="n"/>
      <c r="AM904" s="88" t="n"/>
      <c r="AN904" s="95" t="n"/>
      <c r="AO904" s="90" t="n"/>
      <c r="AP904" s="90" t="n"/>
    </row>
    <row r="905" ht="14.25" customHeight="1" s="84">
      <c r="A905" s="51" t="n"/>
      <c r="B905" s="47" t="n"/>
      <c r="C905" s="51" t="n"/>
      <c r="D905" s="51" t="n"/>
      <c r="E905" s="51" t="n"/>
      <c r="F905" s="51" t="n"/>
      <c r="G905" s="47" t="n"/>
      <c r="H905" s="51" t="n"/>
      <c r="I905" s="51" t="n"/>
      <c r="J905" s="51" t="n"/>
      <c r="K905" s="51" t="n"/>
      <c r="L905" s="51" t="n"/>
      <c r="N905" s="51" t="n"/>
      <c r="Q905" s="51" t="n"/>
      <c r="S905" s="51" t="n"/>
      <c r="T905" s="51" t="n"/>
      <c r="U905" s="51" t="inlineStr"/>
      <c r="V905" s="55" t="n"/>
      <c r="W905" s="51" t="inlineStr"/>
      <c r="X905" s="51" t="inlineStr"/>
      <c r="Y905" s="51" t="n"/>
      <c r="AB905" s="57" t="n"/>
      <c r="AC905" s="90" t="n"/>
      <c r="AD905" s="90" t="n"/>
      <c r="AE905" s="88" t="n"/>
      <c r="AF905" s="91" t="n"/>
      <c r="AG905" s="91" t="n"/>
      <c r="AH905" s="88" t="n"/>
      <c r="AI905" s="88" t="n"/>
      <c r="AJ905" s="90" t="n"/>
      <c r="AK905" s="88" t="n"/>
      <c r="AL905" s="91" t="n"/>
      <c r="AM905" s="88" t="n"/>
      <c r="AN905" s="95" t="n"/>
      <c r="AO905" s="90" t="n"/>
      <c r="AP905" s="90" t="n"/>
    </row>
    <row r="906" ht="14.25" customHeight="1" s="84">
      <c r="A906" s="51" t="n"/>
      <c r="B906" s="47" t="n"/>
      <c r="C906" s="51" t="n"/>
      <c r="D906" s="51" t="n"/>
      <c r="E906" s="51" t="n"/>
      <c r="F906" s="51" t="n"/>
      <c r="G906" s="47" t="n"/>
      <c r="H906" s="51" t="n"/>
      <c r="I906" s="51" t="n"/>
      <c r="J906" s="51" t="n"/>
      <c r="K906" s="51" t="n"/>
      <c r="L906" s="51" t="n"/>
      <c r="N906" s="51" t="n"/>
      <c r="Q906" s="51" t="n"/>
      <c r="S906" s="51" t="n"/>
      <c r="T906" s="51" t="n"/>
      <c r="U906" s="51" t="inlineStr"/>
      <c r="V906" s="55" t="n"/>
      <c r="W906" s="51" t="inlineStr"/>
      <c r="X906" s="51" t="inlineStr"/>
      <c r="Y906" s="51" t="n"/>
      <c r="AB906" s="57" t="n"/>
      <c r="AC906" s="90" t="n"/>
      <c r="AD906" s="90" t="n"/>
      <c r="AE906" s="88" t="n"/>
      <c r="AF906" s="91" t="n"/>
      <c r="AG906" s="91" t="n"/>
      <c r="AH906" s="88" t="n"/>
      <c r="AI906" s="88" t="n"/>
      <c r="AJ906" s="90" t="n"/>
      <c r="AK906" s="88" t="n"/>
      <c r="AL906" s="91" t="n"/>
      <c r="AM906" s="88" t="n"/>
      <c r="AN906" s="95" t="n"/>
      <c r="AO906" s="90" t="n"/>
      <c r="AP906" s="90" t="n"/>
    </row>
    <row r="907" ht="14.25" customHeight="1" s="84">
      <c r="A907" s="51" t="n"/>
      <c r="B907" s="47" t="n"/>
      <c r="C907" s="51" t="n"/>
      <c r="D907" s="51" t="n"/>
      <c r="E907" s="51" t="n"/>
      <c r="F907" s="51" t="n"/>
      <c r="G907" s="47" t="n"/>
      <c r="H907" s="51" t="n"/>
      <c r="I907" s="51" t="n"/>
      <c r="J907" s="51" t="n"/>
      <c r="K907" s="51" t="n"/>
      <c r="L907" s="51" t="n"/>
      <c r="N907" s="51" t="n"/>
      <c r="Q907" s="51" t="n"/>
      <c r="S907" s="51" t="n"/>
      <c r="T907" s="51" t="n"/>
      <c r="U907" s="51" t="inlineStr"/>
      <c r="V907" s="55" t="n"/>
      <c r="W907" s="51" t="inlineStr"/>
      <c r="X907" s="51" t="inlineStr"/>
      <c r="Y907" s="51" t="n"/>
      <c r="AB907" s="57" t="n"/>
      <c r="AC907" s="90" t="n"/>
      <c r="AD907" s="90" t="n"/>
      <c r="AE907" s="88" t="n"/>
      <c r="AF907" s="91" t="n"/>
      <c r="AG907" s="91" t="n"/>
      <c r="AH907" s="88" t="n"/>
      <c r="AI907" s="88" t="n"/>
      <c r="AJ907" s="90" t="n"/>
      <c r="AK907" s="88" t="n"/>
      <c r="AL907" s="91" t="n"/>
      <c r="AM907" s="88" t="n"/>
      <c r="AN907" s="95" t="n"/>
      <c r="AO907" s="90" t="n"/>
      <c r="AP907" s="90" t="n"/>
    </row>
    <row r="908" ht="14.25" customHeight="1" s="84">
      <c r="A908" s="51" t="n"/>
      <c r="B908" s="47" t="n"/>
      <c r="C908" s="51" t="n"/>
      <c r="D908" s="51" t="n"/>
      <c r="E908" s="51" t="n"/>
      <c r="F908" s="51" t="n"/>
      <c r="G908" s="47" t="n"/>
      <c r="H908" s="51" t="n"/>
      <c r="I908" s="51" t="n"/>
      <c r="J908" s="51" t="n"/>
      <c r="K908" s="51" t="n"/>
      <c r="L908" s="51" t="n"/>
      <c r="N908" s="51" t="n"/>
      <c r="Q908" s="51" t="n"/>
      <c r="S908" s="51" t="n"/>
      <c r="T908" s="51" t="n"/>
      <c r="U908" s="51" t="inlineStr"/>
      <c r="V908" s="55" t="n"/>
      <c r="W908" s="51" t="inlineStr"/>
      <c r="X908" s="51" t="inlineStr"/>
      <c r="Y908" s="51" t="n"/>
      <c r="AB908" s="57" t="n"/>
      <c r="AC908" s="90" t="n"/>
      <c r="AD908" s="90" t="n"/>
      <c r="AE908" s="88" t="n"/>
      <c r="AF908" s="91" t="n"/>
      <c r="AG908" s="91" t="n"/>
      <c r="AH908" s="88" t="n"/>
      <c r="AI908" s="88" t="n"/>
      <c r="AJ908" s="90" t="n"/>
      <c r="AK908" s="88" t="n"/>
      <c r="AL908" s="91" t="n"/>
      <c r="AM908" s="88" t="n"/>
      <c r="AN908" s="95" t="n"/>
      <c r="AO908" s="90" t="n"/>
      <c r="AP908" s="90" t="n"/>
    </row>
    <row r="909" ht="14.25" customHeight="1" s="84">
      <c r="A909" s="51" t="n"/>
      <c r="B909" s="47" t="n"/>
      <c r="C909" s="51" t="n"/>
      <c r="D909" s="51" t="n"/>
      <c r="E909" s="51" t="n"/>
      <c r="F909" s="51" t="n"/>
      <c r="G909" s="47" t="n"/>
      <c r="H909" s="51" t="n"/>
      <c r="I909" s="51" t="n"/>
      <c r="J909" s="51" t="n"/>
      <c r="K909" s="51" t="n"/>
      <c r="L909" s="51" t="n"/>
      <c r="N909" s="51" t="n"/>
      <c r="Q909" s="51" t="n"/>
      <c r="S909" s="51" t="n"/>
      <c r="T909" s="51" t="n"/>
      <c r="U909" s="51" t="inlineStr"/>
      <c r="V909" s="55" t="n"/>
      <c r="W909" s="51" t="inlineStr"/>
      <c r="X909" s="51" t="inlineStr"/>
      <c r="Y909" s="51" t="n"/>
      <c r="AB909" s="57" t="n"/>
      <c r="AC909" s="90" t="n"/>
      <c r="AD909" s="90" t="n"/>
      <c r="AE909" s="88" t="n"/>
      <c r="AF909" s="91" t="n"/>
      <c r="AG909" s="91" t="n"/>
      <c r="AH909" s="88" t="n"/>
      <c r="AI909" s="88" t="n"/>
      <c r="AJ909" s="90" t="n"/>
      <c r="AK909" s="88" t="n"/>
      <c r="AL909" s="91" t="n"/>
      <c r="AM909" s="88" t="n"/>
      <c r="AN909" s="95" t="n"/>
      <c r="AO909" s="90" t="n"/>
      <c r="AP909" s="90" t="n"/>
    </row>
    <row r="910" ht="14.25" customHeight="1" s="84">
      <c r="A910" s="51" t="n"/>
      <c r="B910" s="47" t="n"/>
      <c r="C910" s="51" t="n"/>
      <c r="D910" s="51" t="n"/>
      <c r="E910" s="51" t="n"/>
      <c r="F910" s="51" t="n"/>
      <c r="G910" s="47" t="n"/>
      <c r="H910" s="51" t="n"/>
      <c r="I910" s="51" t="n"/>
      <c r="J910" s="51" t="n"/>
      <c r="K910" s="51" t="n"/>
      <c r="L910" s="51" t="n"/>
      <c r="N910" s="51" t="n"/>
      <c r="Q910" s="51" t="n"/>
      <c r="S910" s="51" t="n"/>
      <c r="T910" s="51" t="n"/>
      <c r="U910" s="51" t="inlineStr"/>
      <c r="V910" s="55" t="n"/>
      <c r="W910" s="51" t="inlineStr"/>
      <c r="X910" s="51" t="inlineStr"/>
      <c r="Y910" s="51" t="n"/>
      <c r="AB910" s="57" t="n"/>
      <c r="AC910" s="90" t="n"/>
      <c r="AD910" s="90" t="n"/>
      <c r="AE910" s="88" t="n"/>
      <c r="AF910" s="91" t="n"/>
      <c r="AG910" s="91" t="n"/>
      <c r="AH910" s="88" t="n"/>
      <c r="AI910" s="88" t="n"/>
      <c r="AJ910" s="90" t="n"/>
      <c r="AK910" s="88" t="n"/>
      <c r="AL910" s="91" t="n"/>
      <c r="AM910" s="88" t="n"/>
      <c r="AN910" s="95" t="n"/>
      <c r="AO910" s="90" t="n"/>
      <c r="AP910" s="90" t="n"/>
    </row>
    <row r="911" ht="14.25" customHeight="1" s="84">
      <c r="A911" s="51" t="n"/>
      <c r="B911" s="47" t="n"/>
      <c r="C911" s="51" t="n"/>
      <c r="D911" s="51" t="n"/>
      <c r="E911" s="51" t="n"/>
      <c r="F911" s="51" t="n"/>
      <c r="G911" s="47" t="n"/>
      <c r="H911" s="51" t="n"/>
      <c r="I911" s="51" t="n"/>
      <c r="J911" s="51" t="n"/>
      <c r="K911" s="51" t="n"/>
      <c r="L911" s="51" t="n"/>
      <c r="N911" s="51" t="n"/>
      <c r="Q911" s="51" t="n"/>
      <c r="S911" s="51" t="n"/>
      <c r="T911" s="51" t="n"/>
      <c r="U911" s="51" t="inlineStr"/>
      <c r="V911" s="55" t="n"/>
      <c r="W911" s="51" t="inlineStr"/>
      <c r="X911" s="51" t="inlineStr"/>
      <c r="Y911" s="51" t="n"/>
      <c r="AB911" s="57" t="n"/>
      <c r="AC911" s="90" t="n"/>
      <c r="AD911" s="90" t="n"/>
      <c r="AE911" s="88" t="n"/>
      <c r="AF911" s="91" t="n"/>
      <c r="AG911" s="91" t="n"/>
      <c r="AH911" s="88" t="n"/>
      <c r="AI911" s="88" t="n"/>
      <c r="AJ911" s="90" t="n"/>
      <c r="AK911" s="88" t="n"/>
      <c r="AL911" s="91" t="n"/>
      <c r="AM911" s="88" t="n"/>
      <c r="AN911" s="95" t="n"/>
      <c r="AO911" s="90" t="n"/>
      <c r="AP911" s="90" t="n"/>
    </row>
    <row r="912" ht="14.25" customHeight="1" s="84">
      <c r="A912" s="51" t="n"/>
      <c r="B912" s="47" t="n"/>
      <c r="C912" s="51" t="n"/>
      <c r="D912" s="51" t="n"/>
      <c r="E912" s="51" t="n"/>
      <c r="F912" s="51" t="n"/>
      <c r="G912" s="47" t="n"/>
      <c r="H912" s="51" t="n"/>
      <c r="I912" s="51" t="n"/>
      <c r="J912" s="51" t="n"/>
      <c r="K912" s="51" t="n"/>
      <c r="L912" s="51" t="n"/>
      <c r="N912" s="51" t="n"/>
      <c r="Q912" s="51" t="n"/>
      <c r="S912" s="51" t="n"/>
      <c r="T912" s="51" t="n"/>
      <c r="U912" s="51" t="inlineStr"/>
      <c r="V912" s="55" t="n"/>
      <c r="W912" s="51" t="inlineStr"/>
      <c r="X912" s="51" t="inlineStr"/>
      <c r="Y912" s="51" t="n"/>
      <c r="AB912" s="57" t="n"/>
      <c r="AC912" s="90" t="n"/>
      <c r="AD912" s="90" t="n"/>
      <c r="AE912" s="88" t="n"/>
      <c r="AF912" s="91" t="n"/>
      <c r="AG912" s="91" t="n"/>
      <c r="AH912" s="88" t="n"/>
      <c r="AI912" s="88" t="n"/>
      <c r="AJ912" s="90" t="n"/>
      <c r="AK912" s="88" t="n"/>
      <c r="AL912" s="91" t="n"/>
      <c r="AM912" s="88" t="n"/>
      <c r="AN912" s="95" t="n"/>
      <c r="AO912" s="90" t="n"/>
      <c r="AP912" s="90" t="n"/>
    </row>
    <row r="913" ht="14.25" customHeight="1" s="84">
      <c r="A913" s="51" t="n"/>
      <c r="B913" s="47" t="n"/>
      <c r="C913" s="51" t="n"/>
      <c r="D913" s="51" t="n"/>
      <c r="E913" s="51" t="n"/>
      <c r="F913" s="51" t="n"/>
      <c r="G913" s="47" t="n"/>
      <c r="H913" s="51" t="n"/>
      <c r="I913" s="51" t="n"/>
      <c r="J913" s="51" t="n"/>
      <c r="K913" s="51" t="n"/>
      <c r="L913" s="51" t="n"/>
      <c r="N913" s="51" t="n"/>
      <c r="Q913" s="51" t="n"/>
      <c r="S913" s="51" t="n"/>
      <c r="T913" s="51" t="n"/>
      <c r="U913" s="51" t="inlineStr"/>
      <c r="V913" s="55" t="n"/>
      <c r="W913" s="51" t="inlineStr"/>
      <c r="X913" s="51" t="inlineStr"/>
      <c r="Y913" s="51" t="n"/>
      <c r="AB913" s="57" t="n"/>
      <c r="AC913" s="90" t="n"/>
      <c r="AD913" s="90" t="n"/>
      <c r="AE913" s="88" t="n"/>
      <c r="AF913" s="91" t="n"/>
      <c r="AG913" s="91" t="n"/>
      <c r="AH913" s="88" t="n"/>
      <c r="AI913" s="88" t="n"/>
      <c r="AJ913" s="90" t="n"/>
      <c r="AK913" s="88" t="n"/>
      <c r="AL913" s="91" t="n"/>
      <c r="AM913" s="88" t="n"/>
      <c r="AN913" s="95" t="n"/>
      <c r="AO913" s="90" t="n"/>
      <c r="AP913" s="90" t="n"/>
    </row>
    <row r="914" ht="14.25" customHeight="1" s="84">
      <c r="A914" s="51" t="n"/>
      <c r="B914" s="47" t="n"/>
      <c r="C914" s="51" t="n"/>
      <c r="D914" s="51" t="n"/>
      <c r="E914" s="51" t="n"/>
      <c r="F914" s="51" t="n"/>
      <c r="G914" s="47" t="n"/>
      <c r="H914" s="51" t="n"/>
      <c r="I914" s="51" t="n"/>
      <c r="J914" s="51" t="n"/>
      <c r="K914" s="51" t="n"/>
      <c r="L914" s="51" t="n"/>
      <c r="N914" s="51" t="n"/>
      <c r="Q914" s="51" t="n"/>
      <c r="S914" s="51" t="n"/>
      <c r="T914" s="51" t="n"/>
      <c r="U914" s="51" t="inlineStr"/>
      <c r="V914" s="55" t="n"/>
      <c r="W914" s="51" t="inlineStr"/>
      <c r="X914" s="51" t="inlineStr"/>
      <c r="Y914" s="51" t="n"/>
      <c r="AB914" s="57" t="n"/>
      <c r="AC914" s="90" t="n"/>
      <c r="AD914" s="90" t="n"/>
      <c r="AE914" s="88" t="n"/>
      <c r="AF914" s="91" t="n"/>
      <c r="AG914" s="91" t="n"/>
      <c r="AH914" s="88" t="n"/>
      <c r="AI914" s="88" t="n"/>
      <c r="AJ914" s="90" t="n"/>
      <c r="AK914" s="88" t="n"/>
      <c r="AL914" s="91" t="n"/>
      <c r="AM914" s="88" t="n"/>
      <c r="AN914" s="95" t="n"/>
      <c r="AO914" s="90" t="n"/>
      <c r="AP914" s="90" t="n"/>
    </row>
    <row r="915" ht="14.25" customHeight="1" s="84">
      <c r="A915" s="51" t="n"/>
      <c r="B915" s="47" t="n"/>
      <c r="C915" s="51" t="n"/>
      <c r="D915" s="51" t="n"/>
      <c r="E915" s="51" t="n"/>
      <c r="F915" s="51" t="n"/>
      <c r="G915" s="47" t="n"/>
      <c r="H915" s="51" t="n"/>
      <c r="I915" s="51" t="n"/>
      <c r="J915" s="51" t="n"/>
      <c r="K915" s="51" t="n"/>
      <c r="L915" s="51" t="n"/>
      <c r="N915" s="51" t="n"/>
      <c r="Q915" s="51" t="n"/>
      <c r="S915" s="51" t="n"/>
      <c r="T915" s="51" t="n"/>
      <c r="U915" s="51" t="inlineStr"/>
      <c r="V915" s="55" t="n"/>
      <c r="W915" s="51" t="inlineStr"/>
      <c r="X915" s="51" t="inlineStr"/>
      <c r="Y915" s="51" t="n"/>
      <c r="AB915" s="57" t="n"/>
      <c r="AC915" s="90" t="n"/>
      <c r="AD915" s="90" t="n"/>
      <c r="AE915" s="88" t="n"/>
      <c r="AF915" s="91" t="n"/>
      <c r="AG915" s="91" t="n"/>
      <c r="AH915" s="88" t="n"/>
      <c r="AI915" s="88" t="n"/>
      <c r="AJ915" s="90" t="n"/>
      <c r="AK915" s="88" t="n"/>
      <c r="AL915" s="91" t="n"/>
      <c r="AM915" s="88" t="n"/>
      <c r="AN915" s="95" t="n"/>
      <c r="AO915" s="90" t="n"/>
      <c r="AP915" s="90" t="n"/>
    </row>
    <row r="916" ht="14.25" customHeight="1" s="84">
      <c r="A916" s="51" t="n"/>
      <c r="B916" s="47" t="n"/>
      <c r="C916" s="51" t="n"/>
      <c r="D916" s="51" t="n"/>
      <c r="E916" s="51" t="n"/>
      <c r="F916" s="51" t="n"/>
      <c r="G916" s="47" t="n"/>
      <c r="H916" s="51" t="n"/>
      <c r="I916" s="51" t="n"/>
      <c r="J916" s="51" t="n"/>
      <c r="K916" s="51" t="n"/>
      <c r="L916" s="51" t="n"/>
      <c r="N916" s="51" t="n"/>
      <c r="Q916" s="51" t="n"/>
      <c r="S916" s="51" t="n"/>
      <c r="T916" s="51" t="n"/>
      <c r="U916" s="51" t="inlineStr"/>
      <c r="V916" s="55" t="n"/>
      <c r="W916" s="51" t="inlineStr"/>
      <c r="X916" s="51" t="inlineStr"/>
      <c r="Y916" s="51" t="n"/>
      <c r="AB916" s="57" t="n"/>
      <c r="AC916" s="90" t="n"/>
      <c r="AD916" s="90" t="n"/>
      <c r="AE916" s="88" t="n"/>
      <c r="AF916" s="91" t="n"/>
      <c r="AG916" s="91" t="n"/>
      <c r="AH916" s="88" t="n"/>
      <c r="AI916" s="88" t="n"/>
      <c r="AJ916" s="90" t="n"/>
      <c r="AK916" s="88" t="n"/>
      <c r="AL916" s="91" t="n"/>
      <c r="AM916" s="88" t="n"/>
      <c r="AN916" s="95" t="n"/>
      <c r="AO916" s="90" t="n"/>
      <c r="AP916" s="90" t="n"/>
    </row>
    <row r="917" ht="14.25" customHeight="1" s="84">
      <c r="A917" s="51" t="n"/>
      <c r="B917" s="47" t="n"/>
      <c r="C917" s="51" t="n"/>
      <c r="D917" s="51" t="n"/>
      <c r="E917" s="51" t="n"/>
      <c r="F917" s="51" t="n"/>
      <c r="G917" s="47" t="n"/>
      <c r="H917" s="51" t="n"/>
      <c r="I917" s="51" t="n"/>
      <c r="J917" s="51" t="n"/>
      <c r="K917" s="51" t="n"/>
      <c r="L917" s="51" t="n"/>
      <c r="N917" s="51" t="n"/>
      <c r="Q917" s="51" t="n"/>
      <c r="S917" s="51" t="n"/>
      <c r="T917" s="51" t="n"/>
      <c r="U917" s="51" t="inlineStr"/>
      <c r="V917" s="55" t="n"/>
      <c r="W917" s="51" t="inlineStr"/>
      <c r="X917" s="51" t="inlineStr"/>
      <c r="Y917" s="51" t="n"/>
      <c r="AB917" s="57" t="n"/>
      <c r="AC917" s="90" t="n"/>
      <c r="AD917" s="90" t="n"/>
      <c r="AE917" s="88" t="n"/>
      <c r="AF917" s="91" t="n"/>
      <c r="AG917" s="91" t="n"/>
      <c r="AH917" s="88" t="n"/>
      <c r="AI917" s="88" t="n"/>
      <c r="AJ917" s="90" t="n"/>
      <c r="AK917" s="88" t="n"/>
      <c r="AL917" s="91" t="n"/>
      <c r="AM917" s="88" t="n"/>
      <c r="AN917" s="95" t="n"/>
      <c r="AO917" s="90" t="n"/>
      <c r="AP917" s="90" t="n"/>
    </row>
    <row r="918" ht="14.25" customHeight="1" s="84">
      <c r="A918" s="51" t="n"/>
      <c r="B918" s="47" t="n"/>
      <c r="C918" s="51" t="n"/>
      <c r="D918" s="51" t="n"/>
      <c r="E918" s="51" t="n"/>
      <c r="F918" s="51" t="n"/>
      <c r="G918" s="47" t="n"/>
      <c r="H918" s="51" t="n"/>
      <c r="I918" s="51" t="n"/>
      <c r="J918" s="51" t="n"/>
      <c r="K918" s="51" t="n"/>
      <c r="L918" s="51" t="n"/>
      <c r="N918" s="51" t="n"/>
      <c r="Q918" s="51" t="n"/>
      <c r="S918" s="51" t="n"/>
      <c r="T918" s="51" t="n"/>
      <c r="U918" s="51" t="inlineStr"/>
      <c r="V918" s="55" t="n"/>
      <c r="W918" s="51" t="inlineStr"/>
      <c r="X918" s="51" t="inlineStr"/>
      <c r="Y918" s="51" t="n"/>
      <c r="AB918" s="57" t="n"/>
      <c r="AC918" s="90" t="n"/>
      <c r="AD918" s="90" t="n"/>
      <c r="AE918" s="88" t="n"/>
      <c r="AF918" s="91" t="n"/>
      <c r="AG918" s="91" t="n"/>
      <c r="AH918" s="88" t="n"/>
      <c r="AI918" s="88" t="n"/>
      <c r="AJ918" s="90" t="n"/>
      <c r="AK918" s="88" t="n"/>
      <c r="AL918" s="91" t="n"/>
      <c r="AM918" s="88" t="n"/>
      <c r="AN918" s="95" t="n"/>
      <c r="AO918" s="90" t="n"/>
      <c r="AP918" s="90" t="n"/>
    </row>
    <row r="919" ht="14.25" customHeight="1" s="84">
      <c r="A919" s="51" t="n"/>
      <c r="B919" s="47" t="n"/>
      <c r="C919" s="51" t="n"/>
      <c r="D919" s="51" t="n"/>
      <c r="E919" s="51" t="n"/>
      <c r="F919" s="51" t="n"/>
      <c r="G919" s="47" t="n"/>
      <c r="H919" s="51" t="n"/>
      <c r="I919" s="51" t="n"/>
      <c r="J919" s="51" t="n"/>
      <c r="K919" s="51" t="n"/>
      <c r="L919" s="51" t="n"/>
      <c r="N919" s="51" t="n"/>
      <c r="Q919" s="51" t="n"/>
      <c r="S919" s="51" t="n"/>
      <c r="T919" s="51" t="n"/>
      <c r="U919" s="51" t="inlineStr"/>
      <c r="V919" s="55" t="n"/>
      <c r="W919" s="51" t="inlineStr"/>
      <c r="X919" s="51" t="inlineStr"/>
      <c r="Y919" s="51" t="n"/>
      <c r="AB919" s="57" t="n"/>
      <c r="AC919" s="90" t="n"/>
      <c r="AD919" s="90" t="n"/>
      <c r="AE919" s="88" t="n"/>
      <c r="AF919" s="91" t="n"/>
      <c r="AG919" s="91" t="n"/>
      <c r="AH919" s="88" t="n"/>
      <c r="AI919" s="88" t="n"/>
      <c r="AJ919" s="90" t="n"/>
      <c r="AK919" s="88" t="n"/>
      <c r="AL919" s="91" t="n"/>
      <c r="AM919" s="88" t="n"/>
      <c r="AN919" s="95" t="n"/>
      <c r="AO919" s="90" t="n"/>
      <c r="AP919" s="90" t="n"/>
    </row>
    <row r="920" ht="14.25" customHeight="1" s="84">
      <c r="A920" s="51" t="n"/>
      <c r="B920" s="47" t="n"/>
      <c r="C920" s="51" t="n"/>
      <c r="D920" s="51" t="n"/>
      <c r="E920" s="51" t="n"/>
      <c r="F920" s="51" t="n"/>
      <c r="G920" s="47" t="n"/>
      <c r="H920" s="51" t="n"/>
      <c r="I920" s="51" t="n"/>
      <c r="J920" s="51" t="n"/>
      <c r="K920" s="51" t="n"/>
      <c r="L920" s="51" t="n"/>
      <c r="N920" s="51" t="n"/>
      <c r="Q920" s="51" t="n"/>
      <c r="S920" s="51" t="n"/>
      <c r="T920" s="51" t="n"/>
      <c r="U920" s="51" t="inlineStr"/>
      <c r="V920" s="55" t="n"/>
      <c r="W920" s="51" t="inlineStr"/>
      <c r="X920" s="51" t="inlineStr"/>
      <c r="Y920" s="51" t="n"/>
      <c r="AB920" s="57" t="n"/>
      <c r="AC920" s="90" t="n"/>
      <c r="AD920" s="90" t="n"/>
      <c r="AE920" s="88" t="n"/>
      <c r="AF920" s="91" t="n"/>
      <c r="AG920" s="91" t="n"/>
      <c r="AH920" s="88" t="n"/>
      <c r="AI920" s="88" t="n"/>
      <c r="AJ920" s="90" t="n"/>
      <c r="AK920" s="88" t="n"/>
      <c r="AL920" s="91" t="n"/>
      <c r="AM920" s="88" t="n"/>
      <c r="AN920" s="95" t="n"/>
      <c r="AO920" s="90" t="n"/>
      <c r="AP920" s="90" t="n"/>
    </row>
    <row r="921" ht="14.25" customHeight="1" s="84">
      <c r="A921" s="51" t="n"/>
      <c r="B921" s="47" t="n"/>
      <c r="C921" s="51" t="n"/>
      <c r="D921" s="51" t="n"/>
      <c r="E921" s="51" t="n"/>
      <c r="F921" s="51" t="n"/>
      <c r="G921" s="47" t="n"/>
      <c r="H921" s="51" t="n"/>
      <c r="I921" s="51" t="n"/>
      <c r="J921" s="51" t="n"/>
      <c r="K921" s="51" t="n"/>
      <c r="L921" s="51" t="n"/>
      <c r="N921" s="51" t="n"/>
      <c r="Q921" s="51" t="n"/>
      <c r="S921" s="51" t="n"/>
      <c r="T921" s="51" t="n"/>
      <c r="U921" s="51" t="inlineStr"/>
      <c r="V921" s="55" t="n"/>
      <c r="W921" s="51" t="inlineStr"/>
      <c r="X921" s="51" t="inlineStr"/>
      <c r="Y921" s="51" t="n"/>
      <c r="AB921" s="57" t="n"/>
      <c r="AC921" s="90" t="n"/>
      <c r="AD921" s="90" t="n"/>
      <c r="AE921" s="88" t="n"/>
      <c r="AF921" s="91" t="n"/>
      <c r="AG921" s="91" t="n"/>
      <c r="AH921" s="88" t="n"/>
      <c r="AI921" s="88" t="n"/>
      <c r="AJ921" s="90" t="n"/>
      <c r="AK921" s="88" t="n"/>
      <c r="AL921" s="91" t="n"/>
      <c r="AM921" s="88" t="n"/>
      <c r="AN921" s="95" t="n"/>
      <c r="AO921" s="90" t="n"/>
      <c r="AP921" s="90" t="n"/>
    </row>
    <row r="922" ht="14.25" customHeight="1" s="84">
      <c r="A922" s="51" t="n"/>
      <c r="B922" s="47" t="n"/>
      <c r="C922" s="51" t="n"/>
      <c r="D922" s="51" t="n"/>
      <c r="E922" s="51" t="n"/>
      <c r="F922" s="51" t="n"/>
      <c r="G922" s="47" t="n"/>
      <c r="H922" s="51" t="n"/>
      <c r="I922" s="51" t="n"/>
      <c r="J922" s="51" t="n"/>
      <c r="K922" s="51" t="n"/>
      <c r="L922" s="51" t="n"/>
      <c r="N922" s="51" t="n"/>
      <c r="Q922" s="51" t="n"/>
      <c r="S922" s="51" t="n"/>
      <c r="T922" s="51" t="n"/>
      <c r="U922" s="51" t="inlineStr"/>
      <c r="V922" s="55" t="n"/>
      <c r="W922" s="51" t="inlineStr"/>
      <c r="X922" s="51" t="inlineStr"/>
      <c r="Y922" s="51" t="n"/>
      <c r="AB922" s="57" t="n"/>
      <c r="AC922" s="90" t="n"/>
      <c r="AD922" s="90" t="n"/>
      <c r="AE922" s="88" t="n"/>
      <c r="AF922" s="91" t="n"/>
      <c r="AG922" s="91" t="n"/>
      <c r="AH922" s="88" t="n"/>
      <c r="AI922" s="88" t="n"/>
      <c r="AJ922" s="90" t="n"/>
      <c r="AK922" s="88" t="n"/>
      <c r="AL922" s="91" t="n"/>
      <c r="AM922" s="88" t="n"/>
      <c r="AN922" s="95" t="n"/>
      <c r="AO922" s="90" t="n"/>
      <c r="AP922" s="90" t="n"/>
    </row>
    <row r="923" ht="14.25" customHeight="1" s="84">
      <c r="A923" s="51" t="n"/>
      <c r="B923" s="47" t="n"/>
      <c r="C923" s="51" t="n"/>
      <c r="D923" s="51" t="n"/>
      <c r="E923" s="51" t="n"/>
      <c r="F923" s="51" t="n"/>
      <c r="G923" s="47" t="n"/>
      <c r="H923" s="51" t="n"/>
      <c r="I923" s="51" t="n"/>
      <c r="J923" s="51" t="n"/>
      <c r="K923" s="51" t="n"/>
      <c r="L923" s="51" t="n"/>
      <c r="N923" s="51" t="n"/>
      <c r="Q923" s="51" t="n"/>
      <c r="S923" s="51" t="n"/>
      <c r="T923" s="51" t="n"/>
      <c r="U923" s="51" t="inlineStr"/>
      <c r="V923" s="55" t="n"/>
      <c r="W923" s="51" t="inlineStr"/>
      <c r="X923" s="51" t="inlineStr"/>
      <c r="Y923" s="51" t="n"/>
      <c r="AB923" s="57" t="n"/>
      <c r="AC923" s="90" t="n"/>
      <c r="AD923" s="90" t="n"/>
      <c r="AE923" s="88" t="n"/>
      <c r="AF923" s="91" t="n"/>
      <c r="AG923" s="91" t="n"/>
      <c r="AH923" s="88" t="n"/>
      <c r="AI923" s="88" t="n"/>
      <c r="AJ923" s="90" t="n"/>
      <c r="AK923" s="88" t="n"/>
      <c r="AL923" s="91" t="n"/>
      <c r="AM923" s="88" t="n"/>
      <c r="AN923" s="95" t="n"/>
      <c r="AO923" s="90" t="n"/>
      <c r="AP923" s="90" t="n"/>
    </row>
    <row r="924" ht="14.25" customHeight="1" s="84">
      <c r="A924" s="51" t="n"/>
      <c r="B924" s="47" t="n"/>
      <c r="C924" s="51" t="n"/>
      <c r="D924" s="51" t="n"/>
      <c r="E924" s="51" t="n"/>
      <c r="F924" s="51" t="n"/>
      <c r="G924" s="47" t="n"/>
      <c r="H924" s="51" t="n"/>
      <c r="I924" s="51" t="n"/>
      <c r="J924" s="51" t="n"/>
      <c r="K924" s="51" t="n"/>
      <c r="L924" s="51" t="n"/>
      <c r="N924" s="51" t="n"/>
      <c r="Q924" s="51" t="n"/>
      <c r="S924" s="51" t="n"/>
      <c r="T924" s="51" t="n"/>
      <c r="U924" s="51" t="inlineStr"/>
      <c r="V924" s="55" t="n"/>
      <c r="W924" s="51" t="inlineStr"/>
      <c r="X924" s="51" t="inlineStr"/>
      <c r="Y924" s="51" t="n"/>
      <c r="AB924" s="57" t="n"/>
      <c r="AC924" s="90" t="n"/>
      <c r="AD924" s="90" t="n"/>
      <c r="AE924" s="88" t="n"/>
      <c r="AF924" s="91" t="n"/>
      <c r="AG924" s="91" t="n"/>
      <c r="AH924" s="88" t="n"/>
      <c r="AI924" s="88" t="n"/>
      <c r="AJ924" s="90" t="n"/>
      <c r="AK924" s="88" t="n"/>
      <c r="AL924" s="91" t="n"/>
      <c r="AM924" s="88" t="n"/>
      <c r="AN924" s="95" t="n"/>
      <c r="AO924" s="90" t="n"/>
      <c r="AP924" s="90" t="n"/>
    </row>
    <row r="925" ht="14.25" customHeight="1" s="84">
      <c r="A925" s="51" t="n"/>
      <c r="B925" s="47" t="n"/>
      <c r="C925" s="51" t="n"/>
      <c r="D925" s="51" t="n"/>
      <c r="E925" s="51" t="n"/>
      <c r="F925" s="51" t="n"/>
      <c r="G925" s="47" t="n"/>
      <c r="H925" s="51" t="n"/>
      <c r="I925" s="51" t="n"/>
      <c r="J925" s="51" t="n"/>
      <c r="K925" s="51" t="n"/>
      <c r="L925" s="51" t="n"/>
      <c r="N925" s="51" t="n"/>
      <c r="Q925" s="51" t="n"/>
      <c r="S925" s="51" t="n"/>
      <c r="T925" s="51" t="n"/>
      <c r="U925" s="51" t="inlineStr"/>
      <c r="V925" s="55" t="n"/>
      <c r="W925" s="51" t="inlineStr"/>
      <c r="X925" s="51" t="inlineStr"/>
      <c r="Y925" s="51" t="n"/>
      <c r="AB925" s="57" t="n"/>
      <c r="AC925" s="90" t="n"/>
      <c r="AD925" s="90" t="n"/>
      <c r="AE925" s="88" t="n"/>
      <c r="AF925" s="91" t="n"/>
      <c r="AG925" s="91" t="n"/>
      <c r="AH925" s="88" t="n"/>
      <c r="AI925" s="88" t="n"/>
      <c r="AJ925" s="90" t="n"/>
      <c r="AK925" s="88" t="n"/>
      <c r="AL925" s="91" t="n"/>
      <c r="AM925" s="88" t="n"/>
      <c r="AN925" s="95" t="n"/>
      <c r="AO925" s="90" t="n"/>
      <c r="AP925" s="90" t="n"/>
    </row>
    <row r="926" ht="14.25" customHeight="1" s="84">
      <c r="A926" s="51" t="n"/>
      <c r="B926" s="47" t="n"/>
      <c r="C926" s="51" t="n"/>
      <c r="D926" s="51" t="n"/>
      <c r="E926" s="51" t="n"/>
      <c r="F926" s="51" t="n"/>
      <c r="G926" s="47" t="n"/>
      <c r="H926" s="51" t="n"/>
      <c r="I926" s="51" t="n"/>
      <c r="J926" s="51" t="n"/>
      <c r="K926" s="51" t="n"/>
      <c r="L926" s="51" t="n"/>
      <c r="N926" s="51" t="n"/>
      <c r="Q926" s="51" t="n"/>
      <c r="S926" s="51" t="n"/>
      <c r="T926" s="51" t="n"/>
      <c r="U926" s="51" t="inlineStr"/>
      <c r="V926" s="55" t="n"/>
      <c r="W926" s="51" t="inlineStr"/>
      <c r="X926" s="51" t="inlineStr"/>
      <c r="Y926" s="51" t="n"/>
      <c r="AB926" s="57" t="n"/>
      <c r="AC926" s="90" t="n"/>
      <c r="AD926" s="90" t="n"/>
      <c r="AE926" s="88" t="n"/>
      <c r="AF926" s="91" t="n"/>
      <c r="AG926" s="91" t="n"/>
      <c r="AH926" s="88" t="n"/>
      <c r="AI926" s="88" t="n"/>
      <c r="AJ926" s="90" t="n"/>
      <c r="AK926" s="88" t="n"/>
      <c r="AL926" s="91" t="n"/>
      <c r="AM926" s="88" t="n"/>
      <c r="AN926" s="95" t="n"/>
      <c r="AO926" s="90" t="n"/>
      <c r="AP926" s="90" t="n"/>
    </row>
    <row r="927" ht="14.25" customHeight="1" s="84">
      <c r="A927" s="51" t="n"/>
      <c r="B927" s="47" t="n"/>
      <c r="C927" s="51" t="n"/>
      <c r="D927" s="51" t="n"/>
      <c r="E927" s="51" t="n"/>
      <c r="F927" s="51" t="n"/>
      <c r="G927" s="47" t="n"/>
      <c r="H927" s="51" t="n"/>
      <c r="I927" s="51" t="n"/>
      <c r="J927" s="51" t="n"/>
      <c r="K927" s="51" t="n"/>
      <c r="L927" s="51" t="n"/>
      <c r="N927" s="51" t="n"/>
      <c r="Q927" s="51" t="n"/>
      <c r="S927" s="51" t="n"/>
      <c r="T927" s="51" t="n"/>
      <c r="U927" s="51" t="inlineStr"/>
      <c r="V927" s="55" t="n"/>
      <c r="W927" s="51" t="inlineStr"/>
      <c r="X927" s="51" t="inlineStr"/>
      <c r="Y927" s="51" t="n"/>
      <c r="AB927" s="57" t="n"/>
      <c r="AC927" s="90" t="n"/>
      <c r="AD927" s="90" t="n"/>
      <c r="AE927" s="88" t="n"/>
      <c r="AF927" s="91" t="n"/>
      <c r="AG927" s="91" t="n"/>
      <c r="AH927" s="88" t="n"/>
      <c r="AI927" s="88" t="n"/>
      <c r="AJ927" s="90" t="n"/>
      <c r="AK927" s="88" t="n"/>
      <c r="AL927" s="91" t="n"/>
      <c r="AM927" s="88" t="n"/>
      <c r="AN927" s="95" t="n"/>
      <c r="AO927" s="90" t="n"/>
      <c r="AP927" s="90" t="n"/>
    </row>
    <row r="928" ht="14.25" customHeight="1" s="84">
      <c r="A928" s="51" t="n"/>
      <c r="B928" s="47" t="n"/>
      <c r="C928" s="51" t="n"/>
      <c r="D928" s="51" t="n"/>
      <c r="E928" s="51" t="n"/>
      <c r="F928" s="51" t="n"/>
      <c r="G928" s="47" t="n"/>
      <c r="H928" s="51" t="n"/>
      <c r="I928" s="51" t="n"/>
      <c r="J928" s="51" t="n"/>
      <c r="K928" s="51" t="n"/>
      <c r="L928" s="51" t="n"/>
      <c r="N928" s="51" t="n"/>
      <c r="Q928" s="51" t="n"/>
      <c r="S928" s="51" t="n"/>
      <c r="T928" s="51" t="n"/>
      <c r="U928" s="51" t="inlineStr"/>
      <c r="V928" s="55" t="n"/>
      <c r="W928" s="51" t="inlineStr"/>
      <c r="X928" s="51" t="inlineStr"/>
      <c r="Y928" s="51" t="n"/>
      <c r="AB928" s="57" t="n"/>
      <c r="AC928" s="90" t="n"/>
      <c r="AD928" s="90" t="n"/>
      <c r="AE928" s="88" t="n"/>
      <c r="AF928" s="91" t="n"/>
      <c r="AG928" s="91" t="n"/>
      <c r="AH928" s="88" t="n"/>
      <c r="AI928" s="88" t="n"/>
      <c r="AJ928" s="90" t="n"/>
      <c r="AK928" s="88" t="n"/>
      <c r="AL928" s="91" t="n"/>
      <c r="AM928" s="88" t="n"/>
      <c r="AN928" s="95" t="n"/>
      <c r="AO928" s="90" t="n"/>
      <c r="AP928" s="90" t="n"/>
    </row>
    <row r="929" ht="14.25" customHeight="1" s="84">
      <c r="A929" s="51" t="n"/>
      <c r="B929" s="47" t="n"/>
      <c r="C929" s="51" t="n"/>
      <c r="D929" s="51" t="n"/>
      <c r="E929" s="51" t="n"/>
      <c r="F929" s="51" t="n"/>
      <c r="G929" s="47" t="n"/>
      <c r="H929" s="51" t="n"/>
      <c r="I929" s="51" t="n"/>
      <c r="J929" s="51" t="n"/>
      <c r="K929" s="51" t="n"/>
      <c r="L929" s="51" t="n"/>
      <c r="N929" s="51" t="n"/>
      <c r="Q929" s="51" t="n"/>
      <c r="S929" s="51" t="n"/>
      <c r="T929" s="51" t="n"/>
      <c r="U929" s="51" t="inlineStr"/>
      <c r="V929" s="55" t="n"/>
      <c r="W929" s="51" t="inlineStr"/>
      <c r="X929" s="51" t="inlineStr"/>
      <c r="Y929" s="51" t="n"/>
      <c r="AB929" s="57" t="n"/>
      <c r="AC929" s="90" t="n"/>
      <c r="AD929" s="90" t="n"/>
      <c r="AE929" s="88" t="n"/>
      <c r="AF929" s="91" t="n"/>
      <c r="AG929" s="91" t="n"/>
      <c r="AH929" s="88" t="n"/>
      <c r="AI929" s="88" t="n"/>
      <c r="AJ929" s="90" t="n"/>
      <c r="AK929" s="88" t="n"/>
      <c r="AL929" s="91" t="n"/>
      <c r="AM929" s="88" t="n"/>
      <c r="AN929" s="95" t="n"/>
      <c r="AO929" s="90" t="n"/>
      <c r="AP929" s="90" t="n"/>
    </row>
    <row r="930" ht="14.25" customHeight="1" s="84">
      <c r="A930" s="51" t="n"/>
      <c r="B930" s="47" t="n"/>
      <c r="C930" s="51" t="n"/>
      <c r="D930" s="51" t="n"/>
      <c r="E930" s="51" t="n"/>
      <c r="F930" s="51" t="n"/>
      <c r="G930" s="47" t="n"/>
      <c r="H930" s="51" t="n"/>
      <c r="I930" s="51" t="n"/>
      <c r="J930" s="51" t="n"/>
      <c r="K930" s="51" t="n"/>
      <c r="L930" s="51" t="n"/>
      <c r="N930" s="51" t="n"/>
      <c r="Q930" s="51" t="n"/>
      <c r="S930" s="51" t="n"/>
      <c r="T930" s="51" t="n"/>
      <c r="U930" s="51" t="inlineStr"/>
      <c r="V930" s="55" t="n"/>
      <c r="W930" s="51" t="inlineStr"/>
      <c r="X930" s="51" t="inlineStr"/>
      <c r="Y930" s="51" t="n"/>
      <c r="AB930" s="57" t="n"/>
      <c r="AC930" s="90" t="n"/>
      <c r="AD930" s="90" t="n"/>
      <c r="AE930" s="88" t="n"/>
      <c r="AF930" s="91" t="n"/>
      <c r="AG930" s="91" t="n"/>
      <c r="AH930" s="88" t="n"/>
      <c r="AI930" s="88" t="n"/>
      <c r="AJ930" s="90" t="n"/>
      <c r="AK930" s="88" t="n"/>
      <c r="AL930" s="91" t="n"/>
      <c r="AM930" s="88" t="n"/>
      <c r="AN930" s="95" t="n"/>
      <c r="AO930" s="90" t="n"/>
      <c r="AP930" s="90" t="n"/>
    </row>
    <row r="931" ht="14.25" customHeight="1" s="84">
      <c r="A931" s="51" t="n"/>
      <c r="B931" s="47" t="n"/>
      <c r="C931" s="51" t="n"/>
      <c r="D931" s="51" t="n"/>
      <c r="E931" s="51" t="n"/>
      <c r="F931" s="51" t="n"/>
      <c r="G931" s="47" t="n"/>
      <c r="H931" s="51" t="n"/>
      <c r="I931" s="51" t="n"/>
      <c r="J931" s="51" t="n"/>
      <c r="K931" s="51" t="n"/>
      <c r="L931" s="51" t="n"/>
      <c r="N931" s="51" t="n"/>
      <c r="Q931" s="51" t="n"/>
      <c r="S931" s="51" t="n"/>
      <c r="T931" s="51" t="n"/>
      <c r="U931" s="51" t="inlineStr"/>
      <c r="V931" s="55" t="n"/>
      <c r="W931" s="51" t="inlineStr"/>
      <c r="X931" s="51" t="inlineStr"/>
      <c r="Y931" s="51" t="n"/>
      <c r="AB931" s="57" t="n"/>
      <c r="AC931" s="90" t="n"/>
      <c r="AD931" s="90" t="n"/>
      <c r="AE931" s="88" t="n"/>
      <c r="AF931" s="91" t="n"/>
      <c r="AG931" s="91" t="n"/>
      <c r="AH931" s="88" t="n"/>
      <c r="AI931" s="88" t="n"/>
      <c r="AJ931" s="90" t="n"/>
      <c r="AK931" s="88" t="n"/>
      <c r="AL931" s="91" t="n"/>
      <c r="AM931" s="88" t="n"/>
      <c r="AN931" s="95" t="n"/>
      <c r="AO931" s="90" t="n"/>
      <c r="AP931" s="90" t="n"/>
    </row>
    <row r="932" ht="14.25" customHeight="1" s="84">
      <c r="A932" s="51" t="n"/>
      <c r="B932" s="47" t="n"/>
      <c r="C932" s="51" t="n"/>
      <c r="D932" s="51" t="n"/>
      <c r="E932" s="51" t="n"/>
      <c r="F932" s="51" t="n"/>
      <c r="G932" s="47" t="n"/>
      <c r="H932" s="51" t="n"/>
      <c r="I932" s="51" t="n"/>
      <c r="J932" s="51" t="n"/>
      <c r="K932" s="51" t="n"/>
      <c r="L932" s="51" t="n"/>
      <c r="N932" s="51" t="n"/>
      <c r="Q932" s="51" t="n"/>
      <c r="S932" s="51" t="n"/>
      <c r="T932" s="51" t="n"/>
      <c r="U932" s="51" t="inlineStr"/>
      <c r="V932" s="55" t="n"/>
      <c r="W932" s="51" t="inlineStr"/>
      <c r="X932" s="51" t="inlineStr"/>
      <c r="Y932" s="51" t="n"/>
      <c r="AB932" s="57" t="n"/>
      <c r="AC932" s="90" t="n"/>
      <c r="AD932" s="90" t="n"/>
      <c r="AE932" s="88" t="n"/>
      <c r="AF932" s="91" t="n"/>
      <c r="AG932" s="91" t="n"/>
      <c r="AH932" s="88" t="n"/>
      <c r="AI932" s="88" t="n"/>
      <c r="AJ932" s="90" t="n"/>
      <c r="AK932" s="88" t="n"/>
      <c r="AL932" s="91" t="n"/>
      <c r="AM932" s="88" t="n"/>
      <c r="AN932" s="95" t="n"/>
      <c r="AO932" s="90" t="n"/>
      <c r="AP932" s="90" t="n"/>
    </row>
    <row r="933" ht="14.25" customHeight="1" s="84">
      <c r="A933" s="51" t="n"/>
      <c r="B933" s="47" t="n"/>
      <c r="C933" s="51" t="n"/>
      <c r="D933" s="51" t="n"/>
      <c r="E933" s="51" t="n"/>
      <c r="F933" s="51" t="n"/>
      <c r="G933" s="47" t="n"/>
      <c r="H933" s="51" t="n"/>
      <c r="I933" s="51" t="n"/>
      <c r="J933" s="51" t="n"/>
      <c r="K933" s="51" t="n"/>
      <c r="L933" s="51" t="n"/>
      <c r="N933" s="51" t="n"/>
      <c r="Q933" s="51" t="n"/>
      <c r="S933" s="51" t="n"/>
      <c r="T933" s="51" t="n"/>
      <c r="U933" s="51" t="inlineStr"/>
      <c r="V933" s="55" t="n"/>
      <c r="W933" s="51" t="inlineStr"/>
      <c r="X933" s="51" t="inlineStr"/>
      <c r="Y933" s="51" t="n"/>
      <c r="AB933" s="57" t="n"/>
      <c r="AC933" s="90" t="n"/>
      <c r="AD933" s="90" t="n"/>
      <c r="AE933" s="88" t="n"/>
      <c r="AF933" s="91" t="n"/>
      <c r="AG933" s="91" t="n"/>
      <c r="AH933" s="88" t="n"/>
      <c r="AI933" s="88" t="n"/>
      <c r="AJ933" s="90" t="n"/>
      <c r="AK933" s="88" t="n"/>
      <c r="AL933" s="91" t="n"/>
      <c r="AM933" s="88" t="n"/>
      <c r="AN933" s="95" t="n"/>
      <c r="AO933" s="90" t="n"/>
      <c r="AP933" s="90" t="n"/>
    </row>
    <row r="934" ht="14.25" customHeight="1" s="84">
      <c r="A934" s="51" t="n"/>
      <c r="B934" s="47" t="n"/>
      <c r="C934" s="51" t="n"/>
      <c r="D934" s="51" t="n"/>
      <c r="E934" s="51" t="n"/>
      <c r="F934" s="51" t="n"/>
      <c r="G934" s="47" t="n"/>
      <c r="H934" s="51" t="n"/>
      <c r="I934" s="51" t="n"/>
      <c r="J934" s="51" t="n"/>
      <c r="K934" s="51" t="n"/>
      <c r="L934" s="51" t="n"/>
      <c r="N934" s="51" t="n"/>
      <c r="Q934" s="51" t="n"/>
      <c r="S934" s="51" t="n"/>
      <c r="T934" s="51" t="n"/>
      <c r="U934" s="51" t="inlineStr"/>
      <c r="V934" s="55" t="n"/>
      <c r="W934" s="51" t="inlineStr"/>
      <c r="X934" s="51" t="inlineStr"/>
      <c r="Y934" s="51" t="n"/>
      <c r="AB934" s="57" t="n"/>
      <c r="AC934" s="90" t="n"/>
      <c r="AD934" s="90" t="n"/>
      <c r="AE934" s="88" t="n"/>
      <c r="AF934" s="91" t="n"/>
      <c r="AG934" s="91" t="n"/>
      <c r="AH934" s="88" t="n"/>
      <c r="AI934" s="88" t="n"/>
      <c r="AJ934" s="90" t="n"/>
      <c r="AK934" s="88" t="n"/>
      <c r="AL934" s="91" t="n"/>
      <c r="AM934" s="88" t="n"/>
      <c r="AN934" s="95" t="n"/>
      <c r="AO934" s="90" t="n"/>
      <c r="AP934" s="90" t="n"/>
    </row>
    <row r="935" ht="14.25" customHeight="1" s="84">
      <c r="A935" s="51" t="n"/>
      <c r="B935" s="47" t="n"/>
      <c r="C935" s="51" t="n"/>
      <c r="D935" s="51" t="n"/>
      <c r="E935" s="51" t="n"/>
      <c r="F935" s="51" t="n"/>
      <c r="G935" s="47" t="n"/>
      <c r="H935" s="51" t="n"/>
      <c r="I935" s="51" t="n"/>
      <c r="J935" s="51" t="n"/>
      <c r="K935" s="51" t="n"/>
      <c r="L935" s="51" t="n"/>
      <c r="N935" s="51" t="n"/>
      <c r="Q935" s="51" t="n"/>
      <c r="S935" s="51" t="n"/>
      <c r="T935" s="51" t="n"/>
      <c r="U935" s="51" t="inlineStr"/>
      <c r="V935" s="55" t="n"/>
      <c r="W935" s="51" t="inlineStr"/>
      <c r="X935" s="51" t="inlineStr"/>
      <c r="Y935" s="51" t="n"/>
      <c r="AB935" s="57" t="n"/>
      <c r="AC935" s="90" t="n"/>
      <c r="AD935" s="90" t="n"/>
      <c r="AE935" s="88" t="n"/>
      <c r="AF935" s="91" t="n"/>
      <c r="AG935" s="91" t="n"/>
      <c r="AH935" s="88" t="n"/>
      <c r="AI935" s="88" t="n"/>
      <c r="AJ935" s="90" t="n"/>
      <c r="AK935" s="88" t="n"/>
      <c r="AL935" s="91" t="n"/>
      <c r="AM935" s="88" t="n"/>
      <c r="AN935" s="95" t="n"/>
      <c r="AO935" s="90" t="n"/>
      <c r="AP935" s="90" t="n"/>
    </row>
    <row r="936" ht="14.25" customHeight="1" s="84">
      <c r="A936" s="51" t="n"/>
      <c r="B936" s="47" t="n"/>
      <c r="C936" s="51" t="n"/>
      <c r="D936" s="51" t="n"/>
      <c r="E936" s="51" t="n"/>
      <c r="F936" s="51" t="n"/>
      <c r="G936" s="47" t="n"/>
      <c r="H936" s="51" t="n"/>
      <c r="I936" s="51" t="n"/>
      <c r="J936" s="51" t="n"/>
      <c r="K936" s="51" t="n"/>
      <c r="L936" s="51" t="n"/>
      <c r="N936" s="51" t="n"/>
      <c r="Q936" s="51" t="n"/>
      <c r="S936" s="51" t="n"/>
      <c r="T936" s="51" t="n"/>
      <c r="U936" s="51" t="inlineStr"/>
      <c r="V936" s="55" t="n"/>
      <c r="W936" s="51" t="inlineStr"/>
      <c r="X936" s="51" t="inlineStr"/>
      <c r="Y936" s="51" t="n"/>
      <c r="AB936" s="57" t="n"/>
      <c r="AC936" s="90" t="n"/>
      <c r="AD936" s="90" t="n"/>
      <c r="AE936" s="88" t="n"/>
      <c r="AF936" s="91" t="n"/>
      <c r="AG936" s="91" t="n"/>
      <c r="AH936" s="88" t="n"/>
      <c r="AI936" s="88" t="n"/>
      <c r="AJ936" s="90" t="n"/>
      <c r="AK936" s="88" t="n"/>
      <c r="AL936" s="91" t="n"/>
      <c r="AM936" s="88" t="n"/>
      <c r="AN936" s="95" t="n"/>
      <c r="AO936" s="90" t="n"/>
      <c r="AP936" s="90" t="n"/>
    </row>
    <row r="937" ht="14.25" customHeight="1" s="84">
      <c r="A937" s="51" t="n"/>
      <c r="B937" s="47" t="n"/>
      <c r="C937" s="51" t="n"/>
      <c r="D937" s="51" t="n"/>
      <c r="E937" s="51" t="n"/>
      <c r="F937" s="51" t="n"/>
      <c r="G937" s="47" t="n"/>
      <c r="H937" s="51" t="n"/>
      <c r="I937" s="51" t="n"/>
      <c r="J937" s="51" t="n"/>
      <c r="K937" s="51" t="n"/>
      <c r="L937" s="51" t="n"/>
      <c r="N937" s="51" t="n"/>
      <c r="Q937" s="51" t="n"/>
      <c r="S937" s="51" t="n"/>
      <c r="T937" s="51" t="n"/>
      <c r="U937" s="51" t="inlineStr"/>
      <c r="V937" s="55" t="n"/>
      <c r="W937" s="51" t="inlineStr"/>
      <c r="X937" s="51" t="inlineStr"/>
      <c r="Y937" s="51" t="n"/>
      <c r="AB937" s="57" t="n"/>
      <c r="AC937" s="90" t="n"/>
      <c r="AD937" s="90" t="n"/>
      <c r="AE937" s="88" t="n"/>
      <c r="AF937" s="91" t="n"/>
      <c r="AG937" s="91" t="n"/>
      <c r="AH937" s="88" t="n"/>
      <c r="AI937" s="88" t="n"/>
      <c r="AJ937" s="90" t="n"/>
      <c r="AK937" s="88" t="n"/>
      <c r="AL937" s="91" t="n"/>
      <c r="AM937" s="88" t="n"/>
      <c r="AN937" s="95" t="n"/>
      <c r="AO937" s="90" t="n"/>
      <c r="AP937" s="90" t="n"/>
    </row>
    <row r="938" ht="14.25" customHeight="1" s="84">
      <c r="A938" s="51" t="n"/>
      <c r="B938" s="47" t="n"/>
      <c r="C938" s="51" t="n"/>
      <c r="D938" s="51" t="n"/>
      <c r="E938" s="51" t="n"/>
      <c r="F938" s="51" t="n"/>
      <c r="G938" s="47" t="n"/>
      <c r="H938" s="51" t="n"/>
      <c r="I938" s="51" t="n"/>
      <c r="J938" s="51" t="n"/>
      <c r="K938" s="51" t="n"/>
      <c r="L938" s="51" t="n"/>
      <c r="N938" s="51" t="n"/>
      <c r="Q938" s="51" t="n"/>
      <c r="S938" s="51" t="n"/>
      <c r="T938" s="51" t="n"/>
      <c r="U938" s="51" t="inlineStr"/>
      <c r="V938" s="55" t="n"/>
      <c r="W938" s="51" t="inlineStr"/>
      <c r="X938" s="51" t="inlineStr"/>
      <c r="Y938" s="51" t="n"/>
      <c r="AB938" s="57" t="n"/>
      <c r="AC938" s="90" t="n"/>
      <c r="AD938" s="90" t="n"/>
      <c r="AE938" s="88" t="n"/>
      <c r="AF938" s="91" t="n"/>
      <c r="AG938" s="91" t="n"/>
      <c r="AH938" s="88" t="n"/>
      <c r="AI938" s="88" t="n"/>
      <c r="AJ938" s="90" t="n"/>
      <c r="AK938" s="88" t="n"/>
      <c r="AL938" s="91" t="n"/>
      <c r="AM938" s="88" t="n"/>
      <c r="AN938" s="95" t="n"/>
      <c r="AO938" s="90" t="n"/>
      <c r="AP938" s="90" t="n"/>
    </row>
    <row r="939" ht="14.25" customHeight="1" s="84">
      <c r="A939" s="51" t="n"/>
      <c r="B939" s="47" t="n"/>
      <c r="C939" s="51" t="n"/>
      <c r="D939" s="51" t="n"/>
      <c r="E939" s="51" t="n"/>
      <c r="F939" s="51" t="n"/>
      <c r="G939" s="47" t="n"/>
      <c r="H939" s="51" t="n"/>
      <c r="I939" s="51" t="n"/>
      <c r="J939" s="51" t="n"/>
      <c r="K939" s="51" t="n"/>
      <c r="L939" s="51" t="n"/>
      <c r="N939" s="51" t="n"/>
      <c r="Q939" s="51" t="n"/>
      <c r="S939" s="51" t="n"/>
      <c r="T939" s="51" t="n"/>
      <c r="U939" s="51" t="inlineStr"/>
      <c r="V939" s="55" t="n"/>
      <c r="W939" s="51" t="inlineStr"/>
      <c r="X939" s="51" t="inlineStr"/>
      <c r="Y939" s="51" t="n"/>
      <c r="AB939" s="57" t="n"/>
      <c r="AC939" s="90" t="n"/>
      <c r="AD939" s="90" t="n"/>
      <c r="AE939" s="88" t="n"/>
      <c r="AF939" s="91" t="n"/>
      <c r="AG939" s="91" t="n"/>
      <c r="AH939" s="88" t="n"/>
      <c r="AI939" s="88" t="n"/>
      <c r="AJ939" s="90" t="n"/>
      <c r="AK939" s="88" t="n"/>
      <c r="AL939" s="91" t="n"/>
      <c r="AM939" s="88" t="n"/>
      <c r="AN939" s="95" t="n"/>
      <c r="AO939" s="90" t="n"/>
      <c r="AP939" s="90" t="n"/>
    </row>
    <row r="940" ht="14.25" customHeight="1" s="84">
      <c r="A940" s="51" t="n"/>
      <c r="B940" s="47" t="n"/>
      <c r="C940" s="51" t="n"/>
      <c r="D940" s="51" t="n"/>
      <c r="E940" s="51" t="n"/>
      <c r="F940" s="51" t="n"/>
      <c r="G940" s="47" t="n"/>
      <c r="H940" s="51" t="n"/>
      <c r="I940" s="51" t="n"/>
      <c r="J940" s="51" t="n"/>
      <c r="K940" s="51" t="n"/>
      <c r="L940" s="51" t="n"/>
      <c r="N940" s="51" t="n"/>
      <c r="Q940" s="51" t="n"/>
      <c r="S940" s="51" t="n"/>
      <c r="T940" s="51" t="n"/>
      <c r="U940" s="51" t="inlineStr"/>
      <c r="V940" s="55" t="n"/>
      <c r="W940" s="51" t="inlineStr"/>
      <c r="X940" s="51" t="inlineStr"/>
      <c r="Y940" s="51" t="n"/>
      <c r="AB940" s="57" t="n"/>
      <c r="AC940" s="90" t="n"/>
      <c r="AD940" s="90" t="n"/>
      <c r="AE940" s="88" t="n"/>
      <c r="AF940" s="91" t="n"/>
      <c r="AG940" s="91" t="n"/>
      <c r="AH940" s="88" t="n"/>
      <c r="AI940" s="88" t="n"/>
      <c r="AJ940" s="90" t="n"/>
      <c r="AK940" s="88" t="n"/>
      <c r="AL940" s="91" t="n"/>
      <c r="AM940" s="88" t="n"/>
      <c r="AN940" s="95" t="n"/>
      <c r="AO940" s="90" t="n"/>
      <c r="AP940" s="90" t="n"/>
    </row>
    <row r="941" ht="14.25" customHeight="1" s="84">
      <c r="A941" s="51" t="n"/>
      <c r="B941" s="47" t="n"/>
      <c r="C941" s="51" t="n"/>
      <c r="D941" s="51" t="n"/>
      <c r="E941" s="51" t="n"/>
      <c r="F941" s="51" t="n"/>
      <c r="G941" s="47" t="n"/>
      <c r="H941" s="51" t="n"/>
      <c r="I941" s="51" t="n"/>
      <c r="J941" s="51" t="n"/>
      <c r="K941" s="51" t="n"/>
      <c r="L941" s="51" t="n"/>
      <c r="N941" s="51" t="n"/>
      <c r="Q941" s="51" t="n"/>
      <c r="S941" s="51" t="n"/>
      <c r="T941" s="51" t="n"/>
      <c r="U941" s="51" t="inlineStr"/>
      <c r="V941" s="55" t="n"/>
      <c r="W941" s="51" t="inlineStr"/>
      <c r="X941" s="51" t="inlineStr"/>
      <c r="Y941" s="51" t="n"/>
      <c r="AB941" s="57" t="n"/>
      <c r="AC941" s="90" t="n"/>
      <c r="AD941" s="90" t="n"/>
      <c r="AE941" s="88" t="n"/>
      <c r="AF941" s="91" t="n"/>
      <c r="AG941" s="91" t="n"/>
      <c r="AH941" s="88" t="n"/>
      <c r="AI941" s="88" t="n"/>
      <c r="AJ941" s="90" t="n"/>
      <c r="AK941" s="88" t="n"/>
      <c r="AL941" s="91" t="n"/>
      <c r="AM941" s="88" t="n"/>
      <c r="AN941" s="95" t="n"/>
      <c r="AO941" s="90" t="n"/>
      <c r="AP941" s="90" t="n"/>
    </row>
    <row r="942" ht="14.25" customHeight="1" s="84">
      <c r="A942" s="51" t="n"/>
      <c r="B942" s="47" t="n"/>
      <c r="C942" s="51" t="n"/>
      <c r="D942" s="51" t="n"/>
      <c r="E942" s="51" t="n"/>
      <c r="F942" s="51" t="n"/>
      <c r="G942" s="47" t="n"/>
      <c r="H942" s="51" t="n"/>
      <c r="I942" s="51" t="n"/>
      <c r="J942" s="51" t="n"/>
      <c r="K942" s="51" t="n"/>
      <c r="L942" s="51" t="n"/>
      <c r="N942" s="51" t="n"/>
      <c r="Q942" s="51" t="n"/>
      <c r="S942" s="51" t="n"/>
      <c r="T942" s="51" t="n"/>
      <c r="U942" s="51" t="inlineStr"/>
      <c r="V942" s="55" t="n"/>
      <c r="W942" s="51" t="inlineStr"/>
      <c r="X942" s="51" t="inlineStr"/>
      <c r="Y942" s="51" t="n"/>
      <c r="AB942" s="57" t="n"/>
      <c r="AC942" s="90" t="n"/>
      <c r="AD942" s="90" t="n"/>
      <c r="AE942" s="88" t="n"/>
      <c r="AF942" s="91" t="n"/>
      <c r="AG942" s="91" t="n"/>
      <c r="AH942" s="88" t="n"/>
      <c r="AI942" s="88" t="n"/>
      <c r="AJ942" s="90" t="n"/>
      <c r="AK942" s="88" t="n"/>
      <c r="AL942" s="91" t="n"/>
      <c r="AM942" s="88" t="n"/>
      <c r="AN942" s="95" t="n"/>
      <c r="AO942" s="90" t="n"/>
      <c r="AP942" s="90" t="n"/>
    </row>
    <row r="943" ht="14.25" customHeight="1" s="84">
      <c r="A943" s="51" t="n"/>
      <c r="B943" s="47" t="n"/>
      <c r="C943" s="51" t="n"/>
      <c r="D943" s="51" t="n"/>
      <c r="E943" s="51" t="n"/>
      <c r="F943" s="51" t="n"/>
      <c r="G943" s="47" t="n"/>
      <c r="H943" s="51" t="n"/>
      <c r="I943" s="51" t="n"/>
      <c r="J943" s="51" t="n"/>
      <c r="K943" s="51" t="n"/>
      <c r="L943" s="51" t="n"/>
      <c r="N943" s="51" t="n"/>
      <c r="Q943" s="51" t="n"/>
      <c r="S943" s="51" t="n"/>
      <c r="T943" s="51" t="n"/>
      <c r="U943" s="51" t="inlineStr"/>
      <c r="V943" s="55" t="n"/>
      <c r="W943" s="51" t="inlineStr"/>
      <c r="X943" s="51" t="inlineStr"/>
      <c r="Y943" s="51" t="n"/>
      <c r="AB943" s="57" t="n"/>
      <c r="AC943" s="90" t="n"/>
      <c r="AD943" s="90" t="n"/>
      <c r="AE943" s="88" t="n"/>
      <c r="AF943" s="91" t="n"/>
      <c r="AG943" s="91" t="n"/>
      <c r="AH943" s="88" t="n"/>
      <c r="AI943" s="88" t="n"/>
      <c r="AJ943" s="90" t="n"/>
      <c r="AK943" s="88" t="n"/>
      <c r="AL943" s="91" t="n"/>
      <c r="AM943" s="88" t="n"/>
      <c r="AN943" s="95" t="n"/>
      <c r="AO943" s="90" t="n"/>
      <c r="AP943" s="90" t="n"/>
    </row>
    <row r="944" ht="14.25" customHeight="1" s="84">
      <c r="A944" s="51" t="n"/>
      <c r="B944" s="47" t="n"/>
      <c r="C944" s="51" t="n"/>
      <c r="D944" s="51" t="n"/>
      <c r="E944" s="51" t="n"/>
      <c r="F944" s="51" t="n"/>
      <c r="G944" s="47" t="n"/>
      <c r="H944" s="51" t="n"/>
      <c r="I944" s="51" t="n"/>
      <c r="J944" s="51" t="n"/>
      <c r="K944" s="51" t="n"/>
      <c r="L944" s="51" t="n"/>
      <c r="N944" s="51" t="n"/>
      <c r="Q944" s="51" t="n"/>
      <c r="S944" s="51" t="n"/>
      <c r="T944" s="51" t="n"/>
      <c r="U944" s="51" t="inlineStr"/>
      <c r="V944" s="55" t="n"/>
      <c r="W944" s="51" t="inlineStr"/>
      <c r="X944" s="51" t="inlineStr"/>
      <c r="Y944" s="51" t="n"/>
      <c r="AB944" s="57" t="n"/>
      <c r="AC944" s="90" t="n"/>
      <c r="AD944" s="90" t="n"/>
      <c r="AE944" s="88" t="n"/>
      <c r="AF944" s="91" t="n"/>
      <c r="AG944" s="91" t="n"/>
      <c r="AH944" s="88" t="n"/>
      <c r="AI944" s="88" t="n"/>
      <c r="AJ944" s="90" t="n"/>
      <c r="AK944" s="88" t="n"/>
      <c r="AL944" s="91" t="n"/>
      <c r="AM944" s="88" t="n"/>
      <c r="AN944" s="95" t="n"/>
      <c r="AO944" s="90" t="n"/>
      <c r="AP944" s="90" t="n"/>
    </row>
    <row r="945" ht="14.25" customHeight="1" s="84">
      <c r="A945" s="51" t="n"/>
      <c r="B945" s="47" t="n"/>
      <c r="C945" s="51" t="n"/>
      <c r="D945" s="51" t="n"/>
      <c r="E945" s="51" t="n"/>
      <c r="F945" s="51" t="n"/>
      <c r="G945" s="47" t="n"/>
      <c r="H945" s="51" t="n"/>
      <c r="I945" s="51" t="n"/>
      <c r="J945" s="51" t="n"/>
      <c r="K945" s="51" t="n"/>
      <c r="L945" s="51" t="n"/>
      <c r="N945" s="51" t="n"/>
      <c r="Q945" s="51" t="n"/>
      <c r="S945" s="51" t="n"/>
      <c r="T945" s="51" t="n"/>
      <c r="U945" s="51" t="inlineStr"/>
      <c r="V945" s="55" t="n"/>
      <c r="W945" s="51" t="inlineStr"/>
      <c r="X945" s="51" t="inlineStr"/>
      <c r="Y945" s="51" t="n"/>
      <c r="AB945" s="57" t="n"/>
      <c r="AC945" s="90" t="n"/>
      <c r="AD945" s="90" t="n"/>
      <c r="AE945" s="88" t="n"/>
      <c r="AF945" s="91" t="n"/>
      <c r="AG945" s="91" t="n"/>
      <c r="AH945" s="88" t="n"/>
      <c r="AI945" s="88" t="n"/>
      <c r="AJ945" s="90" t="n"/>
      <c r="AK945" s="88" t="n"/>
      <c r="AL945" s="91" t="n"/>
      <c r="AM945" s="88" t="n"/>
      <c r="AN945" s="95" t="n"/>
      <c r="AO945" s="90" t="n"/>
      <c r="AP945" s="90" t="n"/>
    </row>
    <row r="946" ht="14.25" customHeight="1" s="84">
      <c r="A946" s="51" t="n"/>
      <c r="B946" s="47" t="n"/>
      <c r="C946" s="51" t="n"/>
      <c r="D946" s="51" t="n"/>
      <c r="E946" s="51" t="n"/>
      <c r="F946" s="51" t="n"/>
      <c r="G946" s="47" t="n"/>
      <c r="H946" s="51" t="n"/>
      <c r="I946" s="51" t="n"/>
      <c r="J946" s="51" t="n"/>
      <c r="K946" s="51" t="n"/>
      <c r="L946" s="51" t="n"/>
      <c r="N946" s="51" t="n"/>
      <c r="Q946" s="51" t="n"/>
      <c r="S946" s="51" t="n"/>
      <c r="T946" s="51" t="n"/>
      <c r="U946" s="51" t="inlineStr"/>
      <c r="V946" s="55" t="n"/>
      <c r="W946" s="51" t="inlineStr"/>
      <c r="X946" s="51" t="inlineStr"/>
      <c r="Y946" s="51" t="n"/>
      <c r="AB946" s="57" t="n"/>
      <c r="AC946" s="90" t="n"/>
      <c r="AD946" s="90" t="n"/>
      <c r="AE946" s="88" t="n"/>
      <c r="AF946" s="91" t="n"/>
      <c r="AG946" s="91" t="n"/>
      <c r="AH946" s="88" t="n"/>
      <c r="AI946" s="88" t="n"/>
      <c r="AJ946" s="90" t="n"/>
      <c r="AK946" s="88" t="n"/>
      <c r="AL946" s="91" t="n"/>
      <c r="AM946" s="88" t="n"/>
      <c r="AN946" s="95" t="n"/>
      <c r="AO946" s="90" t="n"/>
      <c r="AP946" s="90" t="n"/>
    </row>
    <row r="947" ht="14.25" customHeight="1" s="84">
      <c r="A947" s="51" t="n"/>
      <c r="B947" s="47" t="n"/>
      <c r="C947" s="51" t="n"/>
      <c r="D947" s="51" t="n"/>
      <c r="E947" s="51" t="n"/>
      <c r="F947" s="51" t="n"/>
      <c r="G947" s="47" t="n"/>
      <c r="H947" s="51" t="n"/>
      <c r="I947" s="51" t="n"/>
      <c r="J947" s="51" t="n"/>
      <c r="K947" s="51" t="n"/>
      <c r="L947" s="51" t="n"/>
      <c r="N947" s="51" t="n"/>
      <c r="Q947" s="51" t="n"/>
      <c r="S947" s="51" t="n"/>
      <c r="T947" s="51" t="n"/>
      <c r="U947" s="51" t="inlineStr"/>
      <c r="V947" s="55" t="n"/>
      <c r="W947" s="51" t="inlineStr"/>
      <c r="X947" s="51" t="inlineStr"/>
      <c r="Y947" s="51" t="n"/>
      <c r="AB947" s="57" t="n"/>
      <c r="AC947" s="90" t="n"/>
      <c r="AD947" s="90" t="n"/>
      <c r="AE947" s="88" t="n"/>
      <c r="AF947" s="91" t="n"/>
      <c r="AG947" s="91" t="n"/>
      <c r="AH947" s="88" t="n"/>
      <c r="AI947" s="88" t="n"/>
      <c r="AJ947" s="90" t="n"/>
      <c r="AK947" s="88" t="n"/>
      <c r="AL947" s="91" t="n"/>
      <c r="AM947" s="88" t="n"/>
      <c r="AN947" s="95" t="n"/>
      <c r="AO947" s="90" t="n"/>
      <c r="AP947" s="90" t="n"/>
    </row>
    <row r="948" ht="14.25" customHeight="1" s="84">
      <c r="A948" s="51" t="n"/>
      <c r="B948" s="47" t="n"/>
      <c r="C948" s="51" t="n"/>
      <c r="D948" s="51" t="n"/>
      <c r="E948" s="51" t="n"/>
      <c r="F948" s="51" t="n"/>
      <c r="G948" s="47" t="n"/>
      <c r="H948" s="51" t="n"/>
      <c r="I948" s="51" t="n"/>
      <c r="J948" s="51" t="n"/>
      <c r="K948" s="51" t="n"/>
      <c r="L948" s="51" t="n"/>
      <c r="N948" s="51" t="n"/>
      <c r="Q948" s="51" t="n"/>
      <c r="S948" s="51" t="n"/>
      <c r="T948" s="51" t="n"/>
      <c r="U948" s="51" t="inlineStr"/>
      <c r="V948" s="55" t="n"/>
      <c r="W948" s="51" t="inlineStr"/>
      <c r="X948" s="51" t="inlineStr"/>
      <c r="Y948" s="51" t="n"/>
      <c r="AB948" s="57" t="n"/>
      <c r="AC948" s="90" t="n"/>
      <c r="AD948" s="90" t="n"/>
      <c r="AE948" s="88" t="n"/>
      <c r="AF948" s="91" t="n"/>
      <c r="AG948" s="91" t="n"/>
      <c r="AH948" s="88" t="n"/>
      <c r="AI948" s="88" t="n"/>
      <c r="AJ948" s="90" t="n"/>
      <c r="AK948" s="88" t="n"/>
      <c r="AL948" s="91" t="n"/>
      <c r="AM948" s="88" t="n"/>
      <c r="AN948" s="95" t="n"/>
      <c r="AO948" s="90" t="n"/>
      <c r="AP948" s="90" t="n"/>
    </row>
    <row r="949" ht="14.25" customHeight="1" s="84">
      <c r="A949" s="51" t="n"/>
      <c r="B949" s="47" t="n"/>
      <c r="C949" s="51" t="n"/>
      <c r="D949" s="51" t="n"/>
      <c r="E949" s="51" t="n"/>
      <c r="F949" s="51" t="n"/>
      <c r="G949" s="47" t="n"/>
      <c r="H949" s="51" t="n"/>
      <c r="I949" s="51" t="n"/>
      <c r="J949" s="51" t="n"/>
      <c r="K949" s="51" t="n"/>
      <c r="L949" s="51" t="n"/>
      <c r="N949" s="51" t="n"/>
      <c r="Q949" s="51" t="n"/>
      <c r="S949" s="51" t="n"/>
      <c r="T949" s="51" t="n"/>
      <c r="U949" s="51" t="inlineStr"/>
      <c r="V949" s="55" t="n"/>
      <c r="W949" s="51" t="inlineStr"/>
      <c r="X949" s="51" t="inlineStr"/>
      <c r="Y949" s="51" t="n"/>
      <c r="AB949" s="57" t="n"/>
      <c r="AC949" s="90" t="n"/>
      <c r="AD949" s="90" t="n"/>
      <c r="AE949" s="88" t="n"/>
      <c r="AF949" s="91" t="n"/>
      <c r="AG949" s="91" t="n"/>
      <c r="AH949" s="88" t="n"/>
      <c r="AI949" s="88" t="n"/>
      <c r="AJ949" s="90" t="n"/>
      <c r="AK949" s="88" t="n"/>
      <c r="AL949" s="91" t="n"/>
      <c r="AM949" s="88" t="n"/>
      <c r="AN949" s="95" t="n"/>
      <c r="AO949" s="90" t="n"/>
      <c r="AP949" s="90" t="n"/>
    </row>
    <row r="950" ht="14.25" customHeight="1" s="84">
      <c r="A950" s="51" t="n"/>
      <c r="B950" s="47" t="n"/>
      <c r="C950" s="51" t="n"/>
      <c r="D950" s="51" t="n"/>
      <c r="E950" s="51" t="n"/>
      <c r="F950" s="51" t="n"/>
      <c r="G950" s="47" t="n"/>
      <c r="H950" s="51" t="n"/>
      <c r="I950" s="51" t="n"/>
      <c r="J950" s="51" t="n"/>
      <c r="K950" s="51" t="n"/>
      <c r="L950" s="51" t="n"/>
      <c r="N950" s="51" t="n"/>
      <c r="Q950" s="51" t="n"/>
      <c r="S950" s="51" t="n"/>
      <c r="T950" s="51" t="n"/>
      <c r="U950" s="51" t="inlineStr"/>
      <c r="V950" s="55" t="n"/>
      <c r="W950" s="51" t="inlineStr"/>
      <c r="X950" s="51" t="inlineStr"/>
      <c r="Y950" s="51" t="n"/>
      <c r="AB950" s="57" t="n"/>
      <c r="AC950" s="90" t="n"/>
      <c r="AD950" s="90" t="n"/>
      <c r="AE950" s="88" t="n"/>
      <c r="AF950" s="91" t="n"/>
      <c r="AG950" s="91" t="n"/>
      <c r="AH950" s="88" t="n"/>
      <c r="AI950" s="88" t="n"/>
      <c r="AJ950" s="90" t="n"/>
      <c r="AK950" s="88" t="n"/>
      <c r="AL950" s="91" t="n"/>
      <c r="AM950" s="88" t="n"/>
      <c r="AN950" s="95" t="n"/>
      <c r="AO950" s="90" t="n"/>
      <c r="AP950" s="90" t="n"/>
    </row>
    <row r="951" ht="14.25" customHeight="1" s="84">
      <c r="A951" s="51" t="n"/>
      <c r="B951" s="47" t="n"/>
      <c r="C951" s="51" t="n"/>
      <c r="D951" s="51" t="n"/>
      <c r="E951" s="51" t="n"/>
      <c r="F951" s="51" t="n"/>
      <c r="G951" s="47" t="n"/>
      <c r="H951" s="51" t="n"/>
      <c r="I951" s="51" t="n"/>
      <c r="J951" s="51" t="n"/>
      <c r="K951" s="51" t="n"/>
      <c r="L951" s="51" t="n"/>
      <c r="N951" s="51" t="n"/>
      <c r="Q951" s="51" t="n"/>
      <c r="S951" s="51" t="n"/>
      <c r="T951" s="51" t="n"/>
      <c r="U951" s="51" t="inlineStr"/>
      <c r="V951" s="55" t="n"/>
      <c r="W951" s="51" t="inlineStr"/>
      <c r="X951" s="51" t="inlineStr"/>
      <c r="Y951" s="51" t="n"/>
      <c r="AB951" s="57" t="n"/>
      <c r="AC951" s="90" t="n"/>
      <c r="AD951" s="90" t="n"/>
      <c r="AE951" s="88" t="n"/>
      <c r="AF951" s="91" t="n"/>
      <c r="AG951" s="91" t="n"/>
      <c r="AH951" s="88" t="n"/>
      <c r="AI951" s="88" t="n"/>
      <c r="AJ951" s="90" t="n"/>
      <c r="AK951" s="88" t="n"/>
      <c r="AL951" s="91" t="n"/>
      <c r="AM951" s="88" t="n"/>
      <c r="AN951" s="95" t="n"/>
      <c r="AO951" s="90" t="n"/>
      <c r="AP951" s="90" t="n"/>
    </row>
    <row r="952" ht="14.25" customHeight="1" s="84">
      <c r="A952" s="51" t="n"/>
      <c r="B952" s="47" t="n"/>
      <c r="C952" s="51" t="n"/>
      <c r="D952" s="51" t="n"/>
      <c r="E952" s="51" t="n"/>
      <c r="F952" s="51" t="n"/>
      <c r="G952" s="47" t="n"/>
      <c r="H952" s="51" t="n"/>
      <c r="I952" s="51" t="n"/>
      <c r="J952" s="51" t="n"/>
      <c r="K952" s="51" t="n"/>
      <c r="L952" s="51" t="n"/>
      <c r="N952" s="51" t="n"/>
      <c r="Q952" s="51" t="n"/>
      <c r="S952" s="51" t="n"/>
      <c r="T952" s="51" t="n"/>
      <c r="U952" s="51" t="inlineStr"/>
      <c r="V952" s="55" t="n"/>
      <c r="W952" s="51" t="inlineStr"/>
      <c r="X952" s="51" t="inlineStr"/>
      <c r="Y952" s="51" t="n"/>
      <c r="AB952" s="57" t="n"/>
      <c r="AC952" s="90" t="n"/>
      <c r="AD952" s="90" t="n"/>
      <c r="AE952" s="88" t="n"/>
      <c r="AF952" s="91" t="n"/>
      <c r="AG952" s="91" t="n"/>
      <c r="AH952" s="88" t="n"/>
      <c r="AI952" s="88" t="n"/>
      <c r="AJ952" s="90" t="n"/>
      <c r="AK952" s="88" t="n"/>
      <c r="AL952" s="91" t="n"/>
      <c r="AM952" s="88" t="n"/>
      <c r="AN952" s="95" t="n"/>
      <c r="AO952" s="90" t="n"/>
      <c r="AP952" s="90" t="n"/>
    </row>
    <row r="953" ht="14.25" customHeight="1" s="84">
      <c r="A953" s="51" t="n"/>
      <c r="B953" s="47" t="n"/>
      <c r="C953" s="51" t="n"/>
      <c r="D953" s="51" t="n"/>
      <c r="E953" s="51" t="n"/>
      <c r="F953" s="51" t="n"/>
      <c r="G953" s="47" t="n"/>
      <c r="H953" s="51" t="n"/>
      <c r="I953" s="51" t="n"/>
      <c r="J953" s="51" t="n"/>
      <c r="K953" s="51" t="n"/>
      <c r="L953" s="51" t="n"/>
      <c r="N953" s="51" t="n"/>
      <c r="Q953" s="51" t="n"/>
      <c r="S953" s="51" t="n"/>
      <c r="T953" s="51" t="n"/>
      <c r="U953" s="51" t="inlineStr"/>
      <c r="V953" s="55" t="n"/>
      <c r="W953" s="51" t="inlineStr"/>
      <c r="X953" s="51" t="inlineStr"/>
      <c r="Y953" s="51" t="n"/>
      <c r="AB953" s="57" t="n"/>
      <c r="AC953" s="90" t="n"/>
      <c r="AD953" s="90" t="n"/>
      <c r="AE953" s="88" t="n"/>
      <c r="AF953" s="91" t="n"/>
      <c r="AG953" s="91" t="n"/>
      <c r="AH953" s="88" t="n"/>
      <c r="AI953" s="88" t="n"/>
      <c r="AJ953" s="90" t="n"/>
      <c r="AK953" s="88" t="n"/>
      <c r="AL953" s="91" t="n"/>
      <c r="AM953" s="88" t="n"/>
      <c r="AN953" s="95" t="n"/>
      <c r="AO953" s="90" t="n"/>
      <c r="AP953" s="90" t="n"/>
    </row>
    <row r="954" ht="14.25" customHeight="1" s="84">
      <c r="A954" s="51" t="n"/>
      <c r="B954" s="47" t="n"/>
      <c r="C954" s="51" t="n"/>
      <c r="D954" s="51" t="n"/>
      <c r="E954" s="51" t="n"/>
      <c r="F954" s="51" t="n"/>
      <c r="G954" s="47" t="n"/>
      <c r="H954" s="51" t="n"/>
      <c r="I954" s="51" t="n"/>
      <c r="J954" s="51" t="n"/>
      <c r="K954" s="51" t="n"/>
      <c r="L954" s="51" t="n"/>
      <c r="N954" s="51" t="n"/>
      <c r="Q954" s="51" t="n"/>
      <c r="S954" s="51" t="n"/>
      <c r="T954" s="51" t="n"/>
      <c r="U954" s="51" t="inlineStr"/>
      <c r="V954" s="55" t="n"/>
      <c r="W954" s="51" t="inlineStr"/>
      <c r="X954" s="51" t="inlineStr"/>
      <c r="Y954" s="51" t="n"/>
      <c r="AB954" s="57" t="n"/>
      <c r="AC954" s="90" t="n"/>
      <c r="AD954" s="90" t="n"/>
      <c r="AE954" s="88" t="n"/>
      <c r="AF954" s="91" t="n"/>
      <c r="AG954" s="91" t="n"/>
      <c r="AH954" s="88" t="n"/>
      <c r="AI954" s="88" t="n"/>
      <c r="AJ954" s="90" t="n"/>
      <c r="AK954" s="88" t="n"/>
      <c r="AL954" s="91" t="n"/>
      <c r="AM954" s="88" t="n"/>
      <c r="AN954" s="95" t="n"/>
      <c r="AO954" s="90" t="n"/>
      <c r="AP954" s="90" t="n"/>
    </row>
    <row r="955" ht="14.25" customHeight="1" s="84">
      <c r="A955" s="51" t="n"/>
      <c r="B955" s="47" t="n"/>
      <c r="C955" s="51" t="n"/>
      <c r="D955" s="51" t="n"/>
      <c r="E955" s="51" t="n"/>
      <c r="F955" s="51" t="n"/>
      <c r="G955" s="47" t="n"/>
      <c r="H955" s="51" t="n"/>
      <c r="I955" s="51" t="n"/>
      <c r="J955" s="51" t="n"/>
      <c r="K955" s="51" t="n"/>
      <c r="L955" s="51" t="n"/>
      <c r="N955" s="51" t="n"/>
      <c r="Q955" s="51" t="n"/>
      <c r="S955" s="51" t="n"/>
      <c r="T955" s="51" t="n"/>
      <c r="U955" s="51" t="inlineStr"/>
      <c r="V955" s="55" t="n"/>
      <c r="W955" s="51" t="inlineStr"/>
      <c r="X955" s="51" t="inlineStr"/>
      <c r="Y955" s="51" t="n"/>
      <c r="AB955" s="57" t="n"/>
      <c r="AC955" s="90" t="n"/>
      <c r="AD955" s="90" t="n"/>
      <c r="AE955" s="88" t="n"/>
      <c r="AF955" s="91" t="n"/>
      <c r="AG955" s="91" t="n"/>
      <c r="AH955" s="88" t="n"/>
      <c r="AI955" s="88" t="n"/>
      <c r="AJ955" s="90" t="n"/>
      <c r="AK955" s="88" t="n"/>
      <c r="AL955" s="91" t="n"/>
      <c r="AM955" s="88" t="n"/>
      <c r="AN955" s="95" t="n"/>
      <c r="AO955" s="90" t="n"/>
      <c r="AP955" s="90" t="n"/>
    </row>
    <row r="956" ht="14.25" customHeight="1" s="84">
      <c r="A956" s="51" t="n"/>
      <c r="B956" s="47" t="n"/>
      <c r="C956" s="51" t="n"/>
      <c r="D956" s="51" t="n"/>
      <c r="E956" s="51" t="n"/>
      <c r="F956" s="51" t="n"/>
      <c r="G956" s="47" t="n"/>
      <c r="H956" s="51" t="n"/>
      <c r="I956" s="51" t="n"/>
      <c r="J956" s="51" t="n"/>
      <c r="K956" s="51" t="n"/>
      <c r="L956" s="51" t="n"/>
      <c r="N956" s="51" t="n"/>
      <c r="Q956" s="51" t="n"/>
      <c r="S956" s="51" t="n"/>
      <c r="T956" s="51" t="n"/>
      <c r="U956" s="51" t="inlineStr"/>
      <c r="V956" s="55" t="n"/>
      <c r="W956" s="51" t="inlineStr"/>
      <c r="X956" s="51" t="inlineStr"/>
      <c r="Y956" s="51" t="n"/>
      <c r="AB956" s="57" t="n"/>
      <c r="AC956" s="90" t="n"/>
      <c r="AD956" s="90" t="n"/>
      <c r="AE956" s="88" t="n"/>
      <c r="AF956" s="91" t="n"/>
      <c r="AG956" s="91" t="n"/>
      <c r="AH956" s="88" t="n"/>
      <c r="AI956" s="88" t="n"/>
      <c r="AJ956" s="90" t="n"/>
      <c r="AK956" s="88" t="n"/>
      <c r="AL956" s="91" t="n"/>
      <c r="AM956" s="88" t="n"/>
      <c r="AN956" s="95" t="n"/>
      <c r="AO956" s="90" t="n"/>
      <c r="AP956" s="90" t="n"/>
    </row>
    <row r="957" ht="14.25" customHeight="1" s="84">
      <c r="A957" s="51" t="n"/>
      <c r="B957" s="47" t="n"/>
      <c r="C957" s="51" t="n"/>
      <c r="D957" s="51" t="n"/>
      <c r="E957" s="51" t="n"/>
      <c r="F957" s="51" t="n"/>
      <c r="G957" s="47" t="n"/>
      <c r="H957" s="51" t="n"/>
      <c r="I957" s="51" t="n"/>
      <c r="J957" s="51" t="n"/>
      <c r="K957" s="51" t="n"/>
      <c r="L957" s="51" t="n"/>
      <c r="N957" s="51" t="n"/>
      <c r="Q957" s="51" t="n"/>
      <c r="S957" s="51" t="n"/>
      <c r="T957" s="51" t="n"/>
      <c r="U957" s="51" t="inlineStr"/>
      <c r="V957" s="55" t="n"/>
      <c r="W957" s="51" t="inlineStr"/>
      <c r="X957" s="51" t="inlineStr"/>
      <c r="Y957" s="51" t="n"/>
      <c r="AB957" s="57" t="n"/>
      <c r="AC957" s="90" t="n"/>
      <c r="AD957" s="90" t="n"/>
      <c r="AE957" s="88" t="n"/>
      <c r="AF957" s="91" t="n"/>
      <c r="AG957" s="91" t="n"/>
      <c r="AH957" s="88" t="n"/>
      <c r="AI957" s="88" t="n"/>
      <c r="AJ957" s="90" t="n"/>
      <c r="AK957" s="88" t="n"/>
      <c r="AL957" s="91" t="n"/>
      <c r="AM957" s="88" t="n"/>
      <c r="AN957" s="95" t="n"/>
      <c r="AO957" s="90" t="n"/>
      <c r="AP957" s="90" t="n"/>
    </row>
    <row r="958" ht="14.25" customHeight="1" s="84">
      <c r="A958" s="51" t="n"/>
      <c r="B958" s="47" t="n"/>
      <c r="C958" s="51" t="n"/>
      <c r="D958" s="51" t="n"/>
      <c r="E958" s="51" t="n"/>
      <c r="F958" s="51" t="n"/>
      <c r="G958" s="47" t="n"/>
      <c r="H958" s="51" t="n"/>
      <c r="I958" s="51" t="n"/>
      <c r="J958" s="51" t="n"/>
      <c r="K958" s="51" t="n"/>
      <c r="L958" s="51" t="n"/>
      <c r="N958" s="51" t="n"/>
      <c r="Q958" s="51" t="n"/>
      <c r="S958" s="51" t="n"/>
      <c r="T958" s="51" t="n"/>
      <c r="U958" s="51" t="inlineStr"/>
      <c r="V958" s="55" t="n"/>
      <c r="W958" s="51" t="inlineStr"/>
      <c r="X958" s="51" t="inlineStr"/>
      <c r="Y958" s="51" t="n"/>
      <c r="AB958" s="57" t="n"/>
      <c r="AC958" s="90" t="n"/>
      <c r="AD958" s="90" t="n"/>
      <c r="AE958" s="88" t="n"/>
      <c r="AF958" s="91" t="n"/>
      <c r="AG958" s="91" t="n"/>
      <c r="AH958" s="88" t="n"/>
      <c r="AI958" s="88" t="n"/>
      <c r="AJ958" s="90" t="n"/>
      <c r="AK958" s="88" t="n"/>
      <c r="AL958" s="91" t="n"/>
      <c r="AM958" s="88" t="n"/>
      <c r="AN958" s="95" t="n"/>
      <c r="AO958" s="90" t="n"/>
      <c r="AP958" s="90" t="n"/>
    </row>
    <row r="959" ht="14.25" customHeight="1" s="84">
      <c r="A959" s="51" t="n"/>
      <c r="B959" s="47" t="n"/>
      <c r="C959" s="51" t="n"/>
      <c r="D959" s="51" t="n"/>
      <c r="E959" s="51" t="n"/>
      <c r="F959" s="51" t="n"/>
      <c r="G959" s="47" t="n"/>
      <c r="H959" s="51" t="n"/>
      <c r="I959" s="51" t="n"/>
      <c r="J959" s="51" t="n"/>
      <c r="K959" s="51" t="n"/>
      <c r="L959" s="51" t="n"/>
      <c r="N959" s="51" t="n"/>
      <c r="Q959" s="51" t="n"/>
      <c r="S959" s="51" t="n"/>
      <c r="T959" s="51" t="n"/>
      <c r="U959" s="51" t="inlineStr"/>
      <c r="V959" s="55" t="n"/>
      <c r="W959" s="51" t="inlineStr"/>
      <c r="X959" s="51" t="inlineStr"/>
      <c r="Y959" s="51" t="n"/>
      <c r="AB959" s="57" t="n"/>
      <c r="AC959" s="90" t="n"/>
      <c r="AD959" s="90" t="n"/>
      <c r="AE959" s="88" t="n"/>
      <c r="AF959" s="91" t="n"/>
      <c r="AG959" s="91" t="n"/>
      <c r="AH959" s="88" t="n"/>
      <c r="AI959" s="88" t="n"/>
      <c r="AJ959" s="90" t="n"/>
      <c r="AK959" s="88" t="n"/>
      <c r="AL959" s="91" t="n"/>
      <c r="AM959" s="88" t="n"/>
      <c r="AN959" s="95" t="n"/>
      <c r="AO959" s="90" t="n"/>
      <c r="AP959" s="90" t="n"/>
    </row>
    <row r="960" ht="14.25" customHeight="1" s="84">
      <c r="A960" s="51" t="n"/>
      <c r="B960" s="47" t="n"/>
      <c r="C960" s="51" t="n"/>
      <c r="D960" s="51" t="n"/>
      <c r="E960" s="51" t="n"/>
      <c r="F960" s="51" t="n"/>
      <c r="G960" s="47" t="n"/>
      <c r="H960" s="51" t="n"/>
      <c r="I960" s="51" t="n"/>
      <c r="J960" s="51" t="n"/>
      <c r="K960" s="51" t="n"/>
      <c r="L960" s="51" t="n"/>
      <c r="N960" s="51" t="n"/>
      <c r="Q960" s="51" t="n"/>
      <c r="S960" s="51" t="n"/>
      <c r="T960" s="51" t="n"/>
      <c r="U960" s="51" t="inlineStr"/>
      <c r="V960" s="55" t="n"/>
      <c r="W960" s="51" t="inlineStr"/>
      <c r="X960" s="51" t="inlineStr"/>
      <c r="Y960" s="51" t="n"/>
      <c r="AB960" s="57" t="n"/>
      <c r="AC960" s="90" t="n"/>
      <c r="AD960" s="90" t="n"/>
      <c r="AE960" s="88" t="n"/>
      <c r="AF960" s="91" t="n"/>
      <c r="AG960" s="91" t="n"/>
      <c r="AH960" s="88" t="n"/>
      <c r="AI960" s="88" t="n"/>
      <c r="AJ960" s="90" t="n"/>
      <c r="AK960" s="88" t="n"/>
      <c r="AL960" s="91" t="n"/>
      <c r="AM960" s="88" t="n"/>
      <c r="AN960" s="95" t="n"/>
      <c r="AO960" s="90" t="n"/>
      <c r="AP960" s="90" t="n"/>
    </row>
    <row r="961" ht="14.25" customHeight="1" s="84">
      <c r="A961" s="51" t="n"/>
      <c r="B961" s="47" t="n"/>
      <c r="C961" s="51" t="n"/>
      <c r="D961" s="51" t="n"/>
      <c r="E961" s="51" t="n"/>
      <c r="F961" s="51" t="n"/>
      <c r="G961" s="47" t="n"/>
      <c r="H961" s="51" t="n"/>
      <c r="I961" s="51" t="n"/>
      <c r="J961" s="51" t="n"/>
      <c r="K961" s="51" t="n"/>
      <c r="L961" s="51" t="n"/>
      <c r="N961" s="51" t="n"/>
      <c r="Q961" s="51" t="n"/>
      <c r="S961" s="51" t="n"/>
      <c r="T961" s="51" t="n"/>
      <c r="U961" s="51" t="inlineStr"/>
      <c r="V961" s="55" t="n"/>
      <c r="W961" s="51" t="inlineStr"/>
      <c r="X961" s="51" t="inlineStr"/>
      <c r="Y961" s="51" t="n"/>
      <c r="AB961" s="57" t="n"/>
      <c r="AC961" s="90" t="n"/>
      <c r="AD961" s="90" t="n"/>
      <c r="AE961" s="88" t="n"/>
      <c r="AF961" s="91" t="n"/>
      <c r="AG961" s="91" t="n"/>
      <c r="AH961" s="88" t="n"/>
      <c r="AI961" s="88" t="n"/>
      <c r="AJ961" s="90" t="n"/>
      <c r="AK961" s="88" t="n"/>
      <c r="AL961" s="91" t="n"/>
      <c r="AM961" s="88" t="n"/>
      <c r="AN961" s="95" t="n"/>
      <c r="AO961" s="90" t="n"/>
      <c r="AP961" s="90" t="n"/>
    </row>
    <row r="962" ht="14.25" customHeight="1" s="84">
      <c r="A962" s="51" t="n"/>
      <c r="B962" s="47" t="n"/>
      <c r="C962" s="51" t="n"/>
      <c r="D962" s="51" t="n"/>
      <c r="E962" s="51" t="n"/>
      <c r="F962" s="51" t="n"/>
      <c r="G962" s="47" t="n"/>
      <c r="H962" s="51" t="n"/>
      <c r="I962" s="51" t="n"/>
      <c r="J962" s="51" t="n"/>
      <c r="K962" s="51" t="n"/>
      <c r="L962" s="51" t="n"/>
      <c r="N962" s="51" t="n"/>
      <c r="Q962" s="51" t="n"/>
      <c r="S962" s="51" t="n"/>
      <c r="T962" s="51" t="n"/>
      <c r="U962" s="51" t="inlineStr"/>
      <c r="V962" s="55" t="n"/>
      <c r="W962" s="51" t="inlineStr"/>
      <c r="X962" s="51" t="inlineStr"/>
      <c r="Y962" s="51" t="n"/>
      <c r="AB962" s="57" t="n"/>
      <c r="AC962" s="90" t="n"/>
      <c r="AD962" s="90" t="n"/>
      <c r="AE962" s="88" t="n"/>
      <c r="AF962" s="91" t="n"/>
      <c r="AG962" s="91" t="n"/>
      <c r="AH962" s="88" t="n"/>
      <c r="AI962" s="88" t="n"/>
      <c r="AJ962" s="90" t="n"/>
      <c r="AK962" s="88" t="n"/>
      <c r="AL962" s="91" t="n"/>
      <c r="AM962" s="88" t="n"/>
      <c r="AN962" s="95" t="n"/>
      <c r="AO962" s="90" t="n"/>
      <c r="AP962" s="90" t="n"/>
    </row>
    <row r="963" ht="14.25" customHeight="1" s="84">
      <c r="A963" s="51" t="n"/>
      <c r="B963" s="47" t="n"/>
      <c r="C963" s="51" t="n"/>
      <c r="D963" s="51" t="n"/>
      <c r="E963" s="51" t="n"/>
      <c r="F963" s="51" t="n"/>
      <c r="G963" s="47" t="n"/>
      <c r="H963" s="51" t="n"/>
      <c r="I963" s="51" t="n"/>
      <c r="J963" s="51" t="n"/>
      <c r="K963" s="51" t="n"/>
      <c r="L963" s="51" t="n"/>
      <c r="N963" s="51" t="n"/>
      <c r="Q963" s="51" t="n"/>
      <c r="S963" s="51" t="n"/>
      <c r="T963" s="51" t="n"/>
      <c r="U963" s="51" t="inlineStr"/>
      <c r="V963" s="55" t="n"/>
      <c r="W963" s="51" t="inlineStr"/>
      <c r="X963" s="51" t="inlineStr"/>
      <c r="Y963" s="51" t="n"/>
      <c r="AB963" s="57" t="n"/>
      <c r="AC963" s="90" t="n"/>
      <c r="AD963" s="90" t="n"/>
      <c r="AE963" s="88" t="n"/>
      <c r="AF963" s="91" t="n"/>
      <c r="AG963" s="91" t="n"/>
      <c r="AH963" s="88" t="n"/>
      <c r="AI963" s="88" t="n"/>
      <c r="AJ963" s="90" t="n"/>
      <c r="AK963" s="88" t="n"/>
      <c r="AL963" s="91" t="n"/>
      <c r="AM963" s="88" t="n"/>
      <c r="AN963" s="95" t="n"/>
      <c r="AO963" s="90" t="n"/>
      <c r="AP963" s="90" t="n"/>
    </row>
    <row r="964" ht="14.25" customHeight="1" s="84">
      <c r="A964" s="51" t="n"/>
      <c r="B964" s="47" t="n"/>
      <c r="C964" s="51" t="n"/>
      <c r="D964" s="51" t="n"/>
      <c r="E964" s="51" t="n"/>
      <c r="F964" s="51" t="n"/>
      <c r="G964" s="47" t="n"/>
      <c r="H964" s="51" t="n"/>
      <c r="I964" s="51" t="n"/>
      <c r="J964" s="51" t="n"/>
      <c r="K964" s="51" t="n"/>
      <c r="L964" s="51" t="n"/>
      <c r="N964" s="51" t="n"/>
      <c r="Q964" s="51" t="n"/>
      <c r="S964" s="51" t="n"/>
      <c r="T964" s="51" t="n"/>
      <c r="U964" s="51" t="inlineStr"/>
      <c r="V964" s="55" t="n"/>
      <c r="W964" s="51" t="inlineStr"/>
      <c r="X964" s="51" t="inlineStr"/>
      <c r="Y964" s="51" t="n"/>
      <c r="AB964" s="57" t="n"/>
      <c r="AC964" s="90" t="n"/>
      <c r="AD964" s="90" t="n"/>
      <c r="AE964" s="88" t="n"/>
      <c r="AF964" s="91" t="n"/>
      <c r="AG964" s="91" t="n"/>
      <c r="AH964" s="88" t="n"/>
      <c r="AI964" s="88" t="n"/>
      <c r="AJ964" s="90" t="n"/>
      <c r="AK964" s="88" t="n"/>
      <c r="AL964" s="91" t="n"/>
      <c r="AM964" s="88" t="n"/>
      <c r="AN964" s="95" t="n"/>
      <c r="AO964" s="90" t="n"/>
      <c r="AP964" s="90" t="n"/>
    </row>
    <row r="965" ht="14.25" customHeight="1" s="84">
      <c r="A965" s="51" t="n"/>
      <c r="B965" s="47" t="n"/>
      <c r="C965" s="51" t="n"/>
      <c r="D965" s="51" t="n"/>
      <c r="E965" s="51" t="n"/>
      <c r="F965" s="51" t="n"/>
      <c r="G965" s="47" t="n"/>
      <c r="H965" s="51" t="n"/>
      <c r="I965" s="51" t="n"/>
      <c r="J965" s="51" t="n"/>
      <c r="K965" s="51" t="n"/>
      <c r="L965" s="51" t="n"/>
      <c r="N965" s="51" t="n"/>
      <c r="Q965" s="51" t="n"/>
      <c r="S965" s="51" t="n"/>
      <c r="T965" s="51" t="n"/>
      <c r="U965" s="51" t="inlineStr"/>
      <c r="V965" s="55" t="n"/>
      <c r="W965" s="51" t="inlineStr"/>
      <c r="X965" s="51" t="inlineStr"/>
      <c r="Y965" s="51" t="n"/>
      <c r="AB965" s="57" t="n"/>
      <c r="AC965" s="90" t="n"/>
      <c r="AD965" s="90" t="n"/>
      <c r="AE965" s="88" t="n"/>
      <c r="AF965" s="91" t="n"/>
      <c r="AG965" s="91" t="n"/>
      <c r="AH965" s="88" t="n"/>
      <c r="AI965" s="88" t="n"/>
      <c r="AJ965" s="90" t="n"/>
      <c r="AK965" s="88" t="n"/>
      <c r="AL965" s="91" t="n"/>
      <c r="AM965" s="88" t="n"/>
      <c r="AN965" s="95" t="n"/>
      <c r="AO965" s="90" t="n"/>
      <c r="AP965" s="90" t="n"/>
    </row>
    <row r="966" ht="14.25" customHeight="1" s="84">
      <c r="A966" s="51" t="n"/>
      <c r="B966" s="47" t="n"/>
      <c r="C966" s="51" t="n"/>
      <c r="D966" s="51" t="n"/>
      <c r="E966" s="51" t="n"/>
      <c r="F966" s="51" t="n"/>
      <c r="G966" s="47" t="n"/>
      <c r="H966" s="51" t="n"/>
      <c r="I966" s="51" t="n"/>
      <c r="J966" s="51" t="n"/>
      <c r="K966" s="51" t="n"/>
      <c r="L966" s="51" t="n"/>
      <c r="N966" s="51" t="n"/>
      <c r="Q966" s="51" t="n"/>
      <c r="S966" s="51" t="n"/>
      <c r="T966" s="51" t="n"/>
      <c r="U966" s="51" t="inlineStr"/>
      <c r="V966" s="55" t="n"/>
      <c r="W966" s="51" t="inlineStr"/>
      <c r="X966" s="51" t="inlineStr"/>
      <c r="Y966" s="51" t="n"/>
      <c r="AB966" s="57" t="n"/>
      <c r="AC966" s="90" t="n"/>
      <c r="AD966" s="90" t="n"/>
      <c r="AE966" s="88" t="n"/>
      <c r="AF966" s="91" t="n"/>
      <c r="AG966" s="91" t="n"/>
      <c r="AH966" s="88" t="n"/>
      <c r="AI966" s="88" t="n"/>
      <c r="AJ966" s="90" t="n"/>
      <c r="AK966" s="88" t="n"/>
      <c r="AL966" s="91" t="n"/>
      <c r="AM966" s="88" t="n"/>
      <c r="AN966" s="95" t="n"/>
      <c r="AO966" s="90" t="n"/>
      <c r="AP966" s="90" t="n"/>
    </row>
    <row r="967" ht="14.25" customHeight="1" s="84">
      <c r="A967" s="51" t="n"/>
      <c r="B967" s="47" t="n"/>
      <c r="C967" s="51" t="n"/>
      <c r="D967" s="51" t="n"/>
      <c r="E967" s="51" t="n"/>
      <c r="F967" s="51" t="n"/>
      <c r="G967" s="47" t="n"/>
      <c r="H967" s="51" t="n"/>
      <c r="I967" s="51" t="n"/>
      <c r="J967" s="51" t="n"/>
      <c r="K967" s="51" t="n"/>
      <c r="L967" s="51" t="n"/>
      <c r="N967" s="51" t="n"/>
      <c r="Q967" s="51" t="n"/>
      <c r="S967" s="51" t="n"/>
      <c r="T967" s="51" t="n"/>
      <c r="U967" s="51" t="inlineStr"/>
      <c r="V967" s="55" t="n"/>
      <c r="W967" s="51" t="inlineStr"/>
      <c r="X967" s="51" t="inlineStr"/>
      <c r="Y967" s="51" t="n"/>
      <c r="AB967" s="57" t="n"/>
      <c r="AC967" s="90" t="n"/>
      <c r="AD967" s="90" t="n"/>
      <c r="AE967" s="88" t="n"/>
      <c r="AF967" s="91" t="n"/>
      <c r="AG967" s="91" t="n"/>
      <c r="AH967" s="88" t="n"/>
      <c r="AI967" s="88" t="n"/>
      <c r="AJ967" s="90" t="n"/>
      <c r="AK967" s="88" t="n"/>
      <c r="AL967" s="91" t="n"/>
      <c r="AM967" s="88" t="n"/>
      <c r="AN967" s="95" t="n"/>
      <c r="AO967" s="90" t="n"/>
      <c r="AP967" s="90" t="n"/>
    </row>
    <row r="968" ht="14.25" customHeight="1" s="84">
      <c r="A968" s="51" t="n"/>
      <c r="B968" s="47" t="n"/>
      <c r="C968" s="51" t="n"/>
      <c r="D968" s="51" t="n"/>
      <c r="E968" s="51" t="n"/>
      <c r="F968" s="51" t="n"/>
      <c r="G968" s="47" t="n"/>
      <c r="H968" s="51" t="n"/>
      <c r="I968" s="51" t="n"/>
      <c r="J968" s="51" t="n"/>
      <c r="K968" s="51" t="n"/>
      <c r="L968" s="51" t="n"/>
      <c r="N968" s="51" t="n"/>
      <c r="Q968" s="51" t="n"/>
      <c r="S968" s="51" t="n"/>
      <c r="T968" s="51" t="n"/>
      <c r="U968" s="51" t="inlineStr"/>
      <c r="V968" s="55" t="n"/>
      <c r="W968" s="51" t="inlineStr"/>
      <c r="X968" s="51" t="inlineStr"/>
      <c r="Y968" s="51" t="n"/>
      <c r="AB968" s="57" t="n"/>
      <c r="AC968" s="90" t="n"/>
      <c r="AD968" s="90" t="n"/>
      <c r="AE968" s="88" t="n"/>
      <c r="AF968" s="91" t="n"/>
      <c r="AG968" s="91" t="n"/>
      <c r="AH968" s="88" t="n"/>
      <c r="AI968" s="88" t="n"/>
      <c r="AJ968" s="90" t="n"/>
      <c r="AK968" s="88" t="n"/>
      <c r="AL968" s="91" t="n"/>
      <c r="AM968" s="88" t="n"/>
      <c r="AN968" s="95" t="n"/>
      <c r="AO968" s="90" t="n"/>
      <c r="AP968" s="90" t="n"/>
    </row>
    <row r="969" ht="14.25" customHeight="1" s="84">
      <c r="A969" s="51" t="n"/>
      <c r="B969" s="47" t="n"/>
      <c r="C969" s="51" t="n"/>
      <c r="D969" s="51" t="n"/>
      <c r="E969" s="51" t="n"/>
      <c r="F969" s="51" t="n"/>
      <c r="G969" s="47" t="n"/>
      <c r="H969" s="51" t="n"/>
      <c r="I969" s="51" t="n"/>
      <c r="J969" s="51" t="n"/>
      <c r="K969" s="51" t="n"/>
      <c r="L969" s="51" t="n"/>
      <c r="N969" s="51" t="n"/>
      <c r="Q969" s="51" t="n"/>
      <c r="S969" s="51" t="n"/>
      <c r="T969" s="51" t="n"/>
      <c r="U969" s="51" t="inlineStr"/>
      <c r="V969" s="55" t="n"/>
      <c r="W969" s="51" t="inlineStr"/>
      <c r="X969" s="51" t="inlineStr"/>
      <c r="Y969" s="51" t="n"/>
      <c r="AB969" s="57" t="n"/>
      <c r="AC969" s="90" t="n"/>
      <c r="AD969" s="90" t="n"/>
      <c r="AE969" s="88" t="n"/>
      <c r="AF969" s="91" t="n"/>
      <c r="AG969" s="91" t="n"/>
      <c r="AH969" s="88" t="n"/>
      <c r="AI969" s="88" t="n"/>
      <c r="AJ969" s="90" t="n"/>
      <c r="AK969" s="88" t="n"/>
      <c r="AL969" s="91" t="n"/>
      <c r="AM969" s="88" t="n"/>
      <c r="AN969" s="95" t="n"/>
      <c r="AO969" s="90" t="n"/>
      <c r="AP969" s="90" t="n"/>
    </row>
    <row r="970" ht="14.25" customHeight="1" s="84">
      <c r="A970" s="51" t="n"/>
      <c r="B970" s="47" t="n"/>
      <c r="C970" s="51" t="n"/>
      <c r="D970" s="51" t="n"/>
      <c r="E970" s="51" t="n"/>
      <c r="F970" s="51" t="n"/>
      <c r="G970" s="47" t="n"/>
      <c r="H970" s="51" t="n"/>
      <c r="I970" s="51" t="n"/>
      <c r="J970" s="51" t="n"/>
      <c r="K970" s="51" t="n"/>
      <c r="L970" s="51" t="n"/>
      <c r="N970" s="51" t="n"/>
      <c r="Q970" s="51" t="n"/>
      <c r="S970" s="51" t="n"/>
      <c r="T970" s="51" t="n"/>
      <c r="U970" s="51" t="inlineStr"/>
      <c r="V970" s="55" t="n"/>
      <c r="W970" s="51" t="inlineStr"/>
      <c r="X970" s="51" t="inlineStr"/>
      <c r="Y970" s="51" t="n"/>
      <c r="AB970" s="57" t="n"/>
      <c r="AC970" s="90" t="n"/>
      <c r="AD970" s="90" t="n"/>
      <c r="AE970" s="88" t="n"/>
      <c r="AF970" s="91" t="n"/>
      <c r="AG970" s="91" t="n"/>
      <c r="AH970" s="88" t="n"/>
      <c r="AI970" s="88" t="n"/>
      <c r="AJ970" s="90" t="n"/>
      <c r="AK970" s="88" t="n"/>
      <c r="AL970" s="91" t="n"/>
      <c r="AM970" s="88" t="n"/>
      <c r="AN970" s="95" t="n"/>
      <c r="AO970" s="90" t="n"/>
      <c r="AP970" s="90" t="n"/>
    </row>
    <row r="971" ht="14.25" customHeight="1" s="84">
      <c r="A971" s="51" t="n"/>
      <c r="B971" s="47" t="n"/>
      <c r="C971" s="51" t="n"/>
      <c r="D971" s="51" t="n"/>
      <c r="E971" s="51" t="n"/>
      <c r="F971" s="51" t="n"/>
      <c r="G971" s="47" t="n"/>
      <c r="H971" s="51" t="n"/>
      <c r="I971" s="51" t="n"/>
      <c r="J971" s="51" t="n"/>
      <c r="K971" s="51" t="n"/>
      <c r="L971" s="51" t="n"/>
      <c r="N971" s="51" t="n"/>
      <c r="Q971" s="51" t="n"/>
      <c r="S971" s="51" t="n"/>
      <c r="T971" s="51" t="n"/>
      <c r="U971" s="51" t="inlineStr"/>
      <c r="V971" s="55" t="n"/>
      <c r="W971" s="51" t="inlineStr"/>
      <c r="X971" s="51" t="inlineStr"/>
      <c r="Y971" s="51" t="n"/>
      <c r="AB971" s="57" t="n"/>
      <c r="AC971" s="90" t="n"/>
      <c r="AD971" s="90" t="n"/>
      <c r="AE971" s="88" t="n"/>
      <c r="AF971" s="91" t="n"/>
      <c r="AG971" s="91" t="n"/>
      <c r="AH971" s="88" t="n"/>
      <c r="AI971" s="88" t="n"/>
      <c r="AJ971" s="90" t="n"/>
      <c r="AK971" s="88" t="n"/>
      <c r="AL971" s="91" t="n"/>
      <c r="AM971" s="88" t="n"/>
      <c r="AN971" s="95" t="n"/>
      <c r="AO971" s="90" t="n"/>
      <c r="AP971" s="90" t="n"/>
    </row>
    <row r="972" ht="14.25" customHeight="1" s="84">
      <c r="A972" s="51" t="n"/>
      <c r="B972" s="47" t="n"/>
      <c r="C972" s="51" t="n"/>
      <c r="D972" s="51" t="n"/>
      <c r="E972" s="51" t="n"/>
      <c r="F972" s="51" t="n"/>
      <c r="G972" s="47" t="n"/>
      <c r="H972" s="51" t="n"/>
      <c r="I972" s="51" t="n"/>
      <c r="J972" s="51" t="n"/>
      <c r="K972" s="51" t="n"/>
      <c r="L972" s="51" t="n"/>
      <c r="N972" s="51" t="n"/>
      <c r="Q972" s="51" t="n"/>
      <c r="S972" s="51" t="n"/>
      <c r="T972" s="51" t="n"/>
      <c r="U972" s="51" t="inlineStr"/>
      <c r="V972" s="55" t="n"/>
      <c r="W972" s="51" t="inlineStr"/>
      <c r="X972" s="51" t="inlineStr"/>
      <c r="Y972" s="51" t="n"/>
      <c r="AB972" s="57" t="n"/>
      <c r="AC972" s="90" t="n"/>
      <c r="AD972" s="90" t="n"/>
      <c r="AE972" s="88" t="n"/>
      <c r="AF972" s="91" t="n"/>
      <c r="AG972" s="91" t="n"/>
      <c r="AH972" s="88" t="n"/>
      <c r="AI972" s="88" t="n"/>
      <c r="AJ972" s="90" t="n"/>
      <c r="AK972" s="88" t="n"/>
      <c r="AL972" s="91" t="n"/>
      <c r="AM972" s="88" t="n"/>
      <c r="AN972" s="95" t="n"/>
      <c r="AO972" s="90" t="n"/>
      <c r="AP972" s="90" t="n"/>
    </row>
    <row r="973" ht="14.25" customHeight="1" s="84">
      <c r="A973" s="51" t="n"/>
      <c r="B973" s="47" t="n"/>
      <c r="C973" s="51" t="n"/>
      <c r="D973" s="51" t="n"/>
      <c r="E973" s="51" t="n"/>
      <c r="F973" s="51" t="n"/>
      <c r="G973" s="47" t="n"/>
      <c r="H973" s="51" t="n"/>
      <c r="I973" s="51" t="n"/>
      <c r="J973" s="51" t="n"/>
      <c r="K973" s="51" t="n"/>
      <c r="L973" s="51" t="n"/>
      <c r="N973" s="51" t="n"/>
      <c r="Q973" s="51" t="n"/>
      <c r="S973" s="51" t="n"/>
      <c r="T973" s="51" t="n"/>
      <c r="U973" s="51" t="inlineStr"/>
      <c r="V973" s="55" t="n"/>
      <c r="W973" s="51" t="inlineStr"/>
      <c r="X973" s="51" t="inlineStr"/>
      <c r="Y973" s="51" t="n"/>
      <c r="AB973" s="57" t="n"/>
      <c r="AC973" s="90" t="n"/>
      <c r="AD973" s="90" t="n"/>
      <c r="AE973" s="88" t="n"/>
      <c r="AF973" s="91" t="n"/>
      <c r="AG973" s="91" t="n"/>
      <c r="AH973" s="88" t="n"/>
      <c r="AI973" s="88" t="n"/>
      <c r="AJ973" s="90" t="n"/>
      <c r="AK973" s="88" t="n"/>
      <c r="AL973" s="91" t="n"/>
      <c r="AM973" s="88" t="n"/>
      <c r="AN973" s="95" t="n"/>
      <c r="AO973" s="90" t="n"/>
      <c r="AP973" s="90" t="n"/>
    </row>
    <row r="974" ht="14.25" customHeight="1" s="84">
      <c r="A974" s="51" t="n"/>
      <c r="B974" s="47" t="n"/>
      <c r="C974" s="51" t="n"/>
      <c r="D974" s="51" t="n"/>
      <c r="E974" s="51" t="n"/>
      <c r="F974" s="51" t="n"/>
      <c r="G974" s="47" t="n"/>
      <c r="H974" s="51" t="n"/>
      <c r="I974" s="51" t="n"/>
      <c r="J974" s="51" t="n"/>
      <c r="K974" s="51" t="n"/>
      <c r="L974" s="51" t="n"/>
      <c r="N974" s="51" t="n"/>
      <c r="Q974" s="51" t="n"/>
      <c r="S974" s="51" t="n"/>
      <c r="T974" s="51" t="n"/>
      <c r="U974" s="51" t="inlineStr"/>
      <c r="V974" s="55" t="n"/>
      <c r="W974" s="51" t="inlineStr"/>
      <c r="X974" s="51" t="inlineStr"/>
      <c r="Y974" s="51" t="n"/>
      <c r="AB974" s="57" t="n"/>
      <c r="AC974" s="90" t="n"/>
      <c r="AD974" s="90" t="n"/>
      <c r="AE974" s="88" t="n"/>
      <c r="AF974" s="91" t="n"/>
      <c r="AG974" s="91" t="n"/>
      <c r="AH974" s="88" t="n"/>
      <c r="AI974" s="88" t="n"/>
      <c r="AJ974" s="90" t="n"/>
      <c r="AK974" s="88" t="n"/>
      <c r="AL974" s="91" t="n"/>
      <c r="AM974" s="88" t="n"/>
      <c r="AN974" s="95" t="n"/>
      <c r="AO974" s="90" t="n"/>
      <c r="AP974" s="90" t="n"/>
    </row>
    <row r="975" ht="14.25" customHeight="1" s="84">
      <c r="A975" s="51" t="n"/>
      <c r="B975" s="47" t="n"/>
      <c r="C975" s="51" t="n"/>
      <c r="D975" s="51" t="n"/>
      <c r="E975" s="51" t="n"/>
      <c r="F975" s="51" t="n"/>
      <c r="G975" s="47" t="n"/>
      <c r="H975" s="51" t="n"/>
      <c r="I975" s="51" t="n"/>
      <c r="J975" s="51" t="n"/>
      <c r="K975" s="51" t="n"/>
      <c r="L975" s="51" t="n"/>
      <c r="N975" s="51" t="n"/>
      <c r="Q975" s="51" t="n"/>
      <c r="S975" s="51" t="n"/>
      <c r="T975" s="51" t="n"/>
      <c r="U975" s="51" t="inlineStr"/>
      <c r="V975" s="55" t="n"/>
      <c r="W975" s="51" t="inlineStr"/>
      <c r="X975" s="51" t="inlineStr"/>
      <c r="Y975" s="51" t="n"/>
      <c r="AB975" s="57" t="n"/>
      <c r="AC975" s="90" t="n"/>
      <c r="AD975" s="90" t="n"/>
      <c r="AE975" s="88" t="n"/>
      <c r="AF975" s="91" t="n"/>
      <c r="AG975" s="91" t="n"/>
      <c r="AH975" s="88" t="n"/>
      <c r="AI975" s="88" t="n"/>
      <c r="AJ975" s="90" t="n"/>
      <c r="AK975" s="88" t="n"/>
      <c r="AL975" s="91" t="n"/>
      <c r="AM975" s="88" t="n"/>
      <c r="AN975" s="95" t="n"/>
      <c r="AO975" s="90" t="n"/>
      <c r="AP975" s="90" t="n"/>
    </row>
    <row r="976" ht="14.25" customHeight="1" s="84">
      <c r="A976" s="51" t="n"/>
      <c r="B976" s="47" t="n"/>
      <c r="C976" s="51" t="n"/>
      <c r="D976" s="51" t="n"/>
      <c r="E976" s="51" t="n"/>
      <c r="F976" s="51" t="n"/>
      <c r="G976" s="47" t="n"/>
      <c r="H976" s="51" t="n"/>
      <c r="I976" s="51" t="n"/>
      <c r="J976" s="51" t="n"/>
      <c r="K976" s="51" t="n"/>
      <c r="L976" s="51" t="n"/>
      <c r="N976" s="51" t="n"/>
      <c r="Q976" s="51" t="n"/>
      <c r="S976" s="51" t="n"/>
      <c r="T976" s="51" t="n"/>
      <c r="U976" s="51" t="inlineStr"/>
      <c r="V976" s="55" t="n"/>
      <c r="W976" s="51" t="inlineStr"/>
      <c r="X976" s="51" t="inlineStr"/>
      <c r="Y976" s="51" t="n"/>
      <c r="AB976" s="57" t="n"/>
      <c r="AC976" s="90" t="n"/>
      <c r="AD976" s="90" t="n"/>
      <c r="AE976" s="88" t="n"/>
      <c r="AF976" s="91" t="n"/>
      <c r="AG976" s="91" t="n"/>
      <c r="AH976" s="88" t="n"/>
      <c r="AI976" s="88" t="n"/>
      <c r="AJ976" s="90" t="n"/>
      <c r="AK976" s="88" t="n"/>
      <c r="AL976" s="91" t="n"/>
      <c r="AM976" s="88" t="n"/>
      <c r="AN976" s="95" t="n"/>
      <c r="AO976" s="90" t="n"/>
      <c r="AP976" s="90" t="n"/>
    </row>
    <row r="977" ht="14.25" customHeight="1" s="84">
      <c r="A977" s="51" t="n"/>
      <c r="B977" s="47" t="n"/>
      <c r="C977" s="51" t="n"/>
      <c r="D977" s="51" t="n"/>
      <c r="E977" s="51" t="n"/>
      <c r="F977" s="51" t="n"/>
      <c r="G977" s="47" t="n"/>
      <c r="H977" s="51" t="n"/>
      <c r="I977" s="51" t="n"/>
      <c r="J977" s="51" t="n"/>
      <c r="K977" s="51" t="n"/>
      <c r="L977" s="51" t="n"/>
      <c r="N977" s="51" t="n"/>
      <c r="Q977" s="51" t="n"/>
      <c r="S977" s="51" t="n"/>
      <c r="T977" s="51" t="n"/>
      <c r="U977" s="51" t="inlineStr"/>
      <c r="V977" s="55" t="n"/>
      <c r="W977" s="51" t="inlineStr"/>
      <c r="X977" s="51" t="inlineStr"/>
      <c r="Y977" s="51" t="n"/>
      <c r="AB977" s="57" t="n"/>
      <c r="AC977" s="90" t="n"/>
      <c r="AD977" s="90" t="n"/>
      <c r="AE977" s="88" t="n"/>
      <c r="AF977" s="91" t="n"/>
      <c r="AG977" s="91" t="n"/>
      <c r="AH977" s="88" t="n"/>
      <c r="AI977" s="88" t="n"/>
      <c r="AJ977" s="90" t="n"/>
      <c r="AK977" s="88" t="n"/>
      <c r="AL977" s="91" t="n"/>
      <c r="AM977" s="88" t="n"/>
      <c r="AN977" s="95" t="n"/>
      <c r="AO977" s="90" t="n"/>
      <c r="AP977" s="90" t="n"/>
    </row>
    <row r="978" ht="14.25" customHeight="1" s="84">
      <c r="A978" s="51" t="n"/>
      <c r="B978" s="47" t="n"/>
      <c r="C978" s="51" t="n"/>
      <c r="D978" s="51" t="n"/>
      <c r="E978" s="51" t="n"/>
      <c r="F978" s="51" t="n"/>
      <c r="G978" s="47" t="n"/>
      <c r="H978" s="51" t="n"/>
      <c r="I978" s="51" t="n"/>
      <c r="J978" s="51" t="n"/>
      <c r="K978" s="51" t="n"/>
      <c r="L978" s="51" t="n"/>
      <c r="N978" s="51" t="n"/>
      <c r="Q978" s="51" t="n"/>
      <c r="S978" s="51" t="n"/>
      <c r="T978" s="51" t="n"/>
      <c r="U978" s="51" t="inlineStr"/>
      <c r="V978" s="55" t="n"/>
      <c r="W978" s="51" t="inlineStr"/>
      <c r="X978" s="51" t="inlineStr"/>
      <c r="Y978" s="51" t="n"/>
      <c r="AB978" s="57" t="n"/>
      <c r="AC978" s="90" t="n"/>
      <c r="AD978" s="90" t="n"/>
      <c r="AE978" s="88" t="n"/>
      <c r="AF978" s="91" t="n"/>
      <c r="AG978" s="91" t="n"/>
      <c r="AH978" s="88" t="n"/>
      <c r="AI978" s="88" t="n"/>
      <c r="AJ978" s="90" t="n"/>
      <c r="AK978" s="88" t="n"/>
      <c r="AL978" s="91" t="n"/>
      <c r="AM978" s="88" t="n"/>
      <c r="AN978" s="95" t="n"/>
      <c r="AO978" s="90" t="n"/>
      <c r="AP978" s="90" t="n"/>
    </row>
    <row r="979" ht="14.25" customHeight="1" s="84">
      <c r="A979" s="51" t="n"/>
      <c r="B979" s="47" t="n"/>
      <c r="C979" s="51" t="n"/>
      <c r="D979" s="51" t="n"/>
      <c r="E979" s="51" t="n"/>
      <c r="F979" s="51" t="n"/>
      <c r="G979" s="47" t="n"/>
      <c r="H979" s="51" t="n"/>
      <c r="I979" s="51" t="n"/>
      <c r="J979" s="51" t="n"/>
      <c r="K979" s="51" t="n"/>
      <c r="L979" s="51" t="n"/>
      <c r="N979" s="51" t="n"/>
      <c r="Q979" s="51" t="n"/>
      <c r="S979" s="51" t="n"/>
      <c r="T979" s="51" t="n"/>
      <c r="U979" s="51" t="inlineStr"/>
      <c r="V979" s="55" t="n"/>
      <c r="W979" s="51" t="inlineStr"/>
      <c r="X979" s="51" t="inlineStr"/>
      <c r="Y979" s="51" t="n"/>
      <c r="AB979" s="57" t="n"/>
      <c r="AC979" s="90" t="n"/>
      <c r="AD979" s="90" t="n"/>
      <c r="AE979" s="88" t="n"/>
      <c r="AF979" s="91" t="n"/>
      <c r="AG979" s="91" t="n"/>
      <c r="AH979" s="88" t="n"/>
      <c r="AI979" s="88" t="n"/>
      <c r="AJ979" s="90" t="n"/>
      <c r="AK979" s="88" t="n"/>
      <c r="AL979" s="91" t="n"/>
      <c r="AM979" s="88" t="n"/>
      <c r="AN979" s="95" t="n"/>
      <c r="AO979" s="90" t="n"/>
      <c r="AP979" s="90" t="n"/>
    </row>
    <row r="980" ht="14.25" customHeight="1" s="84">
      <c r="A980" s="51" t="n"/>
      <c r="B980" s="47" t="n"/>
      <c r="C980" s="51" t="n"/>
      <c r="D980" s="51" t="n"/>
      <c r="E980" s="51" t="n"/>
      <c r="F980" s="51" t="n"/>
      <c r="G980" s="47" t="n"/>
      <c r="H980" s="51" t="n"/>
      <c r="I980" s="51" t="n"/>
      <c r="J980" s="51" t="n"/>
      <c r="K980" s="51" t="n"/>
      <c r="L980" s="51" t="n"/>
      <c r="N980" s="51" t="n"/>
      <c r="Q980" s="51" t="n"/>
      <c r="S980" s="51" t="n"/>
      <c r="T980" s="51" t="n"/>
      <c r="U980" s="51" t="inlineStr"/>
      <c r="V980" s="55" t="n"/>
      <c r="W980" s="51" t="inlineStr"/>
      <c r="X980" s="51" t="inlineStr"/>
      <c r="Y980" s="51" t="n"/>
      <c r="AB980" s="57" t="n"/>
      <c r="AC980" s="90" t="n"/>
      <c r="AD980" s="90" t="n"/>
      <c r="AE980" s="88" t="n"/>
      <c r="AF980" s="91" t="n"/>
      <c r="AG980" s="91" t="n"/>
      <c r="AH980" s="88" t="n"/>
      <c r="AI980" s="88" t="n"/>
      <c r="AJ980" s="90" t="n"/>
      <c r="AK980" s="88" t="n"/>
      <c r="AL980" s="91" t="n"/>
      <c r="AM980" s="88" t="n"/>
      <c r="AN980" s="95" t="n"/>
      <c r="AO980" s="90" t="n"/>
      <c r="AP980" s="90" t="n"/>
    </row>
    <row r="981" ht="14.25" customHeight="1" s="84">
      <c r="A981" s="51" t="n"/>
      <c r="B981" s="47" t="n"/>
      <c r="C981" s="51" t="n"/>
      <c r="D981" s="51" t="n"/>
      <c r="E981" s="51" t="n"/>
      <c r="F981" s="51" t="n"/>
      <c r="G981" s="47" t="n"/>
      <c r="H981" s="51" t="n"/>
      <c r="I981" s="51" t="n"/>
      <c r="J981" s="51" t="n"/>
      <c r="K981" s="51" t="n"/>
      <c r="L981" s="51" t="n"/>
      <c r="N981" s="51" t="n"/>
      <c r="Q981" s="51" t="n"/>
      <c r="S981" s="51" t="n"/>
      <c r="T981" s="51" t="n"/>
      <c r="U981" s="51" t="inlineStr"/>
      <c r="V981" s="55" t="n"/>
      <c r="W981" s="51" t="inlineStr"/>
      <c r="X981" s="51" t="inlineStr"/>
      <c r="Y981" s="51" t="n"/>
      <c r="AB981" s="57" t="n"/>
      <c r="AC981" s="90" t="n"/>
      <c r="AD981" s="90" t="n"/>
      <c r="AE981" s="88" t="n"/>
      <c r="AF981" s="91" t="n"/>
      <c r="AG981" s="91" t="n"/>
      <c r="AH981" s="88" t="n"/>
      <c r="AI981" s="88" t="n"/>
      <c r="AJ981" s="90" t="n"/>
      <c r="AK981" s="88" t="n"/>
      <c r="AL981" s="91" t="n"/>
      <c r="AM981" s="88" t="n"/>
      <c r="AN981" s="95" t="n"/>
      <c r="AO981" s="90" t="n"/>
      <c r="AP981" s="90" t="n"/>
    </row>
    <row r="982" ht="14.25" customHeight="1" s="84">
      <c r="A982" s="51" t="n"/>
      <c r="B982" s="47" t="n"/>
      <c r="C982" s="51" t="n"/>
      <c r="D982" s="51" t="n"/>
      <c r="E982" s="51" t="n"/>
      <c r="F982" s="51" t="n"/>
      <c r="G982" s="47" t="n"/>
      <c r="H982" s="51" t="n"/>
      <c r="I982" s="51" t="n"/>
      <c r="J982" s="51" t="n"/>
      <c r="K982" s="51" t="n"/>
      <c r="L982" s="51" t="n"/>
      <c r="N982" s="51" t="n"/>
      <c r="Q982" s="51" t="n"/>
      <c r="S982" s="51" t="n"/>
      <c r="T982" s="51" t="n"/>
      <c r="U982" s="51" t="inlineStr"/>
      <c r="V982" s="55" t="n"/>
      <c r="W982" s="51" t="inlineStr"/>
      <c r="X982" s="51" t="inlineStr"/>
      <c r="Y982" s="51" t="n"/>
      <c r="AB982" s="57" t="n"/>
      <c r="AC982" s="90" t="n"/>
      <c r="AD982" s="90" t="n"/>
      <c r="AE982" s="88" t="n"/>
      <c r="AF982" s="91" t="n"/>
      <c r="AG982" s="91" t="n"/>
      <c r="AH982" s="88" t="n"/>
      <c r="AI982" s="88" t="n"/>
      <c r="AJ982" s="90" t="n"/>
      <c r="AK982" s="88" t="n"/>
      <c r="AL982" s="91" t="n"/>
      <c r="AM982" s="88" t="n"/>
      <c r="AN982" s="95" t="n"/>
      <c r="AO982" s="90" t="n"/>
      <c r="AP982" s="90" t="n"/>
    </row>
    <row r="983" ht="14.25" customHeight="1" s="84">
      <c r="A983" s="51" t="n"/>
      <c r="B983" s="47" t="n"/>
      <c r="C983" s="51" t="n"/>
      <c r="D983" s="51" t="n"/>
      <c r="E983" s="51" t="n"/>
      <c r="F983" s="51" t="n"/>
      <c r="G983" s="47" t="n"/>
      <c r="H983" s="51" t="n"/>
      <c r="I983" s="51" t="n"/>
      <c r="J983" s="51" t="n"/>
      <c r="K983" s="51" t="n"/>
      <c r="L983" s="51" t="n"/>
      <c r="N983" s="51" t="n"/>
      <c r="Q983" s="51" t="n"/>
      <c r="S983" s="51" t="n"/>
      <c r="T983" s="51" t="n"/>
      <c r="U983" s="51" t="inlineStr"/>
      <c r="V983" s="55" t="n"/>
      <c r="W983" s="51" t="inlineStr"/>
      <c r="X983" s="51" t="inlineStr"/>
      <c r="Y983" s="51" t="n"/>
      <c r="AB983" s="57" t="n"/>
      <c r="AC983" s="90" t="n"/>
      <c r="AD983" s="90" t="n"/>
      <c r="AE983" s="88" t="n"/>
      <c r="AF983" s="91" t="n"/>
      <c r="AG983" s="91" t="n"/>
      <c r="AH983" s="88" t="n"/>
      <c r="AI983" s="88" t="n"/>
      <c r="AJ983" s="90" t="n"/>
      <c r="AK983" s="88" t="n"/>
      <c r="AL983" s="91" t="n"/>
      <c r="AM983" s="88" t="n"/>
      <c r="AN983" s="95" t="n"/>
      <c r="AO983" s="90" t="n"/>
      <c r="AP983" s="90" t="n"/>
    </row>
    <row r="984" ht="14.25" customHeight="1" s="84">
      <c r="A984" s="51" t="n"/>
      <c r="B984" s="47" t="n"/>
      <c r="C984" s="51" t="n"/>
      <c r="D984" s="51" t="n"/>
      <c r="E984" s="51" t="n"/>
      <c r="F984" s="51" t="n"/>
      <c r="G984" s="47" t="n"/>
      <c r="H984" s="51" t="n"/>
      <c r="I984" s="51" t="n"/>
      <c r="J984" s="51" t="n"/>
      <c r="K984" s="51" t="n"/>
      <c r="L984" s="51" t="n"/>
      <c r="N984" s="51" t="n"/>
      <c r="Q984" s="51" t="n"/>
      <c r="S984" s="51" t="n"/>
      <c r="T984" s="51" t="n"/>
      <c r="U984" s="51" t="inlineStr"/>
      <c r="V984" s="55" t="n"/>
      <c r="W984" s="51" t="inlineStr"/>
      <c r="X984" s="51" t="inlineStr"/>
      <c r="Y984" s="51" t="n"/>
      <c r="AB984" s="57" t="n"/>
      <c r="AC984" s="90" t="n"/>
      <c r="AD984" s="90" t="n"/>
      <c r="AE984" s="88" t="n"/>
      <c r="AF984" s="91" t="n"/>
      <c r="AG984" s="91" t="n"/>
      <c r="AH984" s="88" t="n"/>
      <c r="AI984" s="88" t="n"/>
      <c r="AJ984" s="90" t="n"/>
      <c r="AK984" s="88" t="n"/>
      <c r="AL984" s="91" t="n"/>
      <c r="AM984" s="88" t="n"/>
      <c r="AN984" s="95" t="n"/>
      <c r="AO984" s="90" t="n"/>
      <c r="AP984" s="90" t="n"/>
    </row>
    <row r="985" ht="14.25" customHeight="1" s="84">
      <c r="A985" s="51" t="n"/>
      <c r="B985" s="47" t="n"/>
      <c r="C985" s="51" t="n"/>
      <c r="D985" s="51" t="n"/>
      <c r="E985" s="51" t="n"/>
      <c r="F985" s="51" t="n"/>
      <c r="G985" s="47" t="n"/>
      <c r="H985" s="51" t="n"/>
      <c r="I985" s="51" t="n"/>
      <c r="J985" s="51" t="n"/>
      <c r="K985" s="51" t="n"/>
      <c r="L985" s="51" t="n"/>
      <c r="N985" s="51" t="n"/>
      <c r="Q985" s="51" t="n"/>
      <c r="S985" s="51" t="n"/>
      <c r="T985" s="51" t="n"/>
      <c r="U985" s="51" t="inlineStr"/>
      <c r="V985" s="55" t="n"/>
      <c r="W985" s="51" t="inlineStr"/>
      <c r="X985" s="51" t="inlineStr"/>
      <c r="Y985" s="51" t="n"/>
      <c r="AB985" s="57" t="n"/>
      <c r="AC985" s="90" t="n"/>
      <c r="AD985" s="90" t="n"/>
      <c r="AE985" s="88" t="n"/>
      <c r="AF985" s="91" t="n"/>
      <c r="AG985" s="91" t="n"/>
      <c r="AH985" s="88" t="n"/>
      <c r="AI985" s="88" t="n"/>
      <c r="AJ985" s="90" t="n"/>
      <c r="AK985" s="88" t="n"/>
      <c r="AL985" s="91" t="n"/>
      <c r="AM985" s="88" t="n"/>
      <c r="AN985" s="95" t="n"/>
      <c r="AO985" s="90" t="n"/>
      <c r="AP985" s="90" t="n"/>
    </row>
    <row r="986" ht="14.25" customHeight="1" s="84">
      <c r="A986" s="51" t="n"/>
      <c r="B986" s="47" t="n"/>
      <c r="C986" s="51" t="n"/>
      <c r="D986" s="51" t="n"/>
      <c r="E986" s="51" t="n"/>
      <c r="F986" s="51" t="n"/>
      <c r="G986" s="47" t="n"/>
      <c r="H986" s="51" t="n"/>
      <c r="I986" s="51" t="n"/>
      <c r="J986" s="51" t="n"/>
      <c r="K986" s="51" t="n"/>
      <c r="L986" s="51" t="n"/>
      <c r="N986" s="51" t="n"/>
      <c r="Q986" s="51" t="n"/>
      <c r="S986" s="51" t="n"/>
      <c r="T986" s="51" t="n"/>
      <c r="U986" s="51" t="inlineStr"/>
      <c r="V986" s="55" t="n"/>
      <c r="W986" s="51" t="inlineStr"/>
      <c r="X986" s="51" t="inlineStr"/>
      <c r="Y986" s="51" t="n"/>
      <c r="AB986" s="57" t="n"/>
      <c r="AC986" s="90" t="n"/>
      <c r="AD986" s="90" t="n"/>
      <c r="AE986" s="88" t="n"/>
      <c r="AF986" s="91" t="n"/>
      <c r="AG986" s="91" t="n"/>
      <c r="AH986" s="88" t="n"/>
      <c r="AI986" s="88" t="n"/>
      <c r="AJ986" s="90" t="n"/>
      <c r="AK986" s="88" t="n"/>
      <c r="AL986" s="91" t="n"/>
      <c r="AM986" s="88" t="n"/>
      <c r="AN986" s="95" t="n"/>
      <c r="AO986" s="90" t="n"/>
      <c r="AP986" s="90" t="n"/>
    </row>
    <row r="987" ht="14.25" customHeight="1" s="84">
      <c r="A987" s="51" t="n"/>
      <c r="B987" s="47" t="n"/>
      <c r="C987" s="51" t="n"/>
      <c r="D987" s="51" t="n"/>
      <c r="E987" s="51" t="n"/>
      <c r="F987" s="51" t="n"/>
      <c r="G987" s="47" t="n"/>
      <c r="H987" s="51" t="n"/>
      <c r="I987" s="51" t="n"/>
      <c r="J987" s="51" t="n"/>
      <c r="K987" s="51" t="n"/>
      <c r="L987" s="51" t="n"/>
      <c r="N987" s="51" t="n"/>
      <c r="Q987" s="51" t="n"/>
      <c r="S987" s="51" t="n"/>
      <c r="T987" s="51" t="n"/>
      <c r="U987" s="51" t="inlineStr"/>
      <c r="V987" s="55" t="n"/>
      <c r="W987" s="51" t="inlineStr"/>
      <c r="X987" s="51" t="inlineStr"/>
      <c r="Y987" s="51" t="n"/>
      <c r="AB987" s="57" t="n"/>
      <c r="AC987" s="90" t="n"/>
      <c r="AD987" s="90" t="n"/>
      <c r="AE987" s="88" t="n"/>
      <c r="AF987" s="91" t="n"/>
      <c r="AG987" s="91" t="n"/>
      <c r="AH987" s="88" t="n"/>
      <c r="AI987" s="88" t="n"/>
      <c r="AJ987" s="90" t="n"/>
      <c r="AK987" s="88" t="n"/>
      <c r="AL987" s="91" t="n"/>
      <c r="AM987" s="88" t="n"/>
      <c r="AN987" s="95" t="n"/>
      <c r="AO987" s="90" t="n"/>
      <c r="AP987" s="90" t="n"/>
    </row>
    <row r="988" ht="14.25" customHeight="1" s="84">
      <c r="A988" s="51" t="n"/>
      <c r="B988" s="47" t="n"/>
      <c r="C988" s="51" t="n"/>
      <c r="D988" s="51" t="n"/>
      <c r="E988" s="51" t="n"/>
      <c r="F988" s="51" t="n"/>
      <c r="G988" s="47" t="n"/>
      <c r="H988" s="51" t="n"/>
      <c r="I988" s="51" t="n"/>
      <c r="J988" s="51" t="n"/>
      <c r="K988" s="51" t="n"/>
      <c r="L988" s="51" t="n"/>
      <c r="N988" s="51" t="n"/>
      <c r="Q988" s="51" t="n"/>
      <c r="S988" s="51" t="n"/>
      <c r="T988" s="51" t="n"/>
      <c r="U988" s="51" t="inlineStr"/>
      <c r="V988" s="55" t="n"/>
      <c r="W988" s="51" t="inlineStr"/>
      <c r="X988" s="51" t="inlineStr"/>
      <c r="Y988" s="51" t="n"/>
      <c r="AB988" s="57" t="n"/>
      <c r="AC988" s="90" t="n"/>
      <c r="AD988" s="90" t="n"/>
      <c r="AE988" s="88" t="n"/>
      <c r="AF988" s="91" t="n"/>
      <c r="AG988" s="91" t="n"/>
      <c r="AH988" s="88" t="n"/>
      <c r="AI988" s="88" t="n"/>
      <c r="AJ988" s="90" t="n"/>
      <c r="AK988" s="88" t="n"/>
      <c r="AL988" s="91" t="n"/>
      <c r="AM988" s="88" t="n"/>
      <c r="AN988" s="95" t="n"/>
      <c r="AO988" s="90" t="n"/>
      <c r="AP988" s="90" t="n"/>
    </row>
    <row r="989" ht="14.25" customHeight="1" s="84">
      <c r="A989" s="51" t="n"/>
      <c r="B989" s="47" t="n"/>
      <c r="C989" s="51" t="n"/>
      <c r="D989" s="51" t="n"/>
      <c r="E989" s="51" t="n"/>
      <c r="F989" s="51" t="n"/>
      <c r="G989" s="47" t="n"/>
      <c r="H989" s="51" t="n"/>
      <c r="I989" s="51" t="n"/>
      <c r="J989" s="51" t="n"/>
      <c r="K989" s="51" t="n"/>
      <c r="L989" s="51" t="n"/>
      <c r="N989" s="51" t="n"/>
      <c r="Q989" s="51" t="n"/>
      <c r="S989" s="51" t="n"/>
      <c r="T989" s="51" t="n"/>
      <c r="U989" s="51" t="inlineStr"/>
      <c r="V989" s="55" t="n"/>
      <c r="W989" s="51" t="inlineStr"/>
      <c r="X989" s="51" t="inlineStr"/>
      <c r="Y989" s="51" t="n"/>
      <c r="AB989" s="57" t="n"/>
      <c r="AC989" s="90" t="n"/>
      <c r="AD989" s="90" t="n"/>
      <c r="AE989" s="88" t="n"/>
      <c r="AF989" s="91" t="n"/>
      <c r="AG989" s="91" t="n"/>
      <c r="AH989" s="88" t="n"/>
      <c r="AI989" s="88" t="n"/>
      <c r="AJ989" s="90" t="n"/>
      <c r="AK989" s="88" t="n"/>
      <c r="AL989" s="91" t="n"/>
      <c r="AM989" s="88" t="n"/>
      <c r="AN989" s="95" t="n"/>
      <c r="AO989" s="90" t="n"/>
      <c r="AP989" s="90" t="n"/>
    </row>
    <row r="990" ht="14.25" customHeight="1" s="84">
      <c r="A990" s="51" t="n"/>
      <c r="B990" s="47" t="n"/>
      <c r="C990" s="51" t="n"/>
      <c r="D990" s="51" t="n"/>
      <c r="E990" s="51" t="n"/>
      <c r="F990" s="51" t="n"/>
      <c r="G990" s="47" t="n"/>
      <c r="H990" s="51" t="n"/>
      <c r="I990" s="51" t="n"/>
      <c r="J990" s="51" t="n"/>
      <c r="K990" s="51" t="n"/>
      <c r="L990" s="51" t="n"/>
      <c r="N990" s="51" t="n"/>
      <c r="Q990" s="51" t="n"/>
      <c r="S990" s="51" t="n"/>
      <c r="T990" s="51" t="n"/>
      <c r="U990" s="51" t="inlineStr"/>
      <c r="V990" s="55" t="n"/>
      <c r="W990" s="51" t="inlineStr"/>
      <c r="X990" s="51" t="inlineStr"/>
      <c r="Y990" s="51" t="n"/>
      <c r="AB990" s="57" t="n"/>
      <c r="AC990" s="90" t="n"/>
      <c r="AD990" s="90" t="n"/>
      <c r="AE990" s="88" t="n"/>
      <c r="AF990" s="91" t="n"/>
      <c r="AG990" s="91" t="n"/>
      <c r="AH990" s="88" t="n"/>
      <c r="AI990" s="88" t="n"/>
      <c r="AJ990" s="90" t="n"/>
      <c r="AK990" s="88" t="n"/>
      <c r="AL990" s="91" t="n"/>
      <c r="AM990" s="88" t="n"/>
      <c r="AN990" s="95" t="n"/>
      <c r="AO990" s="90" t="n"/>
      <c r="AP990" s="90" t="n"/>
    </row>
    <row r="991" ht="14.25" customHeight="1" s="84">
      <c r="A991" s="51" t="n"/>
      <c r="B991" s="47" t="n"/>
      <c r="C991" s="51" t="n"/>
      <c r="D991" s="51" t="n"/>
      <c r="E991" s="51" t="n"/>
      <c r="F991" s="51" t="n"/>
      <c r="G991" s="47" t="n"/>
      <c r="H991" s="51" t="n"/>
      <c r="I991" s="51" t="n"/>
      <c r="J991" s="51" t="n"/>
      <c r="K991" s="51" t="n"/>
      <c r="L991" s="51" t="n"/>
      <c r="N991" s="51" t="n"/>
      <c r="Q991" s="51" t="n"/>
      <c r="S991" s="51" t="n"/>
      <c r="T991" s="51" t="n"/>
      <c r="U991" s="51" t="inlineStr"/>
      <c r="V991" s="55" t="n"/>
      <c r="W991" s="51" t="inlineStr"/>
      <c r="X991" s="51" t="inlineStr"/>
      <c r="Y991" s="51" t="n"/>
      <c r="AB991" s="57" t="n"/>
      <c r="AC991" s="90" t="n"/>
      <c r="AD991" s="90" t="n"/>
      <c r="AE991" s="88" t="n"/>
      <c r="AF991" s="91" t="n"/>
      <c r="AG991" s="91" t="n"/>
      <c r="AH991" s="88" t="n"/>
      <c r="AI991" s="88" t="n"/>
      <c r="AJ991" s="90" t="n"/>
      <c r="AK991" s="88" t="n"/>
      <c r="AL991" s="91" t="n"/>
      <c r="AM991" s="88" t="n"/>
      <c r="AN991" s="95" t="n"/>
      <c r="AO991" s="90" t="n"/>
      <c r="AP991" s="90" t="n"/>
    </row>
    <row r="992" ht="14.25" customHeight="1" s="84">
      <c r="A992" s="51" t="n"/>
      <c r="B992" s="47" t="n"/>
      <c r="C992" s="51" t="n"/>
      <c r="D992" s="51" t="n"/>
      <c r="E992" s="51" t="n"/>
      <c r="F992" s="51" t="n"/>
      <c r="G992" s="47" t="n"/>
      <c r="H992" s="51" t="n"/>
      <c r="I992" s="51" t="n"/>
      <c r="J992" s="51" t="n"/>
      <c r="K992" s="51" t="n"/>
      <c r="L992" s="51" t="n"/>
      <c r="N992" s="51" t="n"/>
      <c r="Q992" s="51" t="n"/>
      <c r="S992" s="51" t="n"/>
      <c r="T992" s="51" t="n"/>
      <c r="U992" s="51" t="inlineStr"/>
      <c r="V992" s="55" t="n"/>
      <c r="W992" s="51" t="inlineStr"/>
      <c r="X992" s="51" t="inlineStr"/>
      <c r="Y992" s="51" t="n"/>
      <c r="AB992" s="57" t="n"/>
      <c r="AC992" s="90" t="n"/>
      <c r="AD992" s="90" t="n"/>
      <c r="AE992" s="88" t="n"/>
      <c r="AF992" s="91" t="n"/>
      <c r="AG992" s="91" t="n"/>
      <c r="AH992" s="88" t="n"/>
      <c r="AI992" s="88" t="n"/>
      <c r="AJ992" s="90" t="n"/>
      <c r="AK992" s="88" t="n"/>
      <c r="AL992" s="91" t="n"/>
      <c r="AM992" s="88" t="n"/>
      <c r="AN992" s="95" t="n"/>
      <c r="AO992" s="90" t="n"/>
      <c r="AP992" s="90" t="n"/>
    </row>
    <row r="993" ht="14.25" customHeight="1" s="84">
      <c r="A993" s="51" t="n"/>
      <c r="B993" s="47" t="n"/>
      <c r="C993" s="51" t="n"/>
      <c r="D993" s="51" t="n"/>
      <c r="E993" s="51" t="n"/>
      <c r="F993" s="51" t="n"/>
      <c r="G993" s="47" t="n"/>
      <c r="H993" s="51" t="n"/>
      <c r="I993" s="51" t="n"/>
      <c r="J993" s="51" t="n"/>
      <c r="K993" s="51" t="n"/>
      <c r="L993" s="51" t="n"/>
      <c r="N993" s="51" t="n"/>
      <c r="Q993" s="51" t="n"/>
      <c r="S993" s="51" t="n"/>
      <c r="T993" s="51" t="n"/>
      <c r="U993" s="51" t="inlineStr"/>
      <c r="V993" s="55" t="n"/>
      <c r="W993" s="51" t="inlineStr"/>
      <c r="X993" s="51" t="inlineStr"/>
      <c r="Y993" s="51" t="n"/>
      <c r="AB993" s="57" t="n"/>
      <c r="AC993" s="90" t="n"/>
      <c r="AD993" s="90" t="n"/>
      <c r="AE993" s="88" t="n"/>
      <c r="AF993" s="91" t="n"/>
      <c r="AG993" s="91" t="n"/>
      <c r="AH993" s="88" t="n"/>
      <c r="AI993" s="88" t="n"/>
      <c r="AJ993" s="90" t="n"/>
      <c r="AK993" s="88" t="n"/>
      <c r="AL993" s="91" t="n"/>
      <c r="AM993" s="88" t="n"/>
      <c r="AN993" s="95" t="n"/>
      <c r="AO993" s="90" t="n"/>
      <c r="AP993" s="90" t="n"/>
    </row>
    <row r="994" ht="14.25" customHeight="1" s="84">
      <c r="A994" s="51" t="n"/>
      <c r="B994" s="47" t="n"/>
      <c r="C994" s="51" t="n"/>
      <c r="D994" s="51" t="n"/>
      <c r="E994" s="51" t="n"/>
      <c r="F994" s="51" t="n"/>
      <c r="G994" s="47" t="n"/>
      <c r="H994" s="51" t="n"/>
      <c r="I994" s="51" t="n"/>
      <c r="J994" s="51" t="n"/>
      <c r="K994" s="51" t="n"/>
      <c r="L994" s="51" t="n"/>
      <c r="N994" s="51" t="n"/>
      <c r="Q994" s="51" t="n"/>
      <c r="S994" s="51" t="n"/>
      <c r="T994" s="51" t="n"/>
      <c r="U994" s="51" t="inlineStr"/>
      <c r="V994" s="55" t="n"/>
      <c r="W994" s="51" t="inlineStr"/>
      <c r="X994" s="51" t="inlineStr"/>
      <c r="Y994" s="51" t="n"/>
      <c r="AB994" s="57" t="n"/>
      <c r="AC994" s="90" t="n"/>
      <c r="AD994" s="90" t="n"/>
      <c r="AE994" s="88" t="n"/>
      <c r="AF994" s="91" t="n"/>
      <c r="AG994" s="91" t="n"/>
      <c r="AH994" s="88" t="n"/>
      <c r="AI994" s="88" t="n"/>
      <c r="AJ994" s="90" t="n"/>
      <c r="AK994" s="88" t="n"/>
      <c r="AL994" s="91" t="n"/>
      <c r="AM994" s="88" t="n"/>
      <c r="AN994" s="95" t="n"/>
      <c r="AO994" s="90" t="n"/>
      <c r="AP994" s="90" t="n"/>
    </row>
    <row r="995" ht="14.25" customHeight="1" s="84">
      <c r="A995" s="51" t="n"/>
      <c r="B995" s="47" t="n"/>
      <c r="C995" s="51" t="n"/>
      <c r="D995" s="51" t="n"/>
      <c r="E995" s="51" t="n"/>
      <c r="F995" s="51" t="n"/>
      <c r="G995" s="47" t="n"/>
      <c r="H995" s="51" t="n"/>
      <c r="I995" s="51" t="n"/>
      <c r="J995" s="51" t="n"/>
      <c r="K995" s="51" t="n"/>
      <c r="L995" s="51" t="n"/>
      <c r="N995" s="51" t="n"/>
      <c r="Q995" s="51" t="n"/>
      <c r="S995" s="51" t="n"/>
      <c r="T995" s="51" t="n"/>
      <c r="U995" s="51" t="inlineStr"/>
      <c r="V995" s="55" t="n"/>
      <c r="W995" s="51" t="inlineStr"/>
      <c r="X995" s="51" t="inlineStr"/>
      <c r="Y995" s="51" t="n"/>
      <c r="AB995" s="57" t="n"/>
      <c r="AC995" s="90" t="n"/>
      <c r="AD995" s="90" t="n"/>
      <c r="AE995" s="88" t="n"/>
      <c r="AF995" s="91" t="n"/>
      <c r="AG995" s="91" t="n"/>
      <c r="AH995" s="88" t="n"/>
      <c r="AI995" s="88" t="n"/>
      <c r="AJ995" s="90" t="n"/>
      <c r="AK995" s="88" t="n"/>
      <c r="AL995" s="91" t="n"/>
      <c r="AM995" s="88" t="n"/>
      <c r="AN995" s="95" t="n"/>
      <c r="AO995" s="90" t="n"/>
      <c r="AP995" s="90" t="n"/>
    </row>
    <row r="996" ht="14.25" customHeight="1" s="84">
      <c r="A996" s="51" t="n"/>
      <c r="B996" s="47" t="n"/>
      <c r="C996" s="51" t="n"/>
      <c r="D996" s="51" t="n"/>
      <c r="E996" s="51" t="n"/>
      <c r="F996" s="51" t="n"/>
      <c r="G996" s="47" t="n"/>
      <c r="H996" s="51" t="n"/>
      <c r="I996" s="51" t="n"/>
      <c r="J996" s="51" t="n"/>
      <c r="K996" s="51" t="n"/>
      <c r="L996" s="51" t="n"/>
      <c r="N996" s="51" t="n"/>
      <c r="Q996" s="51" t="n"/>
      <c r="S996" s="51" t="n"/>
      <c r="T996" s="51" t="n"/>
      <c r="U996" s="51" t="inlineStr"/>
      <c r="V996" s="55" t="n"/>
      <c r="W996" s="51" t="inlineStr"/>
      <c r="X996" s="51" t="inlineStr"/>
      <c r="Y996" s="51" t="n"/>
      <c r="AB996" s="57" t="n"/>
      <c r="AC996" s="90" t="n"/>
      <c r="AD996" s="90" t="n"/>
      <c r="AE996" s="88" t="n"/>
      <c r="AF996" s="91" t="n"/>
      <c r="AG996" s="91" t="n"/>
      <c r="AH996" s="88" t="n"/>
      <c r="AI996" s="88" t="n"/>
      <c r="AJ996" s="90" t="n"/>
      <c r="AK996" s="88" t="n"/>
      <c r="AL996" s="91" t="n"/>
      <c r="AM996" s="88" t="n"/>
      <c r="AN996" s="95" t="n"/>
      <c r="AO996" s="90" t="n"/>
      <c r="AP996" s="90" t="n"/>
    </row>
    <row r="997" ht="14.25" customHeight="1" s="84">
      <c r="A997" s="51" t="n"/>
      <c r="B997" s="47" t="n"/>
      <c r="C997" s="51" t="n"/>
      <c r="D997" s="51" t="n"/>
      <c r="E997" s="51" t="n"/>
      <c r="F997" s="51" t="n"/>
      <c r="G997" s="47" t="n"/>
      <c r="H997" s="51" t="n"/>
      <c r="I997" s="51" t="n"/>
      <c r="J997" s="51" t="n"/>
      <c r="K997" s="51" t="n"/>
      <c r="L997" s="51" t="n"/>
      <c r="N997" s="51" t="n"/>
      <c r="Q997" s="51" t="n"/>
      <c r="S997" s="51" t="n"/>
      <c r="T997" s="51" t="n"/>
      <c r="U997" s="51" t="inlineStr"/>
      <c r="V997" s="55" t="n"/>
      <c r="W997" s="51" t="inlineStr"/>
      <c r="X997" s="51" t="inlineStr"/>
      <c r="Y997" s="51" t="n"/>
      <c r="AB997" s="57" t="n"/>
      <c r="AC997" s="90" t="n"/>
      <c r="AD997" s="90" t="n"/>
      <c r="AE997" s="88" t="n"/>
      <c r="AF997" s="91" t="n"/>
      <c r="AG997" s="91" t="n"/>
      <c r="AH997" s="88" t="n"/>
      <c r="AI997" s="88" t="n"/>
      <c r="AJ997" s="90" t="n"/>
      <c r="AK997" s="88" t="n"/>
      <c r="AL997" s="91" t="n"/>
      <c r="AM997" s="88" t="n"/>
      <c r="AN997" s="95" t="n"/>
      <c r="AO997" s="90" t="n"/>
      <c r="AP997" s="90" t="n"/>
    </row>
    <row r="998" ht="14.25" customHeight="1" s="84">
      <c r="A998" s="51" t="n"/>
      <c r="B998" s="47" t="n"/>
      <c r="C998" s="51" t="n"/>
      <c r="D998" s="51" t="n"/>
      <c r="E998" s="51" t="n"/>
      <c r="F998" s="51" t="n"/>
      <c r="G998" s="47" t="n"/>
      <c r="H998" s="51" t="n"/>
      <c r="I998" s="51" t="n"/>
      <c r="J998" s="51" t="n"/>
      <c r="K998" s="51" t="n"/>
      <c r="L998" s="51" t="n"/>
      <c r="N998" s="51" t="n"/>
      <c r="Q998" s="51" t="n"/>
      <c r="S998" s="51" t="n"/>
      <c r="T998" s="51" t="n"/>
      <c r="U998" s="51" t="inlineStr"/>
      <c r="V998" s="55" t="n"/>
      <c r="W998" s="51" t="inlineStr"/>
      <c r="X998" s="51" t="inlineStr"/>
      <c r="Y998" s="51" t="n"/>
      <c r="AB998" s="57" t="n"/>
      <c r="AC998" s="90" t="n"/>
      <c r="AD998" s="90" t="n"/>
      <c r="AE998" s="88" t="n"/>
      <c r="AF998" s="91" t="n"/>
      <c r="AG998" s="91" t="n"/>
      <c r="AH998" s="88" t="n"/>
      <c r="AI998" s="88" t="n"/>
      <c r="AJ998" s="90" t="n"/>
      <c r="AK998" s="88" t="n"/>
      <c r="AL998" s="91" t="n"/>
      <c r="AM998" s="88" t="n"/>
      <c r="AN998" s="95" t="n"/>
      <c r="AO998" s="90" t="n"/>
      <c r="AP998" s="90" t="n"/>
    </row>
    <row r="999" ht="14.25" customHeight="1" s="84">
      <c r="A999" s="51" t="n"/>
      <c r="B999" s="47" t="n"/>
      <c r="C999" s="51" t="n"/>
      <c r="D999" s="51" t="n"/>
      <c r="E999" s="51" t="n"/>
      <c r="F999" s="51" t="n"/>
      <c r="G999" s="47" t="n"/>
      <c r="H999" s="51" t="n"/>
      <c r="I999" s="51" t="n"/>
      <c r="J999" s="51" t="n"/>
      <c r="K999" s="51" t="n"/>
      <c r="L999" s="51" t="n"/>
      <c r="N999" s="51" t="n"/>
      <c r="Q999" s="51" t="n"/>
      <c r="S999" s="51" t="n"/>
      <c r="T999" s="51" t="n"/>
      <c r="U999" s="51" t="inlineStr"/>
      <c r="V999" s="55" t="n"/>
      <c r="W999" s="51" t="inlineStr"/>
      <c r="X999" s="51" t="inlineStr"/>
      <c r="Y999" s="51" t="n"/>
      <c r="AB999" s="57" t="n"/>
      <c r="AC999" s="90" t="n"/>
      <c r="AD999" s="90" t="n"/>
      <c r="AE999" s="88" t="n"/>
      <c r="AF999" s="91" t="n"/>
      <c r="AG999" s="91" t="n"/>
      <c r="AH999" s="88" t="n"/>
      <c r="AI999" s="88" t="n"/>
      <c r="AJ999" s="90" t="n"/>
      <c r="AK999" s="88" t="n"/>
      <c r="AL999" s="91" t="n"/>
      <c r="AM999" s="88" t="n"/>
      <c r="AN999" s="95" t="n"/>
      <c r="AO999" s="90" t="n"/>
      <c r="AP999" s="90" t="n"/>
    </row>
    <row r="1000" ht="14.25" customHeight="1" s="84">
      <c r="A1000" s="51" t="n"/>
      <c r="B1000" s="47" t="n"/>
      <c r="C1000" s="51" t="n"/>
      <c r="D1000" s="51" t="n"/>
      <c r="E1000" s="51" t="n"/>
      <c r="F1000" s="51" t="n"/>
      <c r="G1000" s="47" t="n"/>
      <c r="H1000" s="51" t="n"/>
      <c r="I1000" s="51" t="n"/>
      <c r="J1000" s="51" t="n"/>
      <c r="K1000" s="51" t="n"/>
      <c r="L1000" s="51" t="n"/>
      <c r="N1000" s="51" t="n"/>
      <c r="Q1000" s="51" t="n"/>
      <c r="S1000" s="51" t="n"/>
      <c r="T1000" s="51" t="n"/>
      <c r="U1000" s="51" t="inlineStr"/>
      <c r="V1000" s="55" t="n"/>
      <c r="W1000" s="51" t="inlineStr"/>
      <c r="X1000" s="51" t="inlineStr"/>
      <c r="Y1000" s="51" t="n"/>
      <c r="AB1000" s="57" t="n"/>
      <c r="AC1000" s="90" t="n"/>
      <c r="AD1000" s="90" t="n"/>
      <c r="AE1000" s="88" t="n"/>
      <c r="AF1000" s="91" t="n"/>
      <c r="AG1000" s="91" t="n"/>
      <c r="AH1000" s="88" t="n"/>
      <c r="AI1000" s="88" t="n"/>
      <c r="AJ1000" s="90" t="n"/>
      <c r="AK1000" s="88" t="n"/>
      <c r="AL1000" s="91" t="n"/>
      <c r="AM1000" s="88" t="n"/>
      <c r="AN1000" s="95" t="n"/>
      <c r="AO1000" s="90" t="n"/>
      <c r="AP1000" s="90" t="n"/>
    </row>
    <row r="1001" ht="14.25" customHeight="1" s="84">
      <c r="A1001" s="51" t="n"/>
      <c r="B1001" s="47" t="n"/>
      <c r="C1001" s="51" t="n"/>
      <c r="D1001" s="51" t="n"/>
      <c r="E1001" s="51" t="n"/>
      <c r="F1001" s="51" t="n"/>
      <c r="G1001" s="47" t="n"/>
      <c r="H1001" s="51" t="n"/>
      <c r="I1001" s="51" t="n"/>
      <c r="J1001" s="51" t="n"/>
      <c r="K1001" s="51" t="n"/>
      <c r="L1001" s="51" t="n"/>
      <c r="N1001" s="51" t="n"/>
      <c r="Q1001" s="51" t="n"/>
      <c r="S1001" s="51" t="n"/>
      <c r="T1001" s="51" t="n"/>
      <c r="U1001" s="51" t="inlineStr"/>
      <c r="V1001" s="55" t="n"/>
      <c r="W1001" s="51" t="inlineStr"/>
      <c r="X1001" s="51" t="inlineStr"/>
      <c r="Y1001" s="51" t="n"/>
      <c r="AB1001" s="57" t="n"/>
      <c r="AC1001" s="90" t="n"/>
      <c r="AD1001" s="90" t="n"/>
      <c r="AE1001" s="88" t="n"/>
      <c r="AF1001" s="91" t="n"/>
      <c r="AG1001" s="91" t="n"/>
      <c r="AH1001" s="88" t="n"/>
      <c r="AI1001" s="88" t="n"/>
      <c r="AJ1001" s="90" t="n"/>
      <c r="AK1001" s="88" t="n"/>
      <c r="AL1001" s="91" t="n"/>
      <c r="AM1001" s="88" t="n"/>
      <c r="AN1001" s="95" t="n"/>
      <c r="AO1001" s="90" t="n"/>
      <c r="AP1001" s="90" t="n"/>
    </row>
    <row r="1002" ht="14.25" customHeight="1" s="84">
      <c r="A1002" s="51" t="n"/>
      <c r="B1002" s="47" t="n"/>
      <c r="C1002" s="51" t="n"/>
      <c r="D1002" s="51" t="n"/>
      <c r="E1002" s="51" t="n"/>
      <c r="F1002" s="51" t="n"/>
      <c r="G1002" s="47" t="n"/>
      <c r="H1002" s="51" t="n"/>
      <c r="I1002" s="51" t="n"/>
      <c r="J1002" s="51" t="n"/>
      <c r="K1002" s="51" t="n"/>
      <c r="L1002" s="51" t="n"/>
      <c r="N1002" s="51" t="n"/>
      <c r="Q1002" s="51" t="n"/>
      <c r="S1002" s="51" t="n"/>
      <c r="T1002" s="51" t="n"/>
      <c r="U1002" s="51" t="inlineStr"/>
      <c r="V1002" s="55" t="n"/>
      <c r="W1002" s="51" t="inlineStr"/>
      <c r="X1002" s="51" t="inlineStr"/>
      <c r="Y1002" s="51" t="n"/>
      <c r="AB1002" s="57" t="n"/>
      <c r="AC1002" s="90" t="n"/>
      <c r="AD1002" s="90" t="n"/>
      <c r="AE1002" s="88" t="n"/>
      <c r="AF1002" s="91" t="n"/>
      <c r="AG1002" s="91" t="n"/>
      <c r="AH1002" s="88" t="n"/>
      <c r="AI1002" s="88" t="n"/>
      <c r="AJ1002" s="90" t="n"/>
      <c r="AK1002" s="88" t="n"/>
      <c r="AL1002" s="91" t="n"/>
      <c r="AM1002" s="88" t="n"/>
      <c r="AN1002" s="95" t="n"/>
      <c r="AO1002" s="90" t="n"/>
      <c r="AP1002" s="90" t="n"/>
    </row>
    <row r="1003" ht="14.25" customHeight="1" s="84">
      <c r="A1003" s="51" t="n"/>
      <c r="B1003" s="47" t="n"/>
      <c r="C1003" s="51" t="n"/>
      <c r="D1003" s="51" t="n"/>
      <c r="E1003" s="51" t="n"/>
      <c r="F1003" s="51" t="n"/>
      <c r="G1003" s="47" t="n"/>
      <c r="H1003" s="51" t="n"/>
      <c r="I1003" s="51" t="n"/>
      <c r="J1003" s="51" t="n"/>
      <c r="K1003" s="51" t="n"/>
      <c r="L1003" s="51" t="n"/>
      <c r="N1003" s="51" t="n"/>
      <c r="Q1003" s="51" t="n"/>
      <c r="S1003" s="51" t="n"/>
      <c r="T1003" s="51" t="n"/>
      <c r="U1003" s="51" t="inlineStr"/>
      <c r="V1003" s="55" t="n"/>
      <c r="W1003" s="51" t="inlineStr"/>
      <c r="X1003" s="51" t="inlineStr"/>
      <c r="Y1003" s="51" t="n"/>
      <c r="AB1003" s="57" t="n"/>
      <c r="AC1003" s="90" t="n"/>
      <c r="AD1003" s="90" t="n"/>
      <c r="AE1003" s="88" t="n"/>
      <c r="AF1003" s="91" t="n"/>
      <c r="AG1003" s="91" t="n"/>
      <c r="AH1003" s="88" t="n"/>
      <c r="AI1003" s="88" t="n"/>
      <c r="AJ1003" s="90" t="n"/>
      <c r="AK1003" s="88" t="n"/>
      <c r="AL1003" s="91" t="n"/>
      <c r="AM1003" s="88" t="n"/>
      <c r="AN1003" s="95" t="n"/>
      <c r="AO1003" s="90" t="n"/>
      <c r="AP1003" s="90" t="n"/>
    </row>
    <row r="1004" ht="14.25" customHeight="1" s="84">
      <c r="A1004" s="51" t="n"/>
      <c r="B1004" s="47" t="n"/>
      <c r="C1004" s="51" t="n"/>
      <c r="D1004" s="51" t="n"/>
      <c r="E1004" s="51" t="n"/>
      <c r="F1004" s="51" t="n"/>
      <c r="G1004" s="47" t="n"/>
      <c r="H1004" s="51" t="n"/>
      <c r="I1004" s="51" t="n"/>
      <c r="J1004" s="51" t="n"/>
      <c r="K1004" s="51" t="n"/>
      <c r="L1004" s="51" t="n"/>
      <c r="N1004" s="51" t="n"/>
      <c r="Q1004" s="51" t="n"/>
      <c r="S1004" s="51" t="n"/>
      <c r="T1004" s="51" t="n"/>
      <c r="U1004" s="51" t="inlineStr"/>
      <c r="V1004" s="55" t="n"/>
      <c r="W1004" s="51" t="inlineStr"/>
      <c r="X1004" s="51" t="inlineStr"/>
      <c r="Y1004" s="51" t="n"/>
      <c r="AB1004" s="57" t="n"/>
      <c r="AC1004" s="90" t="n"/>
      <c r="AD1004" s="90" t="n"/>
      <c r="AE1004" s="88" t="n"/>
      <c r="AF1004" s="91" t="n"/>
      <c r="AG1004" s="91" t="n"/>
      <c r="AH1004" s="88" t="n"/>
      <c r="AI1004" s="88" t="n"/>
      <c r="AJ1004" s="90" t="n"/>
      <c r="AK1004" s="88" t="n"/>
      <c r="AL1004" s="91" t="n"/>
      <c r="AM1004" s="88" t="n"/>
      <c r="AN1004" s="95" t="n"/>
      <c r="AO1004" s="90" t="n"/>
      <c r="AP1004" s="90" t="n"/>
    </row>
    <row r="1005" ht="14.25" customHeight="1" s="84">
      <c r="A1005" s="51" t="n"/>
      <c r="B1005" s="47" t="n"/>
      <c r="C1005" s="51" t="n"/>
      <c r="D1005" s="51" t="n"/>
      <c r="E1005" s="51" t="n"/>
      <c r="F1005" s="51" t="n"/>
      <c r="G1005" s="47" t="n"/>
      <c r="H1005" s="51" t="n"/>
      <c r="I1005" s="51" t="n"/>
      <c r="J1005" s="51" t="n"/>
      <c r="K1005" s="51" t="n"/>
      <c r="L1005" s="51" t="n"/>
      <c r="N1005" s="51" t="n"/>
      <c r="Q1005" s="51" t="n"/>
      <c r="S1005" s="51" t="n"/>
      <c r="T1005" s="51" t="n"/>
      <c r="U1005" s="51" t="inlineStr"/>
      <c r="V1005" s="55" t="n"/>
      <c r="W1005" s="51" t="inlineStr"/>
      <c r="X1005" s="51" t="inlineStr"/>
      <c r="Y1005" s="51" t="n"/>
      <c r="AB1005" s="57" t="n"/>
      <c r="AC1005" s="90" t="n"/>
      <c r="AD1005" s="90" t="n"/>
      <c r="AE1005" s="88" t="n"/>
      <c r="AF1005" s="91" t="n"/>
      <c r="AG1005" s="91" t="n"/>
      <c r="AH1005" s="88" t="n"/>
      <c r="AI1005" s="88" t="n"/>
      <c r="AJ1005" s="90" t="n"/>
      <c r="AK1005" s="88" t="n"/>
      <c r="AL1005" s="91" t="n"/>
      <c r="AM1005" s="88" t="n"/>
      <c r="AN1005" s="95" t="n"/>
      <c r="AO1005" s="90" t="n"/>
      <c r="AP1005" s="90" t="n"/>
    </row>
    <row r="1006" ht="14.25" customHeight="1" s="84">
      <c r="A1006" s="51" t="n"/>
      <c r="B1006" s="47" t="n"/>
      <c r="C1006" s="51" t="n"/>
      <c r="D1006" s="51" t="n"/>
      <c r="E1006" s="51" t="n"/>
      <c r="F1006" s="51" t="n"/>
      <c r="G1006" s="47" t="n"/>
      <c r="H1006" s="51" t="n"/>
      <c r="I1006" s="51" t="n"/>
      <c r="J1006" s="51" t="n"/>
      <c r="K1006" s="51" t="n"/>
      <c r="L1006" s="51" t="n"/>
      <c r="N1006" s="51" t="n"/>
      <c r="Q1006" s="51" t="n"/>
      <c r="S1006" s="51" t="n"/>
      <c r="T1006" s="51" t="n"/>
      <c r="U1006" s="51" t="inlineStr"/>
      <c r="V1006" s="55" t="n"/>
      <c r="W1006" s="51" t="inlineStr"/>
      <c r="X1006" s="51" t="inlineStr"/>
      <c r="Y1006" s="51" t="n"/>
      <c r="AB1006" s="57" t="n"/>
      <c r="AC1006" s="90" t="n"/>
      <c r="AD1006" s="90" t="n"/>
      <c r="AE1006" s="88" t="n"/>
      <c r="AF1006" s="91" t="n"/>
      <c r="AG1006" s="91" t="n"/>
      <c r="AH1006" s="88" t="n"/>
      <c r="AI1006" s="88" t="n"/>
      <c r="AJ1006" s="90" t="n"/>
      <c r="AK1006" s="88" t="n"/>
      <c r="AL1006" s="91" t="n"/>
      <c r="AM1006" s="88" t="n"/>
      <c r="AN1006" s="95" t="n"/>
      <c r="AO1006" s="90" t="n"/>
      <c r="AP1006" s="90" t="n"/>
    </row>
    <row r="1007" ht="14.25" customHeight="1" s="84">
      <c r="A1007" s="51" t="n"/>
      <c r="B1007" s="47" t="n"/>
      <c r="C1007" s="51" t="n"/>
      <c r="D1007" s="51" t="n"/>
      <c r="E1007" s="51" t="n"/>
      <c r="F1007" s="51" t="n"/>
      <c r="G1007" s="47" t="n"/>
      <c r="H1007" s="51" t="n"/>
      <c r="I1007" s="51" t="n"/>
      <c r="J1007" s="51" t="n"/>
      <c r="K1007" s="51" t="n"/>
      <c r="L1007" s="51" t="n"/>
      <c r="N1007" s="51" t="n"/>
      <c r="Q1007" s="51" t="n"/>
      <c r="S1007" s="51" t="n"/>
      <c r="T1007" s="51" t="n"/>
      <c r="U1007" s="51" t="inlineStr"/>
      <c r="V1007" s="55" t="n"/>
      <c r="W1007" s="51" t="inlineStr"/>
      <c r="X1007" s="51" t="inlineStr"/>
      <c r="Y1007" s="51" t="n"/>
      <c r="AB1007" s="57" t="n"/>
      <c r="AC1007" s="90" t="n"/>
      <c r="AD1007" s="90" t="n"/>
      <c r="AE1007" s="88" t="n"/>
      <c r="AF1007" s="91" t="n"/>
      <c r="AG1007" s="91" t="n"/>
      <c r="AH1007" s="88" t="n"/>
      <c r="AI1007" s="88" t="n"/>
      <c r="AJ1007" s="90" t="n"/>
      <c r="AK1007" s="88" t="n"/>
      <c r="AL1007" s="91" t="n"/>
      <c r="AM1007" s="88" t="n"/>
      <c r="AN1007" s="95" t="n"/>
      <c r="AO1007" s="90" t="n"/>
      <c r="AP1007" s="90" t="n"/>
    </row>
    <row r="1008" ht="14.25" customHeight="1" s="84">
      <c r="A1008" s="51" t="n"/>
      <c r="B1008" s="47" t="n"/>
      <c r="C1008" s="51" t="n"/>
      <c r="D1008" s="51" t="n"/>
      <c r="E1008" s="51" t="n"/>
      <c r="F1008" s="51" t="n"/>
      <c r="G1008" s="47" t="n"/>
      <c r="H1008" s="51" t="n"/>
      <c r="I1008" s="51" t="n"/>
      <c r="J1008" s="51" t="n"/>
      <c r="K1008" s="51" t="n"/>
      <c r="L1008" s="51" t="n"/>
      <c r="N1008" s="51" t="n"/>
      <c r="Q1008" s="51" t="n"/>
      <c r="S1008" s="51" t="n"/>
      <c r="T1008" s="51" t="n"/>
      <c r="U1008" s="51" t="inlineStr"/>
      <c r="V1008" s="55" t="n"/>
      <c r="W1008" s="51" t="inlineStr"/>
      <c r="X1008" s="51" t="inlineStr"/>
      <c r="Y1008" s="51" t="n"/>
      <c r="AB1008" s="57" t="n"/>
      <c r="AC1008" s="90" t="n"/>
      <c r="AD1008" s="90" t="n"/>
      <c r="AE1008" s="88" t="n"/>
      <c r="AF1008" s="91" t="n"/>
      <c r="AG1008" s="91" t="n"/>
      <c r="AH1008" s="88" t="n"/>
      <c r="AI1008" s="88" t="n"/>
      <c r="AJ1008" s="90" t="n"/>
      <c r="AK1008" s="88" t="n"/>
      <c r="AL1008" s="91" t="n"/>
      <c r="AM1008" s="88" t="n"/>
      <c r="AN1008" s="95" t="n"/>
      <c r="AO1008" s="90" t="n"/>
      <c r="AP1008" s="90" t="n"/>
    </row>
    <row r="1009" ht="14.25" customHeight="1" s="84">
      <c r="A1009" s="51" t="n"/>
      <c r="B1009" s="47" t="n"/>
      <c r="C1009" s="51" t="n"/>
      <c r="D1009" s="51" t="n"/>
      <c r="E1009" s="51" t="n"/>
      <c r="F1009" s="51" t="n"/>
      <c r="G1009" s="47" t="n"/>
      <c r="H1009" s="51" t="n"/>
      <c r="I1009" s="51" t="n"/>
      <c r="J1009" s="51" t="n"/>
      <c r="K1009" s="51" t="n"/>
      <c r="L1009" s="51" t="n"/>
      <c r="N1009" s="51" t="n"/>
      <c r="Q1009" s="51" t="n"/>
      <c r="S1009" s="51" t="n"/>
      <c r="T1009" s="51" t="n"/>
      <c r="U1009" s="51" t="inlineStr"/>
      <c r="V1009" s="55" t="n"/>
      <c r="W1009" s="51" t="inlineStr"/>
      <c r="X1009" s="51" t="inlineStr"/>
      <c r="Y1009" s="51" t="n"/>
      <c r="AB1009" s="57" t="n"/>
      <c r="AC1009" s="90" t="n"/>
      <c r="AD1009" s="90" t="n"/>
      <c r="AE1009" s="88" t="n"/>
      <c r="AF1009" s="91" t="n"/>
      <c r="AG1009" s="91" t="n"/>
      <c r="AH1009" s="88" t="n"/>
      <c r="AI1009" s="88" t="n"/>
      <c r="AJ1009" s="90" t="n"/>
      <c r="AK1009" s="88" t="n"/>
      <c r="AL1009" s="91" t="n"/>
      <c r="AM1009" s="88" t="n"/>
      <c r="AN1009" s="95" t="n"/>
      <c r="AO1009" s="90" t="n"/>
      <c r="AP1009" s="90" t="n"/>
    </row>
    <row r="1010" ht="14.25" customHeight="1" s="84">
      <c r="A1010" s="51" t="n"/>
      <c r="B1010" s="47" t="n"/>
      <c r="C1010" s="51" t="n"/>
      <c r="D1010" s="51" t="n"/>
      <c r="E1010" s="51" t="n"/>
      <c r="F1010" s="51" t="n"/>
      <c r="G1010" s="47" t="n"/>
      <c r="H1010" s="51" t="n"/>
      <c r="I1010" s="51" t="n"/>
      <c r="J1010" s="51" t="n"/>
      <c r="K1010" s="51" t="n"/>
      <c r="L1010" s="51" t="n"/>
      <c r="N1010" s="51" t="n"/>
      <c r="Q1010" s="51" t="n"/>
      <c r="S1010" s="51" t="n"/>
      <c r="T1010" s="51" t="n"/>
      <c r="U1010" s="51" t="inlineStr"/>
      <c r="V1010" s="55" t="n"/>
      <c r="W1010" s="51" t="inlineStr"/>
      <c r="X1010" s="51" t="inlineStr"/>
      <c r="Y1010" s="51" t="n"/>
      <c r="AB1010" s="57" t="n"/>
      <c r="AC1010" s="90" t="n"/>
      <c r="AD1010" s="90" t="n"/>
      <c r="AE1010" s="88" t="n"/>
      <c r="AF1010" s="91" t="n"/>
      <c r="AG1010" s="91" t="n"/>
      <c r="AH1010" s="88" t="n"/>
      <c r="AI1010" s="88" t="n"/>
      <c r="AJ1010" s="90" t="n"/>
      <c r="AK1010" s="88" t="n"/>
      <c r="AL1010" s="91" t="n"/>
      <c r="AM1010" s="88" t="n"/>
      <c r="AN1010" s="95" t="n"/>
      <c r="AO1010" s="90" t="n"/>
      <c r="AP1010" s="90" t="n"/>
    </row>
    <row r="1011" ht="14.25" customHeight="1" s="84">
      <c r="A1011" s="51" t="n"/>
      <c r="B1011" s="47" t="n"/>
      <c r="C1011" s="51" t="n"/>
      <c r="D1011" s="51" t="n"/>
      <c r="E1011" s="51" t="n"/>
      <c r="F1011" s="51" t="n"/>
      <c r="G1011" s="47" t="n"/>
      <c r="H1011" s="51" t="n"/>
      <c r="I1011" s="51" t="n"/>
      <c r="J1011" s="51" t="n"/>
      <c r="K1011" s="51" t="n"/>
      <c r="L1011" s="51" t="n"/>
      <c r="N1011" s="51" t="n"/>
      <c r="Q1011" s="51" t="n"/>
      <c r="S1011" s="51" t="n"/>
      <c r="T1011" s="51" t="n"/>
      <c r="U1011" s="51" t="inlineStr"/>
      <c r="V1011" s="55" t="n"/>
      <c r="W1011" s="51" t="inlineStr"/>
      <c r="X1011" s="51" t="inlineStr"/>
      <c r="Y1011" s="51" t="n"/>
      <c r="AB1011" s="57" t="n"/>
      <c r="AC1011" s="90" t="n"/>
      <c r="AD1011" s="90" t="n"/>
      <c r="AE1011" s="88" t="n"/>
      <c r="AF1011" s="91" t="n"/>
      <c r="AG1011" s="91" t="n"/>
      <c r="AH1011" s="88" t="n"/>
      <c r="AI1011" s="88" t="n"/>
      <c r="AJ1011" s="90" t="n"/>
      <c r="AK1011" s="88" t="n"/>
      <c r="AL1011" s="91" t="n"/>
      <c r="AM1011" s="88" t="n"/>
      <c r="AN1011" s="95" t="n"/>
      <c r="AO1011" s="90" t="n"/>
      <c r="AP1011" s="90" t="n"/>
    </row>
    <row r="1012" ht="14.25" customHeight="1" s="84">
      <c r="A1012" s="51" t="n"/>
      <c r="B1012" s="47" t="n"/>
      <c r="C1012" s="51" t="n"/>
      <c r="D1012" s="51" t="n"/>
      <c r="E1012" s="51" t="n"/>
      <c r="F1012" s="51" t="n"/>
      <c r="G1012" s="47" t="n"/>
      <c r="H1012" s="51" t="n"/>
      <c r="I1012" s="51" t="n"/>
      <c r="J1012" s="51" t="n"/>
      <c r="K1012" s="51" t="n"/>
      <c r="L1012" s="51" t="n"/>
      <c r="N1012" s="51" t="n"/>
      <c r="Q1012" s="51" t="n"/>
      <c r="S1012" s="51" t="n"/>
      <c r="T1012" s="51" t="n"/>
      <c r="U1012" s="51" t="inlineStr"/>
      <c r="V1012" s="55" t="n"/>
      <c r="W1012" s="51" t="inlineStr"/>
      <c r="X1012" s="51" t="inlineStr"/>
      <c r="Y1012" s="51" t="n"/>
      <c r="AB1012" s="57" t="n"/>
      <c r="AC1012" s="90" t="n"/>
      <c r="AD1012" s="90" t="n"/>
      <c r="AE1012" s="88" t="n"/>
      <c r="AF1012" s="91" t="n"/>
      <c r="AG1012" s="91" t="n"/>
      <c r="AH1012" s="88" t="n"/>
      <c r="AI1012" s="88" t="n"/>
      <c r="AJ1012" s="90" t="n"/>
      <c r="AK1012" s="88" t="n"/>
      <c r="AL1012" s="91" t="n"/>
      <c r="AM1012" s="88" t="n"/>
      <c r="AN1012" s="95" t="n"/>
      <c r="AO1012" s="90" t="n"/>
      <c r="AP1012" s="90" t="n"/>
    </row>
    <row r="1013" ht="14.25" customHeight="1" s="84">
      <c r="A1013" s="51" t="n"/>
      <c r="B1013" s="47" t="n"/>
      <c r="C1013" s="51" t="n"/>
      <c r="D1013" s="51" t="n"/>
      <c r="E1013" s="51" t="n"/>
      <c r="F1013" s="51" t="n"/>
      <c r="G1013" s="47" t="n"/>
      <c r="H1013" s="51" t="n"/>
      <c r="I1013" s="51" t="n"/>
      <c r="J1013" s="51" t="n"/>
      <c r="K1013" s="51" t="n"/>
      <c r="L1013" s="51" t="n"/>
      <c r="N1013" s="51" t="n"/>
      <c r="Q1013" s="51" t="n"/>
      <c r="S1013" s="51" t="n"/>
      <c r="T1013" s="51" t="n"/>
      <c r="U1013" s="51" t="inlineStr"/>
      <c r="V1013" s="55" t="n"/>
      <c r="W1013" s="51" t="inlineStr"/>
      <c r="X1013" s="51" t="inlineStr"/>
      <c r="Y1013" s="51" t="n"/>
      <c r="AB1013" s="57" t="n"/>
      <c r="AC1013" s="90" t="n"/>
      <c r="AD1013" s="90" t="n"/>
      <c r="AE1013" s="88" t="n"/>
      <c r="AF1013" s="91" t="n"/>
      <c r="AG1013" s="91" t="n"/>
      <c r="AH1013" s="88" t="n"/>
      <c r="AI1013" s="88" t="n"/>
      <c r="AJ1013" s="90" t="n"/>
      <c r="AK1013" s="88" t="n"/>
      <c r="AL1013" s="91" t="n"/>
      <c r="AM1013" s="88" t="n"/>
      <c r="AN1013" s="95" t="n"/>
      <c r="AO1013" s="90" t="n"/>
      <c r="AP1013" s="90" t="n"/>
    </row>
    <row r="1014" ht="14.25" customHeight="1" s="84">
      <c r="A1014" s="51" t="n"/>
      <c r="B1014" s="47" t="n"/>
      <c r="C1014" s="51" t="n"/>
      <c r="D1014" s="51" t="n"/>
      <c r="E1014" s="51" t="n"/>
      <c r="F1014" s="51" t="n"/>
      <c r="G1014" s="47" t="n"/>
      <c r="H1014" s="51" t="n"/>
      <c r="I1014" s="51" t="n"/>
      <c r="J1014" s="51" t="n"/>
      <c r="K1014" s="51" t="n"/>
      <c r="L1014" s="51" t="n"/>
      <c r="N1014" s="51" t="n"/>
      <c r="Q1014" s="51" t="n"/>
      <c r="S1014" s="51" t="n"/>
      <c r="T1014" s="51" t="n"/>
      <c r="U1014" s="51" t="inlineStr"/>
      <c r="V1014" s="55" t="n"/>
      <c r="W1014" s="51" t="inlineStr"/>
      <c r="X1014" s="51" t="inlineStr"/>
      <c r="Y1014" s="51" t="n"/>
      <c r="AB1014" s="57" t="n"/>
      <c r="AC1014" s="90" t="n"/>
      <c r="AD1014" s="90" t="n"/>
      <c r="AE1014" s="88" t="n"/>
      <c r="AF1014" s="91" t="n"/>
      <c r="AG1014" s="91" t="n"/>
      <c r="AH1014" s="88" t="n"/>
      <c r="AI1014" s="88" t="n"/>
      <c r="AJ1014" s="90" t="n"/>
      <c r="AK1014" s="88" t="n"/>
      <c r="AL1014" s="91" t="n"/>
      <c r="AM1014" s="88" t="n"/>
      <c r="AN1014" s="95" t="n"/>
      <c r="AO1014" s="90" t="n"/>
      <c r="AP1014" s="90" t="n"/>
    </row>
    <row r="1015" ht="14.25" customHeight="1" s="84">
      <c r="A1015" s="51" t="n"/>
      <c r="B1015" s="47" t="n"/>
      <c r="C1015" s="51" t="n"/>
      <c r="D1015" s="51" t="n"/>
      <c r="E1015" s="51" t="n"/>
      <c r="F1015" s="51" t="n"/>
      <c r="G1015" s="47" t="n"/>
      <c r="H1015" s="51" t="n"/>
      <c r="I1015" s="51" t="n"/>
      <c r="J1015" s="51" t="n"/>
      <c r="K1015" s="51" t="n"/>
      <c r="L1015" s="51" t="n"/>
      <c r="N1015" s="51" t="n"/>
      <c r="Q1015" s="51" t="n"/>
      <c r="S1015" s="51" t="n"/>
      <c r="T1015" s="51" t="n"/>
      <c r="U1015" s="51" t="inlineStr"/>
      <c r="V1015" s="55" t="n"/>
      <c r="W1015" s="51" t="inlineStr"/>
      <c r="X1015" s="51" t="inlineStr"/>
      <c r="Y1015" s="51" t="n"/>
      <c r="AB1015" s="57" t="n"/>
      <c r="AC1015" s="90" t="n"/>
      <c r="AD1015" s="90" t="n"/>
      <c r="AE1015" s="88" t="n"/>
      <c r="AF1015" s="91" t="n"/>
      <c r="AG1015" s="91" t="n"/>
      <c r="AH1015" s="88" t="n"/>
      <c r="AI1015" s="88" t="n"/>
      <c r="AJ1015" s="90" t="n"/>
      <c r="AK1015" s="88" t="n"/>
      <c r="AL1015" s="91" t="n"/>
      <c r="AM1015" s="88" t="n"/>
      <c r="AN1015" s="95" t="n"/>
      <c r="AO1015" s="90" t="n"/>
      <c r="AP1015" s="90" t="n"/>
    </row>
    <row r="1016" ht="14.25" customHeight="1" s="84">
      <c r="A1016" s="51" t="n"/>
      <c r="B1016" s="47" t="n"/>
      <c r="C1016" s="51" t="n"/>
      <c r="D1016" s="51" t="n"/>
      <c r="E1016" s="51" t="n"/>
      <c r="F1016" s="51" t="n"/>
      <c r="G1016" s="47" t="n"/>
      <c r="H1016" s="51" t="n"/>
      <c r="I1016" s="51" t="n"/>
      <c r="J1016" s="51" t="n"/>
      <c r="K1016" s="51" t="n"/>
      <c r="L1016" s="51" t="n"/>
      <c r="N1016" s="51" t="n"/>
      <c r="Q1016" s="51" t="n"/>
      <c r="S1016" s="51" t="n"/>
      <c r="T1016" s="51" t="n"/>
      <c r="U1016" s="51" t="inlineStr"/>
      <c r="V1016" s="55" t="n"/>
      <c r="W1016" s="51" t="inlineStr"/>
      <c r="X1016" s="51" t="inlineStr"/>
      <c r="Y1016" s="51" t="n"/>
      <c r="AB1016" s="57" t="n"/>
      <c r="AC1016" s="90" t="n"/>
      <c r="AD1016" s="90" t="n"/>
      <c r="AE1016" s="88" t="n"/>
      <c r="AF1016" s="91" t="n"/>
      <c r="AG1016" s="91" t="n"/>
      <c r="AH1016" s="88" t="n"/>
      <c r="AI1016" s="88" t="n"/>
      <c r="AJ1016" s="90" t="n"/>
      <c r="AK1016" s="88" t="n"/>
      <c r="AL1016" s="91" t="n"/>
      <c r="AM1016" s="88" t="n"/>
      <c r="AN1016" s="95" t="n"/>
      <c r="AO1016" s="90" t="n"/>
      <c r="AP1016" s="90" t="n"/>
    </row>
    <row r="1017" ht="14.25" customHeight="1" s="84">
      <c r="A1017" s="51" t="n"/>
      <c r="B1017" s="47" t="n"/>
      <c r="C1017" s="51" t="n"/>
      <c r="D1017" s="51" t="n"/>
      <c r="E1017" s="51" t="n"/>
      <c r="F1017" s="51" t="n"/>
      <c r="G1017" s="47" t="n"/>
      <c r="H1017" s="51" t="n"/>
      <c r="I1017" s="51" t="n"/>
      <c r="J1017" s="51" t="n"/>
      <c r="K1017" s="51" t="n"/>
      <c r="L1017" s="51" t="n"/>
      <c r="N1017" s="51" t="n"/>
      <c r="Q1017" s="51" t="n"/>
      <c r="S1017" s="51" t="n"/>
      <c r="T1017" s="51" t="n"/>
      <c r="U1017" s="51" t="inlineStr"/>
      <c r="V1017" s="55" t="n"/>
      <c r="W1017" s="51" t="inlineStr"/>
      <c r="X1017" s="51" t="inlineStr"/>
      <c r="Y1017" s="51" t="n"/>
      <c r="AB1017" s="57" t="n"/>
      <c r="AC1017" s="90" t="n"/>
      <c r="AD1017" s="90" t="n"/>
      <c r="AE1017" s="88" t="n"/>
      <c r="AF1017" s="91" t="n"/>
      <c r="AG1017" s="91" t="n"/>
      <c r="AH1017" s="88" t="n"/>
      <c r="AI1017" s="88" t="n"/>
      <c r="AJ1017" s="90" t="n"/>
      <c r="AK1017" s="88" t="n"/>
      <c r="AL1017" s="91" t="n"/>
      <c r="AM1017" s="88" t="n"/>
      <c r="AN1017" s="95" t="n"/>
      <c r="AO1017" s="90" t="n"/>
      <c r="AP1017" s="90" t="n"/>
    </row>
    <row r="1018" ht="14.25" customHeight="1" s="84">
      <c r="A1018" s="51" t="n"/>
      <c r="B1018" s="47" t="n"/>
      <c r="C1018" s="51" t="n"/>
      <c r="D1018" s="51" t="n"/>
      <c r="E1018" s="51" t="n"/>
      <c r="F1018" s="51" t="n"/>
      <c r="G1018" s="47" t="n"/>
      <c r="H1018" s="51" t="n"/>
      <c r="I1018" s="51" t="n"/>
      <c r="J1018" s="51" t="n"/>
      <c r="K1018" s="51" t="n"/>
      <c r="L1018" s="51" t="n"/>
      <c r="N1018" s="51" t="n"/>
      <c r="Q1018" s="51" t="n"/>
      <c r="S1018" s="51" t="n"/>
      <c r="T1018" s="51" t="n"/>
      <c r="U1018" s="51" t="inlineStr"/>
      <c r="V1018" s="55" t="n"/>
      <c r="W1018" s="51" t="inlineStr"/>
      <c r="X1018" s="51" t="inlineStr"/>
      <c r="Y1018" s="51" t="n"/>
      <c r="AB1018" s="57" t="n"/>
      <c r="AC1018" s="90" t="n"/>
      <c r="AD1018" s="90" t="n"/>
      <c r="AE1018" s="88" t="n"/>
      <c r="AF1018" s="91" t="n"/>
      <c r="AG1018" s="91" t="n"/>
      <c r="AH1018" s="88" t="n"/>
      <c r="AI1018" s="88" t="n"/>
      <c r="AJ1018" s="90" t="n"/>
      <c r="AK1018" s="88" t="n"/>
      <c r="AL1018" s="91" t="n"/>
      <c r="AM1018" s="88" t="n"/>
      <c r="AN1018" s="95" t="n"/>
      <c r="AO1018" s="90" t="n"/>
      <c r="AP1018" s="90" t="n"/>
    </row>
    <row r="1019" ht="14.25" customHeight="1" s="84">
      <c r="A1019" s="51" t="n"/>
      <c r="B1019" s="47" t="n"/>
      <c r="C1019" s="51" t="n"/>
      <c r="D1019" s="51" t="n"/>
      <c r="E1019" s="51" t="n"/>
      <c r="F1019" s="51" t="n"/>
      <c r="G1019" s="47" t="n"/>
      <c r="H1019" s="51" t="n"/>
      <c r="I1019" s="51" t="n"/>
      <c r="J1019" s="51" t="n"/>
      <c r="K1019" s="51" t="n"/>
      <c r="L1019" s="51" t="n"/>
      <c r="N1019" s="51" t="n"/>
      <c r="Q1019" s="51" t="n"/>
      <c r="S1019" s="51" t="n"/>
      <c r="T1019" s="51" t="n"/>
      <c r="U1019" s="51" t="inlineStr"/>
      <c r="V1019" s="55" t="n"/>
      <c r="W1019" s="51" t="inlineStr"/>
      <c r="X1019" s="51" t="inlineStr"/>
      <c r="Y1019" s="51" t="n"/>
      <c r="AB1019" s="57" t="n"/>
      <c r="AC1019" s="90" t="n"/>
      <c r="AD1019" s="90" t="n"/>
      <c r="AE1019" s="88" t="n"/>
      <c r="AF1019" s="91" t="n"/>
      <c r="AG1019" s="91" t="n"/>
      <c r="AH1019" s="88" t="n"/>
      <c r="AI1019" s="88" t="n"/>
      <c r="AJ1019" s="90" t="n"/>
      <c r="AK1019" s="88" t="n"/>
      <c r="AL1019" s="91" t="n"/>
      <c r="AM1019" s="88" t="n"/>
      <c r="AN1019" s="95" t="n"/>
      <c r="AO1019" s="90" t="n"/>
      <c r="AP1019" s="90" t="n"/>
    </row>
    <row r="1020" ht="14.25" customHeight="1" s="84">
      <c r="A1020" s="51" t="n"/>
      <c r="B1020" s="47" t="n"/>
      <c r="C1020" s="51" t="n"/>
      <c r="D1020" s="51" t="n"/>
      <c r="E1020" s="51" t="n"/>
      <c r="F1020" s="51" t="n"/>
      <c r="G1020" s="47" t="n"/>
      <c r="H1020" s="51" t="n"/>
      <c r="I1020" s="51" t="n"/>
      <c r="J1020" s="51" t="n"/>
      <c r="K1020" s="51" t="n"/>
      <c r="L1020" s="51" t="n"/>
      <c r="N1020" s="51" t="n"/>
      <c r="Q1020" s="51" t="n"/>
      <c r="S1020" s="51" t="n"/>
      <c r="T1020" s="51" t="n"/>
      <c r="U1020" s="51" t="inlineStr"/>
      <c r="V1020" s="55" t="n"/>
      <c r="W1020" s="51" t="inlineStr"/>
      <c r="X1020" s="51" t="inlineStr"/>
      <c r="Y1020" s="51" t="n"/>
      <c r="AB1020" s="57" t="n"/>
      <c r="AC1020" s="90" t="n"/>
      <c r="AD1020" s="90" t="n"/>
      <c r="AE1020" s="88" t="n"/>
      <c r="AF1020" s="91" t="n"/>
      <c r="AG1020" s="91" t="n"/>
      <c r="AH1020" s="88" t="n"/>
      <c r="AI1020" s="88" t="n"/>
      <c r="AJ1020" s="90" t="n"/>
      <c r="AK1020" s="88" t="n"/>
      <c r="AL1020" s="91" t="n"/>
      <c r="AM1020" s="88" t="n"/>
      <c r="AN1020" s="95" t="n"/>
      <c r="AO1020" s="90" t="n"/>
      <c r="AP1020" s="90" t="n"/>
    </row>
    <row r="1021" ht="14.25" customHeight="1" s="84">
      <c r="A1021" s="51" t="n"/>
      <c r="B1021" s="47" t="n"/>
      <c r="C1021" s="51" t="n"/>
      <c r="D1021" s="51" t="n"/>
      <c r="E1021" s="51" t="n"/>
      <c r="F1021" s="51" t="n"/>
      <c r="G1021" s="47" t="n"/>
      <c r="H1021" s="51" t="n"/>
      <c r="I1021" s="51" t="n"/>
      <c r="J1021" s="51" t="n"/>
      <c r="K1021" s="51" t="n"/>
      <c r="L1021" s="51" t="n"/>
      <c r="N1021" s="51" t="n"/>
      <c r="Q1021" s="51" t="n"/>
      <c r="S1021" s="51" t="n"/>
      <c r="T1021" s="51" t="n"/>
      <c r="U1021" s="51" t="inlineStr"/>
      <c r="V1021" s="55" t="n"/>
      <c r="W1021" s="51" t="inlineStr"/>
      <c r="X1021" s="51" t="inlineStr"/>
      <c r="Y1021" s="51" t="n"/>
      <c r="AB1021" s="57" t="n"/>
      <c r="AC1021" s="90" t="n"/>
      <c r="AD1021" s="90" t="n"/>
      <c r="AE1021" s="88" t="n"/>
      <c r="AF1021" s="91" t="n"/>
      <c r="AG1021" s="91" t="n"/>
      <c r="AH1021" s="88" t="n"/>
      <c r="AI1021" s="88" t="n"/>
      <c r="AJ1021" s="90" t="n"/>
      <c r="AK1021" s="88" t="n"/>
      <c r="AL1021" s="91" t="n"/>
      <c r="AM1021" s="88" t="n"/>
      <c r="AN1021" s="95" t="n"/>
      <c r="AO1021" s="90" t="n"/>
      <c r="AP1021" s="90" t="n"/>
    </row>
    <row r="1022" ht="14.25" customHeight="1" s="84">
      <c r="A1022" s="51" t="n"/>
      <c r="B1022" s="47" t="n"/>
      <c r="C1022" s="51" t="n"/>
      <c r="D1022" s="51" t="n"/>
      <c r="E1022" s="51" t="n"/>
      <c r="F1022" s="51" t="n"/>
      <c r="G1022" s="47" t="n"/>
      <c r="H1022" s="51" t="n"/>
      <c r="I1022" s="51" t="n"/>
      <c r="J1022" s="51" t="n"/>
      <c r="K1022" s="51" t="n"/>
      <c r="L1022" s="51" t="n"/>
      <c r="N1022" s="51" t="n"/>
      <c r="Q1022" s="51" t="n"/>
      <c r="S1022" s="51" t="n"/>
      <c r="T1022" s="51" t="n"/>
      <c r="U1022" s="51" t="inlineStr"/>
      <c r="V1022" s="55" t="n"/>
      <c r="W1022" s="51" t="inlineStr"/>
      <c r="X1022" s="51" t="inlineStr"/>
      <c r="Y1022" s="51" t="n"/>
      <c r="AB1022" s="57" t="n"/>
      <c r="AC1022" s="90" t="n"/>
      <c r="AD1022" s="90" t="n"/>
      <c r="AE1022" s="88" t="n"/>
      <c r="AF1022" s="91" t="n"/>
      <c r="AG1022" s="91" t="n"/>
      <c r="AH1022" s="88" t="n"/>
      <c r="AI1022" s="88" t="n"/>
      <c r="AJ1022" s="90" t="n"/>
      <c r="AK1022" s="88" t="n"/>
      <c r="AL1022" s="91" t="n"/>
      <c r="AM1022" s="88" t="n"/>
      <c r="AN1022" s="95" t="n"/>
      <c r="AO1022" s="90" t="n"/>
      <c r="AP1022" s="90" t="n"/>
    </row>
    <row r="1023" ht="14.25" customHeight="1" s="84">
      <c r="A1023" s="51" t="n"/>
      <c r="B1023" s="47" t="n"/>
      <c r="C1023" s="51" t="n"/>
      <c r="D1023" s="51" t="n"/>
      <c r="E1023" s="51" t="n"/>
      <c r="F1023" s="51" t="n"/>
      <c r="G1023" s="47" t="n"/>
      <c r="H1023" s="51" t="n"/>
      <c r="I1023" s="51" t="n"/>
      <c r="J1023" s="51" t="n"/>
      <c r="K1023" s="51" t="n"/>
      <c r="L1023" s="51" t="n"/>
      <c r="N1023" s="51" t="n"/>
      <c r="Q1023" s="51" t="n"/>
      <c r="S1023" s="51" t="n"/>
      <c r="T1023" s="51" t="n"/>
      <c r="U1023" s="51" t="inlineStr"/>
      <c r="V1023" s="55" t="n"/>
      <c r="W1023" s="51" t="inlineStr"/>
      <c r="X1023" s="51" t="inlineStr"/>
      <c r="Y1023" s="51" t="n"/>
      <c r="AB1023" s="57" t="n"/>
      <c r="AC1023" s="90" t="n"/>
      <c r="AD1023" s="90" t="n"/>
      <c r="AE1023" s="88" t="n"/>
      <c r="AF1023" s="91" t="n"/>
      <c r="AG1023" s="91" t="n"/>
      <c r="AH1023" s="88" t="n"/>
      <c r="AI1023" s="88" t="n"/>
      <c r="AJ1023" s="90" t="n"/>
      <c r="AK1023" s="88" t="n"/>
      <c r="AL1023" s="91" t="n"/>
      <c r="AM1023" s="88" t="n"/>
      <c r="AN1023" s="95" t="n"/>
      <c r="AO1023" s="90" t="n"/>
      <c r="AP1023" s="90" t="n"/>
    </row>
    <row r="1024" ht="14.25" customHeight="1" s="84">
      <c r="A1024" s="51" t="n"/>
      <c r="B1024" s="47" t="n"/>
      <c r="C1024" s="51" t="n"/>
      <c r="D1024" s="51" t="n"/>
      <c r="E1024" s="51" t="n"/>
      <c r="F1024" s="51" t="n"/>
      <c r="G1024" s="47" t="n"/>
      <c r="H1024" s="51" t="n"/>
      <c r="I1024" s="51" t="n"/>
      <c r="J1024" s="51" t="n"/>
      <c r="K1024" s="51" t="n"/>
      <c r="L1024" s="51" t="n"/>
      <c r="N1024" s="51" t="n"/>
      <c r="Q1024" s="51" t="n"/>
      <c r="S1024" s="51" t="n"/>
      <c r="T1024" s="51" t="n"/>
      <c r="U1024" s="51" t="inlineStr"/>
      <c r="V1024" s="55" t="n"/>
      <c r="W1024" s="51" t="inlineStr"/>
      <c r="X1024" s="51" t="inlineStr"/>
      <c r="Y1024" s="51" t="n"/>
      <c r="AB1024" s="57" t="n"/>
      <c r="AC1024" s="90" t="n"/>
      <c r="AD1024" s="90" t="n"/>
      <c r="AE1024" s="88" t="n"/>
      <c r="AF1024" s="91" t="n"/>
      <c r="AG1024" s="91" t="n"/>
      <c r="AH1024" s="88" t="n"/>
      <c r="AI1024" s="88" t="n"/>
      <c r="AJ1024" s="90" t="n"/>
      <c r="AK1024" s="88" t="n"/>
      <c r="AL1024" s="91" t="n"/>
      <c r="AM1024" s="88" t="n"/>
      <c r="AN1024" s="95" t="n"/>
      <c r="AO1024" s="90" t="n"/>
      <c r="AP1024" s="90" t="n"/>
    </row>
    <row r="1025" ht="14.25" customHeight="1" s="84">
      <c r="A1025" s="51" t="n"/>
      <c r="B1025" s="47" t="n"/>
      <c r="C1025" s="51" t="n"/>
      <c r="D1025" s="51" t="n"/>
      <c r="E1025" s="51" t="n"/>
      <c r="F1025" s="51" t="n"/>
      <c r="G1025" s="47" t="n"/>
      <c r="H1025" s="51" t="n"/>
      <c r="I1025" s="51" t="n"/>
      <c r="J1025" s="51" t="n"/>
      <c r="K1025" s="51" t="n"/>
      <c r="L1025" s="51" t="n"/>
      <c r="N1025" s="51" t="n"/>
      <c r="Q1025" s="51" t="n"/>
      <c r="S1025" s="51" t="n"/>
      <c r="T1025" s="51" t="n"/>
      <c r="U1025" s="51" t="inlineStr"/>
      <c r="V1025" s="55" t="n"/>
      <c r="W1025" s="51" t="inlineStr"/>
      <c r="X1025" s="51" t="inlineStr"/>
      <c r="Y1025" s="51" t="n"/>
      <c r="AB1025" s="57" t="n"/>
      <c r="AC1025" s="90" t="n"/>
      <c r="AD1025" s="90" t="n"/>
      <c r="AE1025" s="88" t="n"/>
      <c r="AF1025" s="91" t="n"/>
      <c r="AG1025" s="91" t="n"/>
      <c r="AH1025" s="88" t="n"/>
      <c r="AI1025" s="88" t="n"/>
      <c r="AJ1025" s="90" t="n"/>
      <c r="AK1025" s="88" t="n"/>
      <c r="AL1025" s="91" t="n"/>
      <c r="AM1025" s="88" t="n"/>
      <c r="AN1025" s="95" t="n"/>
      <c r="AO1025" s="90" t="n"/>
      <c r="AP1025" s="90" t="n"/>
    </row>
    <row r="1026" ht="14.25" customHeight="1" s="84">
      <c r="A1026" s="51" t="n"/>
      <c r="B1026" s="47" t="n"/>
      <c r="C1026" s="51" t="n"/>
      <c r="D1026" s="51" t="n"/>
      <c r="E1026" s="51" t="n"/>
      <c r="F1026" s="51" t="n"/>
      <c r="G1026" s="47" t="n"/>
      <c r="H1026" s="51" t="n"/>
      <c r="I1026" s="51" t="n"/>
      <c r="J1026" s="51" t="n"/>
      <c r="K1026" s="51" t="n"/>
      <c r="L1026" s="51" t="n"/>
      <c r="N1026" s="51" t="n"/>
      <c r="Q1026" s="51" t="n"/>
      <c r="S1026" s="51" t="n"/>
      <c r="T1026" s="51" t="n"/>
      <c r="U1026" s="51" t="inlineStr"/>
      <c r="V1026" s="55" t="n"/>
      <c r="W1026" s="51" t="inlineStr"/>
      <c r="X1026" s="51" t="inlineStr"/>
      <c r="Y1026" s="51" t="n"/>
      <c r="AB1026" s="57" t="n"/>
      <c r="AC1026" s="90" t="n"/>
      <c r="AD1026" s="90" t="n"/>
      <c r="AE1026" s="88" t="n"/>
      <c r="AF1026" s="91" t="n"/>
      <c r="AG1026" s="91" t="n"/>
      <c r="AH1026" s="88" t="n"/>
      <c r="AI1026" s="88" t="n"/>
      <c r="AJ1026" s="90" t="n"/>
      <c r="AK1026" s="88" t="n"/>
      <c r="AL1026" s="91" t="n"/>
      <c r="AM1026" s="88" t="n"/>
      <c r="AN1026" s="95" t="n"/>
      <c r="AO1026" s="90" t="n"/>
      <c r="AP1026" s="90" t="n"/>
    </row>
    <row r="1027" ht="14.25" customHeight="1" s="84">
      <c r="A1027" s="51" t="n"/>
      <c r="B1027" s="47" t="n"/>
      <c r="C1027" s="51" t="n"/>
      <c r="D1027" s="51" t="n"/>
      <c r="E1027" s="51" t="n"/>
      <c r="F1027" s="51" t="n"/>
      <c r="G1027" s="47" t="n"/>
      <c r="H1027" s="51" t="n"/>
      <c r="I1027" s="51" t="n"/>
      <c r="J1027" s="51" t="n"/>
      <c r="K1027" s="51" t="n"/>
      <c r="L1027" s="51" t="n"/>
      <c r="N1027" s="51" t="n"/>
      <c r="Q1027" s="51" t="n"/>
      <c r="S1027" s="51" t="n"/>
      <c r="T1027" s="51" t="n"/>
      <c r="U1027" s="51" t="inlineStr"/>
      <c r="V1027" s="55" t="n"/>
      <c r="W1027" s="51" t="inlineStr"/>
      <c r="X1027" s="51" t="inlineStr"/>
      <c r="Y1027" s="51" t="n"/>
      <c r="AB1027" s="57" t="n"/>
      <c r="AC1027" s="90" t="n"/>
      <c r="AD1027" s="90" t="n"/>
      <c r="AE1027" s="88" t="n"/>
      <c r="AF1027" s="91" t="n"/>
      <c r="AG1027" s="91" t="n"/>
      <c r="AH1027" s="88" t="n"/>
      <c r="AI1027" s="88" t="n"/>
      <c r="AJ1027" s="90" t="n"/>
      <c r="AK1027" s="88" t="n"/>
      <c r="AL1027" s="91" t="n"/>
      <c r="AM1027" s="88" t="n"/>
      <c r="AN1027" s="95" t="n"/>
      <c r="AO1027" s="90" t="n"/>
      <c r="AP1027" s="90" t="n"/>
    </row>
    <row r="1028" ht="14.25" customHeight="1" s="84">
      <c r="A1028" s="51" t="n"/>
      <c r="B1028" s="47" t="n"/>
      <c r="C1028" s="51" t="n"/>
      <c r="D1028" s="51" t="n"/>
      <c r="E1028" s="51" t="n"/>
      <c r="F1028" s="51" t="n"/>
      <c r="G1028" s="47" t="n"/>
      <c r="H1028" s="51" t="n"/>
      <c r="I1028" s="51" t="n"/>
      <c r="J1028" s="51" t="n"/>
      <c r="K1028" s="51" t="n"/>
      <c r="L1028" s="51" t="n"/>
      <c r="N1028" s="51" t="n"/>
      <c r="Q1028" s="51" t="n"/>
      <c r="S1028" s="51" t="n"/>
      <c r="T1028" s="51" t="n"/>
      <c r="U1028" s="51" t="inlineStr"/>
      <c r="V1028" s="55" t="n"/>
      <c r="W1028" s="51" t="inlineStr"/>
      <c r="X1028" s="51" t="inlineStr"/>
      <c r="Y1028" s="51" t="n"/>
      <c r="AB1028" s="57" t="n"/>
      <c r="AC1028" s="90" t="n"/>
      <c r="AD1028" s="90" t="n"/>
      <c r="AE1028" s="88" t="n"/>
      <c r="AF1028" s="91" t="n"/>
      <c r="AG1028" s="91" t="n"/>
      <c r="AH1028" s="88" t="n"/>
      <c r="AI1028" s="88" t="n"/>
      <c r="AJ1028" s="90" t="n"/>
      <c r="AK1028" s="88" t="n"/>
      <c r="AL1028" s="91" t="n"/>
      <c r="AM1028" s="88" t="n"/>
      <c r="AN1028" s="95" t="n"/>
      <c r="AO1028" s="90" t="n"/>
      <c r="AP1028" s="90" t="n"/>
    </row>
    <row r="1029" ht="14.25" customHeight="1" s="84">
      <c r="A1029" s="51" t="n"/>
      <c r="B1029" s="47" t="n"/>
      <c r="C1029" s="51" t="n"/>
      <c r="D1029" s="51" t="n"/>
      <c r="E1029" s="51" t="n"/>
      <c r="F1029" s="51" t="n"/>
      <c r="G1029" s="47" t="n"/>
      <c r="H1029" s="51" t="n"/>
      <c r="I1029" s="51" t="n"/>
      <c r="J1029" s="51" t="n"/>
      <c r="K1029" s="51" t="n"/>
      <c r="L1029" s="51" t="n"/>
      <c r="N1029" s="51" t="n"/>
      <c r="Q1029" s="51" t="n"/>
      <c r="S1029" s="51" t="n"/>
      <c r="T1029" s="51" t="n"/>
      <c r="U1029" s="51" t="inlineStr"/>
      <c r="V1029" s="55" t="n"/>
      <c r="W1029" s="51" t="inlineStr"/>
      <c r="X1029" s="51" t="inlineStr"/>
      <c r="Y1029" s="51" t="n"/>
      <c r="AB1029" s="57" t="n"/>
      <c r="AC1029" s="90" t="n"/>
      <c r="AD1029" s="90" t="n"/>
      <c r="AE1029" s="88" t="n"/>
      <c r="AF1029" s="91" t="n"/>
      <c r="AG1029" s="91" t="n"/>
      <c r="AH1029" s="88" t="n"/>
      <c r="AI1029" s="88" t="n"/>
      <c r="AJ1029" s="90" t="n"/>
      <c r="AK1029" s="88" t="n"/>
      <c r="AL1029" s="91" t="n"/>
      <c r="AM1029" s="88" t="n"/>
      <c r="AN1029" s="95" t="n"/>
      <c r="AO1029" s="90" t="n"/>
      <c r="AP1029" s="90" t="n"/>
    </row>
    <row r="1030" ht="14.25" customHeight="1" s="84">
      <c r="A1030" s="51" t="n"/>
      <c r="B1030" s="47" t="n"/>
      <c r="C1030" s="51" t="n"/>
      <c r="D1030" s="51" t="n"/>
      <c r="E1030" s="51" t="n"/>
      <c r="F1030" s="51" t="n"/>
      <c r="G1030" s="47" t="n"/>
      <c r="H1030" s="51" t="n"/>
      <c r="I1030" s="51" t="n"/>
      <c r="J1030" s="51" t="n"/>
      <c r="K1030" s="51" t="n"/>
      <c r="L1030" s="51" t="n"/>
      <c r="N1030" s="51" t="n"/>
      <c r="Q1030" s="51" t="n"/>
      <c r="S1030" s="51" t="n"/>
      <c r="T1030" s="51" t="n"/>
      <c r="U1030" s="51" t="inlineStr"/>
      <c r="V1030" s="55" t="n"/>
      <c r="W1030" s="51" t="inlineStr"/>
      <c r="X1030" s="51" t="inlineStr"/>
      <c r="Y1030" s="51" t="n"/>
      <c r="AB1030" s="57" t="n"/>
      <c r="AC1030" s="90" t="n"/>
      <c r="AD1030" s="90" t="n"/>
      <c r="AE1030" s="88" t="n"/>
      <c r="AF1030" s="91" t="n"/>
      <c r="AG1030" s="91" t="n"/>
      <c r="AH1030" s="88" t="n"/>
      <c r="AI1030" s="88" t="n"/>
      <c r="AJ1030" s="90" t="n"/>
      <c r="AK1030" s="88" t="n"/>
      <c r="AL1030" s="91" t="n"/>
      <c r="AM1030" s="88" t="n"/>
      <c r="AN1030" s="95" t="n"/>
      <c r="AO1030" s="90" t="n"/>
      <c r="AP1030" s="90" t="n"/>
    </row>
    <row r="1031" ht="14.25" customHeight="1" s="84">
      <c r="A1031" s="51" t="n"/>
      <c r="B1031" s="47" t="n"/>
      <c r="C1031" s="51" t="n"/>
      <c r="D1031" s="51" t="n"/>
      <c r="E1031" s="51" t="n"/>
      <c r="F1031" s="51" t="n"/>
      <c r="G1031" s="47" t="n"/>
      <c r="H1031" s="51" t="n"/>
      <c r="I1031" s="51" t="n"/>
      <c r="J1031" s="51" t="n"/>
      <c r="K1031" s="51" t="n"/>
      <c r="L1031" s="51" t="n"/>
      <c r="N1031" s="51" t="n"/>
      <c r="Q1031" s="51" t="n"/>
      <c r="S1031" s="51" t="n"/>
      <c r="T1031" s="51" t="n"/>
      <c r="U1031" s="51" t="inlineStr"/>
      <c r="V1031" s="55" t="n"/>
      <c r="W1031" s="51" t="inlineStr"/>
      <c r="X1031" s="51" t="inlineStr"/>
      <c r="Y1031" s="51" t="n"/>
      <c r="AB1031" s="57" t="n"/>
      <c r="AC1031" s="90" t="n"/>
      <c r="AD1031" s="90" t="n"/>
      <c r="AE1031" s="88" t="n"/>
      <c r="AF1031" s="91" t="n"/>
      <c r="AG1031" s="91" t="n"/>
      <c r="AH1031" s="88" t="n"/>
      <c r="AI1031" s="88" t="n"/>
      <c r="AJ1031" s="90" t="n"/>
      <c r="AK1031" s="88" t="n"/>
      <c r="AL1031" s="91" t="n"/>
      <c r="AM1031" s="88" t="n"/>
      <c r="AN1031" s="95" t="n"/>
      <c r="AO1031" s="90" t="n"/>
      <c r="AP1031" s="90" t="n"/>
    </row>
    <row r="1032" ht="14.25" customHeight="1" s="84">
      <c r="A1032" s="51" t="n"/>
      <c r="B1032" s="47" t="n"/>
      <c r="C1032" s="51" t="n"/>
      <c r="D1032" s="51" t="n"/>
      <c r="E1032" s="51" t="n"/>
      <c r="F1032" s="51" t="n"/>
      <c r="G1032" s="47" t="n"/>
      <c r="H1032" s="51" t="n"/>
      <c r="I1032" s="51" t="n"/>
      <c r="J1032" s="51" t="n"/>
      <c r="K1032" s="51" t="n"/>
      <c r="L1032" s="51" t="n"/>
      <c r="N1032" s="51" t="n"/>
      <c r="Q1032" s="51" t="n"/>
      <c r="S1032" s="51" t="n"/>
      <c r="T1032" s="51" t="n"/>
      <c r="U1032" s="51" t="inlineStr"/>
      <c r="V1032" s="55" t="n"/>
      <c r="W1032" s="51" t="inlineStr"/>
      <c r="X1032" s="51" t="inlineStr"/>
      <c r="Y1032" s="51" t="n"/>
      <c r="AB1032" s="57" t="n"/>
      <c r="AC1032" s="90" t="n"/>
      <c r="AD1032" s="90" t="n"/>
      <c r="AE1032" s="88" t="n"/>
      <c r="AF1032" s="91" t="n"/>
      <c r="AG1032" s="91" t="n"/>
      <c r="AH1032" s="88" t="n"/>
      <c r="AI1032" s="88" t="n"/>
      <c r="AJ1032" s="90" t="n"/>
      <c r="AK1032" s="88" t="n"/>
      <c r="AL1032" s="91" t="n"/>
      <c r="AM1032" s="88" t="n"/>
      <c r="AN1032" s="95" t="n"/>
      <c r="AO1032" s="90" t="n"/>
      <c r="AP1032" s="90" t="n"/>
    </row>
    <row r="1033" ht="14.25" customHeight="1" s="84">
      <c r="A1033" s="51" t="n"/>
      <c r="B1033" s="47" t="n"/>
      <c r="C1033" s="51" t="n"/>
      <c r="D1033" s="51" t="n"/>
      <c r="E1033" s="51" t="n"/>
      <c r="F1033" s="51" t="n"/>
      <c r="G1033" s="47" t="n"/>
      <c r="H1033" s="51" t="n"/>
      <c r="I1033" s="51" t="n"/>
      <c r="J1033" s="51" t="n"/>
      <c r="K1033" s="51" t="n"/>
      <c r="L1033" s="51" t="n"/>
      <c r="N1033" s="51" t="n"/>
      <c r="Q1033" s="51" t="n"/>
      <c r="S1033" s="51" t="n"/>
      <c r="T1033" s="51" t="n"/>
      <c r="U1033" s="51" t="inlineStr"/>
      <c r="V1033" s="55" t="n"/>
      <c r="W1033" s="51" t="inlineStr"/>
      <c r="X1033" s="51" t="inlineStr"/>
      <c r="Y1033" s="51" t="n"/>
      <c r="AB1033" s="57" t="n"/>
      <c r="AC1033" s="90" t="n"/>
      <c r="AD1033" s="90" t="n"/>
      <c r="AE1033" s="88" t="n"/>
      <c r="AF1033" s="91" t="n"/>
      <c r="AG1033" s="91" t="n"/>
      <c r="AH1033" s="88" t="n"/>
      <c r="AI1033" s="88" t="n"/>
      <c r="AJ1033" s="90" t="n"/>
      <c r="AK1033" s="88" t="n"/>
      <c r="AL1033" s="91" t="n"/>
      <c r="AM1033" s="88" t="n"/>
      <c r="AN1033" s="95" t="n"/>
      <c r="AO1033" s="90" t="n"/>
      <c r="AP1033" s="90" t="n"/>
    </row>
    <row r="1034" ht="14.25" customHeight="1" s="84">
      <c r="A1034" s="51" t="n"/>
      <c r="B1034" s="47" t="n"/>
      <c r="C1034" s="51" t="n"/>
      <c r="D1034" s="51" t="n"/>
      <c r="E1034" s="51" t="n"/>
      <c r="F1034" s="51" t="n"/>
      <c r="G1034" s="47" t="n"/>
      <c r="H1034" s="51" t="n"/>
      <c r="I1034" s="51" t="n"/>
      <c r="J1034" s="51" t="n"/>
      <c r="K1034" s="51" t="n"/>
      <c r="L1034" s="51" t="n"/>
      <c r="N1034" s="51" t="n"/>
      <c r="Q1034" s="51" t="n"/>
      <c r="S1034" s="51" t="n"/>
      <c r="T1034" s="51" t="n"/>
      <c r="U1034" s="51" t="inlineStr"/>
      <c r="V1034" s="55" t="n"/>
      <c r="W1034" s="51" t="inlineStr"/>
      <c r="X1034" s="51" t="inlineStr"/>
      <c r="Y1034" s="51" t="n"/>
      <c r="AB1034" s="57" t="n"/>
      <c r="AC1034" s="90" t="n"/>
      <c r="AD1034" s="90" t="n"/>
      <c r="AE1034" s="88" t="n"/>
      <c r="AF1034" s="91" t="n"/>
      <c r="AG1034" s="91" t="n"/>
      <c r="AH1034" s="88" t="n"/>
      <c r="AI1034" s="88" t="n"/>
      <c r="AJ1034" s="90" t="n"/>
      <c r="AK1034" s="88" t="n"/>
      <c r="AL1034" s="91" t="n"/>
      <c r="AM1034" s="88" t="n"/>
      <c r="AN1034" s="95" t="n"/>
      <c r="AO1034" s="90" t="n"/>
      <c r="AP1034" s="90" t="n"/>
    </row>
    <row r="1035" ht="14.25" customHeight="1" s="84">
      <c r="A1035" s="51" t="n"/>
      <c r="B1035" s="47" t="n"/>
      <c r="C1035" s="51" t="n"/>
      <c r="D1035" s="51" t="n"/>
      <c r="E1035" s="51" t="n"/>
      <c r="F1035" s="51" t="n"/>
      <c r="G1035" s="47" t="n"/>
      <c r="H1035" s="51" t="n"/>
      <c r="I1035" s="51" t="n"/>
      <c r="J1035" s="51" t="n"/>
      <c r="K1035" s="51" t="n"/>
      <c r="L1035" s="51" t="n"/>
      <c r="N1035" s="51" t="n"/>
      <c r="Q1035" s="51" t="n"/>
      <c r="S1035" s="51" t="n"/>
      <c r="T1035" s="51" t="n"/>
      <c r="U1035" s="51" t="inlineStr"/>
      <c r="V1035" s="55" t="n"/>
      <c r="W1035" s="51" t="inlineStr"/>
      <c r="X1035" s="51" t="inlineStr"/>
      <c r="Y1035" s="51" t="n"/>
      <c r="AB1035" s="57" t="n"/>
      <c r="AC1035" s="90" t="n"/>
      <c r="AD1035" s="90" t="n"/>
      <c r="AE1035" s="88" t="n"/>
      <c r="AF1035" s="91" t="n"/>
      <c r="AG1035" s="91" t="n"/>
      <c r="AH1035" s="88" t="n"/>
      <c r="AI1035" s="88" t="n"/>
      <c r="AJ1035" s="90" t="n"/>
      <c r="AK1035" s="88" t="n"/>
      <c r="AL1035" s="91" t="n"/>
      <c r="AM1035" s="88" t="n"/>
      <c r="AN1035" s="95" t="n"/>
      <c r="AO1035" s="90" t="n"/>
      <c r="AP1035" s="90" t="n"/>
    </row>
    <row r="1036" ht="14.25" customHeight="1" s="84">
      <c r="A1036" s="51" t="n"/>
      <c r="B1036" s="47" t="n"/>
      <c r="C1036" s="51" t="n"/>
      <c r="D1036" s="51" t="n"/>
      <c r="E1036" s="51" t="n"/>
      <c r="F1036" s="51" t="n"/>
      <c r="G1036" s="47" t="n"/>
      <c r="H1036" s="51" t="n"/>
      <c r="I1036" s="51" t="n"/>
      <c r="J1036" s="51" t="n"/>
      <c r="K1036" s="51" t="n"/>
      <c r="L1036" s="51" t="n"/>
      <c r="N1036" s="51" t="n"/>
      <c r="Q1036" s="51" t="n"/>
      <c r="S1036" s="51" t="n"/>
      <c r="T1036" s="51" t="n"/>
      <c r="U1036" s="51" t="inlineStr"/>
      <c r="V1036" s="55" t="n"/>
      <c r="W1036" s="51" t="inlineStr"/>
      <c r="X1036" s="51" t="inlineStr"/>
      <c r="Y1036" s="51" t="n"/>
      <c r="AB1036" s="57" t="n"/>
      <c r="AC1036" s="90" t="n"/>
      <c r="AD1036" s="90" t="n"/>
      <c r="AE1036" s="88" t="n"/>
      <c r="AF1036" s="91" t="n"/>
      <c r="AG1036" s="91" t="n"/>
      <c r="AH1036" s="88" t="n"/>
      <c r="AI1036" s="88" t="n"/>
      <c r="AJ1036" s="90" t="n"/>
      <c r="AK1036" s="88" t="n"/>
      <c r="AL1036" s="91" t="n"/>
      <c r="AM1036" s="88" t="n"/>
      <c r="AN1036" s="95" t="n"/>
      <c r="AO1036" s="90" t="n"/>
      <c r="AP1036" s="90" t="n"/>
    </row>
    <row r="1037" ht="14.25" customHeight="1" s="84">
      <c r="A1037" s="51" t="n"/>
      <c r="B1037" s="47" t="n"/>
      <c r="C1037" s="51" t="n"/>
      <c r="D1037" s="51" t="n"/>
      <c r="E1037" s="51" t="n"/>
      <c r="F1037" s="51" t="n"/>
      <c r="G1037" s="47" t="n"/>
      <c r="H1037" s="51" t="n"/>
      <c r="I1037" s="51" t="n"/>
      <c r="J1037" s="51" t="n"/>
      <c r="K1037" s="51" t="n"/>
      <c r="L1037" s="51" t="n"/>
      <c r="N1037" s="51" t="n"/>
      <c r="Q1037" s="51" t="n"/>
      <c r="S1037" s="51" t="n"/>
      <c r="T1037" s="51" t="n"/>
      <c r="U1037" s="51" t="inlineStr"/>
      <c r="V1037" s="55" t="n"/>
      <c r="W1037" s="51" t="inlineStr"/>
      <c r="X1037" s="51" t="inlineStr"/>
      <c r="Y1037" s="51" t="n"/>
      <c r="AB1037" s="57" t="n"/>
      <c r="AC1037" s="90" t="n"/>
      <c r="AD1037" s="90" t="n"/>
      <c r="AE1037" s="88" t="n"/>
      <c r="AF1037" s="91" t="n"/>
      <c r="AG1037" s="91" t="n"/>
      <c r="AH1037" s="88" t="n"/>
      <c r="AI1037" s="88" t="n"/>
      <c r="AJ1037" s="90" t="n"/>
      <c r="AK1037" s="88" t="n"/>
      <c r="AL1037" s="91" t="n"/>
      <c r="AM1037" s="88" t="n"/>
      <c r="AN1037" s="95" t="n"/>
      <c r="AO1037" s="90" t="n"/>
      <c r="AP1037" s="90" t="n"/>
    </row>
    <row r="1038" ht="14.25" customHeight="1" s="84">
      <c r="A1038" s="51" t="n"/>
      <c r="B1038" s="47" t="n"/>
      <c r="C1038" s="51" t="n"/>
      <c r="D1038" s="51" t="n"/>
      <c r="E1038" s="51" t="n"/>
      <c r="F1038" s="51" t="n"/>
      <c r="G1038" s="47" t="n"/>
      <c r="H1038" s="51" t="n"/>
      <c r="I1038" s="51" t="n"/>
      <c r="J1038" s="51" t="n"/>
      <c r="K1038" s="51" t="n"/>
      <c r="L1038" s="51" t="n"/>
      <c r="N1038" s="51" t="n"/>
      <c r="Q1038" s="51" t="n"/>
      <c r="S1038" s="51" t="n"/>
      <c r="T1038" s="51" t="n"/>
      <c r="U1038" s="51" t="inlineStr"/>
      <c r="V1038" s="55" t="n"/>
      <c r="W1038" s="51" t="inlineStr"/>
      <c r="X1038" s="51" t="inlineStr"/>
      <c r="Y1038" s="51" t="n"/>
      <c r="AB1038" s="57" t="n"/>
      <c r="AC1038" s="90" t="n"/>
      <c r="AD1038" s="90" t="n"/>
      <c r="AE1038" s="88" t="n"/>
      <c r="AF1038" s="91" t="n"/>
      <c r="AG1038" s="91" t="n"/>
      <c r="AH1038" s="88" t="n"/>
      <c r="AI1038" s="88" t="n"/>
      <c r="AJ1038" s="90" t="n"/>
      <c r="AK1038" s="88" t="n"/>
      <c r="AL1038" s="91" t="n"/>
      <c r="AM1038" s="88" t="n"/>
      <c r="AN1038" s="95" t="n"/>
      <c r="AO1038" s="90" t="n"/>
      <c r="AP1038" s="90" t="n"/>
    </row>
    <row r="1039" ht="14.25" customHeight="1" s="84">
      <c r="A1039" s="51" t="n"/>
      <c r="B1039" s="47" t="n"/>
      <c r="C1039" s="51" t="n"/>
      <c r="D1039" s="51" t="n"/>
      <c r="E1039" s="51" t="n"/>
      <c r="F1039" s="51" t="n"/>
      <c r="G1039" s="47" t="n"/>
      <c r="H1039" s="51" t="n"/>
      <c r="I1039" s="51" t="n"/>
      <c r="J1039" s="51" t="n"/>
      <c r="K1039" s="51" t="n"/>
      <c r="L1039" s="51" t="n"/>
      <c r="N1039" s="51" t="n"/>
      <c r="Q1039" s="51" t="n"/>
      <c r="S1039" s="51" t="n"/>
      <c r="T1039" s="51" t="n"/>
      <c r="U1039" s="51" t="inlineStr"/>
      <c r="V1039" s="55" t="n"/>
      <c r="W1039" s="51" t="inlineStr"/>
      <c r="X1039" s="51" t="inlineStr"/>
      <c r="Y1039" s="51" t="n"/>
      <c r="AB1039" s="57" t="n"/>
      <c r="AC1039" s="90" t="n"/>
      <c r="AD1039" s="90" t="n"/>
      <c r="AE1039" s="88" t="n"/>
      <c r="AF1039" s="91" t="n"/>
      <c r="AG1039" s="91" t="n"/>
      <c r="AH1039" s="88" t="n"/>
      <c r="AI1039" s="88" t="n"/>
      <c r="AJ1039" s="90" t="n"/>
      <c r="AK1039" s="88" t="n"/>
      <c r="AL1039" s="91" t="n"/>
      <c r="AM1039" s="88" t="n"/>
      <c r="AN1039" s="95" t="n"/>
      <c r="AO1039" s="90" t="n"/>
      <c r="AP1039" s="90" t="n"/>
    </row>
    <row r="1040" ht="14.25" customHeight="1" s="84">
      <c r="A1040" s="51" t="n"/>
      <c r="B1040" s="47" t="n"/>
      <c r="C1040" s="51" t="n"/>
      <c r="D1040" s="51" t="n"/>
      <c r="E1040" s="51" t="n"/>
      <c r="F1040" s="51" t="n"/>
      <c r="G1040" s="47" t="n"/>
      <c r="H1040" s="51" t="n"/>
      <c r="I1040" s="51" t="n"/>
      <c r="J1040" s="51" t="n"/>
      <c r="K1040" s="51" t="n"/>
      <c r="L1040" s="51" t="n"/>
      <c r="N1040" s="51" t="n"/>
      <c r="Q1040" s="51" t="n"/>
      <c r="S1040" s="51" t="n"/>
      <c r="T1040" s="51" t="n"/>
      <c r="U1040" s="51" t="inlineStr"/>
      <c r="V1040" s="55" t="n"/>
      <c r="W1040" s="51" t="inlineStr"/>
      <c r="X1040" s="51" t="inlineStr"/>
      <c r="Y1040" s="51" t="n"/>
      <c r="AB1040" s="57" t="n"/>
      <c r="AC1040" s="90" t="n"/>
      <c r="AD1040" s="90" t="n"/>
      <c r="AE1040" s="88" t="n"/>
      <c r="AF1040" s="91" t="n"/>
      <c r="AG1040" s="91" t="n"/>
      <c r="AH1040" s="88" t="n"/>
      <c r="AI1040" s="88" t="n"/>
      <c r="AJ1040" s="90" t="n"/>
      <c r="AK1040" s="88" t="n"/>
      <c r="AL1040" s="91" t="n"/>
      <c r="AM1040" s="88" t="n"/>
      <c r="AN1040" s="95" t="n"/>
      <c r="AO1040" s="90" t="n"/>
      <c r="AP1040" s="90" t="n"/>
    </row>
    <row r="1041" ht="14.25" customHeight="1" s="84">
      <c r="A1041" s="51" t="n"/>
      <c r="B1041" s="47" t="n"/>
      <c r="C1041" s="51" t="n"/>
      <c r="D1041" s="51" t="n"/>
      <c r="E1041" s="51" t="n"/>
      <c r="F1041" s="51" t="n"/>
      <c r="G1041" s="47" t="n"/>
      <c r="H1041" s="51" t="n"/>
      <c r="I1041" s="51" t="n"/>
      <c r="J1041" s="51" t="n"/>
      <c r="K1041" s="51" t="n"/>
      <c r="L1041" s="51" t="n"/>
      <c r="N1041" s="51" t="n"/>
      <c r="Q1041" s="51" t="n"/>
      <c r="S1041" s="51" t="n"/>
      <c r="T1041" s="51" t="n"/>
      <c r="U1041" s="51" t="inlineStr"/>
      <c r="V1041" s="55" t="n"/>
      <c r="W1041" s="51" t="inlineStr"/>
      <c r="X1041" s="51" t="inlineStr"/>
      <c r="Y1041" s="51" t="n"/>
      <c r="AB1041" s="57" t="n"/>
      <c r="AC1041" s="90" t="n"/>
      <c r="AD1041" s="90" t="n"/>
      <c r="AE1041" s="88" t="n"/>
      <c r="AF1041" s="91" t="n"/>
      <c r="AG1041" s="91" t="n"/>
      <c r="AH1041" s="88" t="n"/>
      <c r="AI1041" s="88" t="n"/>
      <c r="AJ1041" s="90" t="n"/>
      <c r="AK1041" s="88" t="n"/>
      <c r="AL1041" s="91" t="n"/>
      <c r="AM1041" s="88" t="n"/>
      <c r="AN1041" s="95" t="n"/>
      <c r="AO1041" s="90" t="n"/>
      <c r="AP1041" s="90" t="n"/>
    </row>
    <row r="1042" ht="14.25" customHeight="1" s="84">
      <c r="A1042" s="51" t="n"/>
      <c r="B1042" s="47" t="n"/>
      <c r="C1042" s="51" t="n"/>
      <c r="D1042" s="51" t="n"/>
      <c r="E1042" s="51" t="n"/>
      <c r="F1042" s="51" t="n"/>
      <c r="G1042" s="47" t="n"/>
      <c r="H1042" s="51" t="n"/>
      <c r="I1042" s="51" t="n"/>
      <c r="J1042" s="51" t="n"/>
      <c r="K1042" s="51" t="n"/>
      <c r="L1042" s="51" t="n"/>
      <c r="N1042" s="51" t="n"/>
      <c r="Q1042" s="51" t="n"/>
      <c r="S1042" s="51" t="n"/>
      <c r="T1042" s="51" t="n"/>
      <c r="U1042" s="51" t="inlineStr"/>
      <c r="V1042" s="55" t="n"/>
      <c r="W1042" s="51" t="inlineStr"/>
      <c r="X1042" s="51" t="inlineStr"/>
      <c r="Y1042" s="51" t="n"/>
      <c r="AB1042" s="57" t="n"/>
      <c r="AC1042" s="90" t="n"/>
      <c r="AD1042" s="90" t="n"/>
      <c r="AE1042" s="88" t="n"/>
      <c r="AF1042" s="91" t="n"/>
      <c r="AG1042" s="91" t="n"/>
      <c r="AH1042" s="88" t="n"/>
      <c r="AI1042" s="88" t="n"/>
      <c r="AJ1042" s="90" t="n"/>
      <c r="AK1042" s="88" t="n"/>
      <c r="AL1042" s="91" t="n"/>
      <c r="AM1042" s="88" t="n"/>
      <c r="AN1042" s="95" t="n"/>
      <c r="AO1042" s="90" t="n"/>
      <c r="AP1042" s="90" t="n"/>
    </row>
    <row r="1043" ht="14.25" customHeight="1" s="84">
      <c r="A1043" s="51" t="n"/>
      <c r="B1043" s="47" t="n"/>
      <c r="C1043" s="51" t="n"/>
      <c r="D1043" s="51" t="n"/>
      <c r="E1043" s="51" t="n"/>
      <c r="F1043" s="51" t="n"/>
      <c r="G1043" s="47" t="n"/>
      <c r="H1043" s="51" t="n"/>
      <c r="I1043" s="51" t="n"/>
      <c r="J1043" s="51" t="n"/>
      <c r="K1043" s="51" t="n"/>
      <c r="L1043" s="51" t="n"/>
      <c r="N1043" s="51" t="n"/>
      <c r="Q1043" s="51" t="n"/>
      <c r="S1043" s="51" t="n"/>
      <c r="T1043" s="51" t="n"/>
      <c r="U1043" s="51" t="inlineStr"/>
      <c r="V1043" s="55" t="n"/>
      <c r="W1043" s="51" t="inlineStr"/>
      <c r="X1043" s="51" t="inlineStr"/>
      <c r="Y1043" s="51" t="n"/>
      <c r="AB1043" s="57" t="n"/>
      <c r="AC1043" s="90" t="n"/>
      <c r="AD1043" s="90" t="n"/>
      <c r="AE1043" s="88" t="n"/>
      <c r="AF1043" s="91" t="n"/>
      <c r="AG1043" s="91" t="n"/>
      <c r="AH1043" s="88" t="n"/>
      <c r="AI1043" s="88" t="n"/>
      <c r="AJ1043" s="90" t="n"/>
      <c r="AK1043" s="88" t="n"/>
      <c r="AL1043" s="91" t="n"/>
      <c r="AM1043" s="88" t="n"/>
      <c r="AN1043" s="95" t="n"/>
      <c r="AO1043" s="90" t="n"/>
      <c r="AP1043" s="90" t="n"/>
    </row>
    <row r="1044" ht="14.25" customHeight="1" s="84">
      <c r="A1044" s="51" t="n"/>
      <c r="B1044" s="47" t="n"/>
      <c r="C1044" s="51" t="n"/>
      <c r="D1044" s="51" t="n"/>
      <c r="E1044" s="51" t="n"/>
      <c r="F1044" s="51" t="n"/>
      <c r="G1044" s="47" t="n"/>
      <c r="H1044" s="51" t="n"/>
      <c r="I1044" s="51" t="n"/>
      <c r="J1044" s="51" t="n"/>
      <c r="K1044" s="51" t="n"/>
      <c r="L1044" s="51" t="n"/>
      <c r="N1044" s="51" t="n"/>
      <c r="Q1044" s="51" t="n"/>
      <c r="S1044" s="51" t="n"/>
      <c r="T1044" s="51" t="n"/>
      <c r="U1044" s="51" t="inlineStr"/>
      <c r="V1044" s="55" t="n"/>
      <c r="W1044" s="51" t="inlineStr"/>
      <c r="X1044" s="51" t="inlineStr"/>
      <c r="Y1044" s="51" t="n"/>
      <c r="AB1044" s="57" t="n"/>
      <c r="AC1044" s="90" t="n"/>
      <c r="AD1044" s="90" t="n"/>
      <c r="AE1044" s="88" t="n"/>
      <c r="AF1044" s="91" t="n"/>
      <c r="AG1044" s="91" t="n"/>
      <c r="AH1044" s="88" t="n"/>
      <c r="AI1044" s="88" t="n"/>
      <c r="AJ1044" s="90" t="n"/>
      <c r="AK1044" s="88" t="n"/>
      <c r="AL1044" s="91" t="n"/>
      <c r="AM1044" s="88" t="n"/>
      <c r="AN1044" s="95" t="n"/>
      <c r="AO1044" s="90" t="n"/>
      <c r="AP1044" s="90" t="n"/>
    </row>
    <row r="1045" ht="14.25" customHeight="1" s="84">
      <c r="A1045" s="51" t="n"/>
      <c r="B1045" s="47" t="n"/>
      <c r="C1045" s="51" t="n"/>
      <c r="D1045" s="51" t="n"/>
      <c r="E1045" s="51" t="n"/>
      <c r="F1045" s="51" t="n"/>
      <c r="G1045" s="47" t="n"/>
      <c r="H1045" s="51" t="n"/>
      <c r="I1045" s="51" t="n"/>
      <c r="J1045" s="51" t="n"/>
      <c r="K1045" s="51" t="n"/>
      <c r="L1045" s="51" t="n"/>
      <c r="N1045" s="51" t="n"/>
      <c r="Q1045" s="51" t="n"/>
      <c r="S1045" s="51" t="n"/>
      <c r="T1045" s="51" t="n"/>
      <c r="U1045" s="51" t="inlineStr"/>
      <c r="V1045" s="55" t="n"/>
      <c r="W1045" s="51" t="inlineStr"/>
      <c r="X1045" s="51" t="inlineStr"/>
      <c r="Y1045" s="51" t="n"/>
      <c r="AB1045" s="57" t="n"/>
      <c r="AC1045" s="90" t="n"/>
      <c r="AD1045" s="90" t="n"/>
      <c r="AE1045" s="88" t="n"/>
      <c r="AF1045" s="91" t="n"/>
      <c r="AG1045" s="91" t="n"/>
      <c r="AH1045" s="88" t="n"/>
      <c r="AI1045" s="88" t="n"/>
      <c r="AJ1045" s="90" t="n"/>
      <c r="AK1045" s="88" t="n"/>
      <c r="AL1045" s="91" t="n"/>
      <c r="AM1045" s="88" t="n"/>
      <c r="AN1045" s="95" t="n"/>
      <c r="AO1045" s="90" t="n"/>
      <c r="AP1045" s="90" t="n"/>
    </row>
    <row r="1046" ht="14.25" customHeight="1" s="84">
      <c r="A1046" s="51" t="n"/>
      <c r="B1046" s="47" t="n"/>
      <c r="C1046" s="51" t="n"/>
      <c r="D1046" s="51" t="n"/>
      <c r="E1046" s="51" t="n"/>
      <c r="F1046" s="51" t="n"/>
      <c r="G1046" s="47" t="n"/>
      <c r="H1046" s="51" t="n"/>
      <c r="I1046" s="51" t="n"/>
      <c r="J1046" s="51" t="n"/>
      <c r="K1046" s="51" t="n"/>
      <c r="L1046" s="51" t="n"/>
      <c r="N1046" s="51" t="n"/>
      <c r="Q1046" s="51" t="n"/>
      <c r="S1046" s="51" t="n"/>
      <c r="T1046" s="51" t="n"/>
      <c r="U1046" s="51" t="inlineStr"/>
      <c r="V1046" s="55" t="n"/>
      <c r="W1046" s="51" t="inlineStr"/>
      <c r="X1046" s="51" t="inlineStr"/>
      <c r="Y1046" s="51" t="n"/>
      <c r="AB1046" s="57" t="n"/>
      <c r="AC1046" s="90" t="n"/>
      <c r="AD1046" s="90" t="n"/>
      <c r="AE1046" s="88" t="n"/>
      <c r="AF1046" s="91" t="n"/>
      <c r="AG1046" s="91" t="n"/>
      <c r="AH1046" s="88" t="n"/>
      <c r="AI1046" s="88" t="n"/>
      <c r="AJ1046" s="90" t="n"/>
      <c r="AK1046" s="88" t="n"/>
      <c r="AL1046" s="91" t="n"/>
      <c r="AM1046" s="88" t="n"/>
      <c r="AN1046" s="95" t="n"/>
      <c r="AO1046" s="90" t="n"/>
      <c r="AP1046" s="90" t="n"/>
    </row>
    <row r="1047" ht="14.25" customHeight="1" s="84">
      <c r="A1047" s="51" t="n"/>
      <c r="B1047" s="47" t="n"/>
      <c r="C1047" s="51" t="n"/>
      <c r="D1047" s="51" t="n"/>
      <c r="E1047" s="51" t="n"/>
      <c r="F1047" s="51" t="n"/>
      <c r="G1047" s="47" t="n"/>
      <c r="H1047" s="51" t="n"/>
      <c r="I1047" s="51" t="n"/>
      <c r="J1047" s="51" t="n"/>
      <c r="K1047" s="51" t="n"/>
      <c r="L1047" s="51" t="n"/>
      <c r="N1047" s="51" t="n"/>
      <c r="Q1047" s="51" t="n"/>
      <c r="S1047" s="51" t="n"/>
      <c r="T1047" s="51" t="n"/>
      <c r="U1047" s="51" t="inlineStr"/>
      <c r="V1047" s="55" t="n"/>
      <c r="W1047" s="51" t="inlineStr"/>
      <c r="X1047" s="51" t="inlineStr"/>
      <c r="Y1047" s="51" t="n"/>
      <c r="AB1047" s="57" t="n"/>
      <c r="AC1047" s="90" t="n"/>
      <c r="AD1047" s="90" t="n"/>
      <c r="AE1047" s="88" t="n"/>
      <c r="AF1047" s="91" t="n"/>
      <c r="AG1047" s="91" t="n"/>
      <c r="AH1047" s="88" t="n"/>
      <c r="AI1047" s="88" t="n"/>
      <c r="AJ1047" s="90" t="n"/>
      <c r="AK1047" s="88" t="n"/>
      <c r="AL1047" s="91" t="n"/>
      <c r="AM1047" s="88" t="n"/>
      <c r="AN1047" s="95" t="n"/>
      <c r="AO1047" s="90" t="n"/>
      <c r="AP1047" s="90" t="n"/>
    </row>
    <row r="1048" ht="14.25" customHeight="1" s="84">
      <c r="A1048" s="51" t="n"/>
      <c r="B1048" s="47" t="n"/>
      <c r="C1048" s="51" t="n"/>
      <c r="D1048" s="51" t="n"/>
      <c r="E1048" s="51" t="n"/>
      <c r="F1048" s="51" t="n"/>
      <c r="G1048" s="47" t="n"/>
      <c r="H1048" s="51" t="n"/>
      <c r="I1048" s="51" t="n"/>
      <c r="J1048" s="51" t="n"/>
      <c r="K1048" s="51" t="n"/>
      <c r="L1048" s="51" t="n"/>
      <c r="N1048" s="51" t="n"/>
      <c r="Q1048" s="51" t="n"/>
      <c r="S1048" s="51" t="n"/>
      <c r="T1048" s="51" t="n"/>
      <c r="U1048" s="51" t="inlineStr"/>
      <c r="V1048" s="55" t="n"/>
      <c r="W1048" s="51" t="inlineStr"/>
      <c r="X1048" s="51" t="inlineStr"/>
      <c r="Y1048" s="51" t="n"/>
      <c r="AB1048" s="57" t="n"/>
      <c r="AC1048" s="90" t="n"/>
      <c r="AD1048" s="90" t="n"/>
      <c r="AE1048" s="88" t="n"/>
      <c r="AF1048" s="91" t="n"/>
      <c r="AG1048" s="91" t="n"/>
      <c r="AH1048" s="88" t="n"/>
      <c r="AI1048" s="88" t="n"/>
      <c r="AJ1048" s="90" t="n"/>
      <c r="AK1048" s="88" t="n"/>
      <c r="AL1048" s="91" t="n"/>
      <c r="AM1048" s="88" t="n"/>
      <c r="AN1048" s="95" t="n"/>
      <c r="AO1048" s="90" t="n"/>
      <c r="AP1048" s="90" t="n"/>
    </row>
    <row r="1049" ht="14.25" customHeight="1" s="84">
      <c r="A1049" s="51" t="n"/>
      <c r="B1049" s="47" t="n"/>
      <c r="C1049" s="51" t="n"/>
      <c r="D1049" s="51" t="n"/>
      <c r="E1049" s="51" t="n"/>
      <c r="F1049" s="51" t="n"/>
      <c r="G1049" s="47" t="n"/>
      <c r="H1049" s="51" t="n"/>
      <c r="I1049" s="51" t="n"/>
      <c r="J1049" s="51" t="n"/>
      <c r="K1049" s="51" t="n"/>
      <c r="L1049" s="51" t="n"/>
      <c r="N1049" s="51" t="n"/>
      <c r="Q1049" s="51" t="n"/>
      <c r="S1049" s="51" t="n"/>
      <c r="T1049" s="51" t="n"/>
      <c r="U1049" s="51" t="inlineStr"/>
      <c r="V1049" s="55" t="n"/>
      <c r="W1049" s="51" t="inlineStr"/>
      <c r="X1049" s="51" t="inlineStr"/>
      <c r="Y1049" s="51" t="n"/>
      <c r="AB1049" s="57" t="n"/>
      <c r="AC1049" s="90" t="n"/>
      <c r="AD1049" s="90" t="n"/>
      <c r="AE1049" s="88" t="n"/>
      <c r="AF1049" s="91" t="n"/>
      <c r="AG1049" s="91" t="n"/>
      <c r="AH1049" s="88" t="n"/>
      <c r="AI1049" s="88" t="n"/>
      <c r="AJ1049" s="90" t="n"/>
      <c r="AK1049" s="88" t="n"/>
      <c r="AL1049" s="91" t="n"/>
      <c r="AM1049" s="88" t="n"/>
      <c r="AN1049" s="95" t="n"/>
      <c r="AO1049" s="90" t="n"/>
      <c r="AP1049" s="90" t="n"/>
    </row>
    <row r="1050" ht="14.25" customHeight="1" s="84">
      <c r="A1050" s="51" t="n"/>
      <c r="B1050" s="47" t="n"/>
      <c r="C1050" s="51" t="n"/>
      <c r="D1050" s="51" t="n"/>
      <c r="E1050" s="51" t="n"/>
      <c r="F1050" s="51" t="n"/>
      <c r="G1050" s="47" t="n"/>
      <c r="H1050" s="51" t="n"/>
      <c r="I1050" s="51" t="n"/>
      <c r="J1050" s="51" t="n"/>
      <c r="K1050" s="51" t="n"/>
      <c r="L1050" s="51" t="n"/>
      <c r="N1050" s="51" t="n"/>
      <c r="Q1050" s="51" t="n"/>
      <c r="S1050" s="51" t="n"/>
      <c r="T1050" s="51" t="n"/>
      <c r="U1050" s="51" t="inlineStr"/>
      <c r="V1050" s="55" t="n"/>
      <c r="W1050" s="51" t="inlineStr"/>
      <c r="X1050" s="51" t="inlineStr"/>
      <c r="Y1050" s="51" t="n"/>
      <c r="AB1050" s="57" t="n"/>
      <c r="AC1050" s="90" t="n"/>
      <c r="AD1050" s="90" t="n"/>
      <c r="AE1050" s="88" t="n"/>
      <c r="AF1050" s="91" t="n"/>
      <c r="AG1050" s="91" t="n"/>
      <c r="AH1050" s="88" t="n"/>
      <c r="AI1050" s="88" t="n"/>
      <c r="AJ1050" s="90" t="n"/>
      <c r="AK1050" s="88" t="n"/>
      <c r="AL1050" s="91" t="n"/>
      <c r="AM1050" s="88" t="n"/>
      <c r="AN1050" s="95" t="n"/>
      <c r="AO1050" s="90" t="n"/>
      <c r="AP1050" s="90" t="n"/>
    </row>
    <row r="1051" ht="14.25" customHeight="1" s="84">
      <c r="A1051" s="51" t="n"/>
      <c r="B1051" s="47" t="n"/>
      <c r="C1051" s="51" t="n"/>
      <c r="D1051" s="51" t="n"/>
      <c r="E1051" s="51" t="n"/>
      <c r="F1051" s="51" t="n"/>
      <c r="G1051" s="47" t="n"/>
      <c r="H1051" s="51" t="n"/>
      <c r="I1051" s="51" t="n"/>
      <c r="J1051" s="51" t="n"/>
      <c r="K1051" s="51" t="n"/>
      <c r="L1051" s="51" t="n"/>
      <c r="N1051" s="51" t="n"/>
      <c r="Q1051" s="51" t="n"/>
      <c r="S1051" s="51" t="n"/>
      <c r="T1051" s="51" t="n"/>
      <c r="U1051" s="51" t="inlineStr"/>
      <c r="V1051" s="55" t="n"/>
      <c r="W1051" s="51" t="inlineStr"/>
      <c r="X1051" s="51" t="inlineStr"/>
      <c r="Y1051" s="51" t="n"/>
      <c r="AB1051" s="57" t="n"/>
      <c r="AC1051" s="90" t="n"/>
      <c r="AD1051" s="90" t="n"/>
      <c r="AE1051" s="88" t="n"/>
      <c r="AF1051" s="91" t="n"/>
      <c r="AG1051" s="91" t="n"/>
      <c r="AH1051" s="88" t="n"/>
      <c r="AI1051" s="88" t="n"/>
      <c r="AJ1051" s="90" t="n"/>
      <c r="AK1051" s="88" t="n"/>
      <c r="AL1051" s="91" t="n"/>
      <c r="AM1051" s="88" t="n"/>
      <c r="AN1051" s="95" t="n"/>
      <c r="AO1051" s="90" t="n"/>
      <c r="AP1051" s="90" t="n"/>
    </row>
    <row r="1052" ht="14.25" customHeight="1" s="84">
      <c r="A1052" s="51" t="n"/>
      <c r="B1052" s="47" t="n"/>
      <c r="C1052" s="51" t="n"/>
      <c r="D1052" s="51" t="n"/>
      <c r="E1052" s="51" t="n"/>
      <c r="F1052" s="51" t="n"/>
      <c r="G1052" s="47" t="n"/>
      <c r="H1052" s="51" t="n"/>
      <c r="I1052" s="51" t="n"/>
      <c r="J1052" s="51" t="n"/>
      <c r="K1052" s="51" t="n"/>
      <c r="L1052" s="51" t="n"/>
      <c r="N1052" s="51" t="n"/>
      <c r="Q1052" s="51" t="n"/>
      <c r="S1052" s="51" t="n"/>
      <c r="T1052" s="51" t="n"/>
      <c r="U1052" s="51" t="inlineStr"/>
      <c r="V1052" s="55" t="n"/>
      <c r="W1052" s="51" t="inlineStr"/>
      <c r="X1052" s="51" t="inlineStr"/>
      <c r="Y1052" s="51" t="n"/>
      <c r="AB1052" s="57" t="n"/>
      <c r="AC1052" s="90" t="n"/>
      <c r="AD1052" s="90" t="n"/>
      <c r="AE1052" s="88" t="n"/>
      <c r="AF1052" s="91" t="n"/>
      <c r="AG1052" s="91" t="n"/>
      <c r="AH1052" s="88" t="n"/>
      <c r="AI1052" s="88" t="n"/>
      <c r="AJ1052" s="90" t="n"/>
      <c r="AK1052" s="88" t="n"/>
      <c r="AL1052" s="91" t="n"/>
      <c r="AM1052" s="88" t="n"/>
      <c r="AN1052" s="95" t="n"/>
      <c r="AO1052" s="90" t="n"/>
      <c r="AP1052" s="90" t="n"/>
    </row>
    <row r="1053" ht="14.25" customHeight="1" s="84">
      <c r="A1053" s="51" t="n"/>
      <c r="B1053" s="47" t="n"/>
      <c r="C1053" s="51" t="n"/>
      <c r="D1053" s="51" t="n"/>
      <c r="E1053" s="51" t="n"/>
      <c r="F1053" s="51" t="n"/>
      <c r="G1053" s="47" t="n"/>
      <c r="H1053" s="51" t="n"/>
      <c r="I1053" s="51" t="n"/>
      <c r="J1053" s="51" t="n"/>
      <c r="K1053" s="51" t="n"/>
      <c r="L1053" s="51" t="n"/>
      <c r="N1053" s="51" t="n"/>
      <c r="Q1053" s="51" t="n"/>
      <c r="S1053" s="51" t="n"/>
      <c r="T1053" s="51" t="n"/>
      <c r="U1053" s="51" t="inlineStr"/>
      <c r="V1053" s="55" t="n"/>
      <c r="W1053" s="51" t="inlineStr"/>
      <c r="X1053" s="51" t="inlineStr"/>
      <c r="Y1053" s="51" t="n"/>
      <c r="AB1053" s="57" t="n"/>
      <c r="AC1053" s="90" t="n"/>
      <c r="AD1053" s="90" t="n"/>
      <c r="AE1053" s="88" t="n"/>
      <c r="AF1053" s="91" t="n"/>
      <c r="AG1053" s="91" t="n"/>
      <c r="AH1053" s="88" t="n"/>
      <c r="AI1053" s="88" t="n"/>
      <c r="AJ1053" s="90" t="n"/>
      <c r="AK1053" s="88" t="n"/>
      <c r="AL1053" s="91" t="n"/>
      <c r="AM1053" s="88" t="n"/>
      <c r="AN1053" s="95" t="n"/>
      <c r="AO1053" s="90" t="n"/>
      <c r="AP1053" s="90" t="n"/>
    </row>
    <row r="1054" ht="14.25" customHeight="1" s="84">
      <c r="A1054" s="51" t="n"/>
      <c r="B1054" s="47" t="n"/>
      <c r="C1054" s="51" t="n"/>
      <c r="D1054" s="51" t="n"/>
      <c r="E1054" s="51" t="n"/>
      <c r="F1054" s="51" t="n"/>
      <c r="G1054" s="47" t="n"/>
      <c r="H1054" s="51" t="n"/>
      <c r="I1054" s="51" t="n"/>
      <c r="J1054" s="51" t="n"/>
      <c r="K1054" s="51" t="n"/>
      <c r="L1054" s="51" t="n"/>
      <c r="N1054" s="51" t="n"/>
      <c r="Q1054" s="51" t="n"/>
      <c r="S1054" s="51" t="n"/>
      <c r="T1054" s="51" t="n"/>
      <c r="U1054" s="51" t="inlineStr"/>
      <c r="V1054" s="55" t="n"/>
      <c r="W1054" s="51" t="inlineStr"/>
      <c r="X1054" s="51" t="inlineStr"/>
      <c r="Y1054" s="51" t="n"/>
      <c r="AB1054" s="57" t="n"/>
      <c r="AC1054" s="90" t="n"/>
      <c r="AD1054" s="90" t="n"/>
      <c r="AE1054" s="88" t="n"/>
      <c r="AF1054" s="91" t="n"/>
      <c r="AG1054" s="91" t="n"/>
      <c r="AH1054" s="88" t="n"/>
      <c r="AI1054" s="88" t="n"/>
      <c r="AJ1054" s="90" t="n"/>
      <c r="AK1054" s="88" t="n"/>
      <c r="AL1054" s="91" t="n"/>
      <c r="AM1054" s="88" t="n"/>
      <c r="AN1054" s="95" t="n"/>
      <c r="AO1054" s="90" t="n"/>
      <c r="AP1054" s="90" t="n"/>
    </row>
    <row r="1055" ht="14.25" customHeight="1" s="84">
      <c r="A1055" s="51" t="n"/>
      <c r="B1055" s="47" t="n"/>
      <c r="C1055" s="51" t="n"/>
      <c r="D1055" s="51" t="n"/>
      <c r="E1055" s="51" t="n"/>
      <c r="F1055" s="51" t="n"/>
      <c r="G1055" s="47" t="n"/>
      <c r="H1055" s="51" t="n"/>
      <c r="I1055" s="51" t="n"/>
      <c r="J1055" s="51" t="n"/>
      <c r="K1055" s="51" t="n"/>
      <c r="L1055" s="51" t="n"/>
      <c r="N1055" s="51" t="n"/>
      <c r="Q1055" s="51" t="n"/>
      <c r="S1055" s="51" t="n"/>
      <c r="T1055" s="51" t="n"/>
      <c r="U1055" s="51" t="inlineStr"/>
      <c r="V1055" s="55" t="n"/>
      <c r="W1055" s="51" t="inlineStr"/>
      <c r="X1055" s="51" t="inlineStr"/>
      <c r="Y1055" s="51" t="n"/>
      <c r="AB1055" s="57" t="n"/>
      <c r="AC1055" s="90" t="n"/>
      <c r="AD1055" s="90" t="n"/>
      <c r="AE1055" s="88" t="n"/>
      <c r="AF1055" s="91" t="n"/>
      <c r="AG1055" s="91" t="n"/>
      <c r="AH1055" s="88" t="n"/>
      <c r="AI1055" s="88" t="n"/>
      <c r="AJ1055" s="90" t="n"/>
      <c r="AK1055" s="88" t="n"/>
      <c r="AL1055" s="91" t="n"/>
      <c r="AM1055" s="88" t="n"/>
      <c r="AN1055" s="95" t="n"/>
      <c r="AO1055" s="90" t="n"/>
      <c r="AP1055" s="90" t="n"/>
    </row>
    <row r="1056" ht="14.25" customHeight="1" s="84">
      <c r="A1056" s="51" t="n"/>
      <c r="B1056" s="47" t="n"/>
      <c r="C1056" s="51" t="n"/>
      <c r="D1056" s="51" t="n"/>
      <c r="E1056" s="51" t="n"/>
      <c r="F1056" s="51" t="n"/>
      <c r="G1056" s="47" t="n"/>
      <c r="H1056" s="51" t="n"/>
      <c r="I1056" s="51" t="n"/>
      <c r="J1056" s="51" t="n"/>
      <c r="K1056" s="51" t="n"/>
      <c r="L1056" s="51" t="n"/>
      <c r="N1056" s="51" t="n"/>
      <c r="Q1056" s="51" t="n"/>
      <c r="S1056" s="51" t="n"/>
      <c r="T1056" s="51" t="n"/>
      <c r="U1056" s="51" t="inlineStr"/>
      <c r="V1056" s="55" t="n"/>
      <c r="W1056" s="51" t="inlineStr"/>
      <c r="X1056" s="51" t="inlineStr"/>
      <c r="Y1056" s="51" t="n"/>
      <c r="AB1056" s="57" t="n"/>
      <c r="AC1056" s="90" t="n"/>
      <c r="AD1056" s="90" t="n"/>
      <c r="AE1056" s="88" t="n"/>
      <c r="AF1056" s="91" t="n"/>
      <c r="AG1056" s="91" t="n"/>
      <c r="AH1056" s="88" t="n"/>
      <c r="AI1056" s="88" t="n"/>
      <c r="AJ1056" s="90" t="n"/>
      <c r="AK1056" s="88" t="n"/>
      <c r="AL1056" s="91" t="n"/>
      <c r="AM1056" s="88" t="n"/>
      <c r="AN1056" s="95" t="n"/>
      <c r="AO1056" s="90" t="n"/>
      <c r="AP1056" s="90" t="n"/>
    </row>
    <row r="1057" ht="14.25" customHeight="1" s="84">
      <c r="A1057" s="51" t="n"/>
      <c r="B1057" s="47" t="n"/>
      <c r="C1057" s="51" t="n"/>
      <c r="D1057" s="51" t="n"/>
      <c r="E1057" s="51" t="n"/>
      <c r="F1057" s="51" t="n"/>
      <c r="G1057" s="47" t="n"/>
      <c r="H1057" s="51" t="n"/>
      <c r="I1057" s="51" t="n"/>
      <c r="J1057" s="51" t="n"/>
      <c r="K1057" s="51" t="n"/>
      <c r="L1057" s="51" t="n"/>
      <c r="N1057" s="51" t="n"/>
      <c r="Q1057" s="51" t="n"/>
      <c r="S1057" s="51" t="n"/>
      <c r="T1057" s="51" t="n"/>
      <c r="U1057" s="51" t="inlineStr"/>
      <c r="V1057" s="55" t="n"/>
      <c r="W1057" s="51" t="inlineStr"/>
      <c r="X1057" s="51" t="inlineStr"/>
      <c r="Y1057" s="51" t="n"/>
      <c r="AB1057" s="57" t="n"/>
      <c r="AC1057" s="90" t="n"/>
      <c r="AD1057" s="90" t="n"/>
      <c r="AE1057" s="88" t="n"/>
      <c r="AF1057" s="91" t="n"/>
      <c r="AG1057" s="91" t="n"/>
      <c r="AH1057" s="88" t="n"/>
      <c r="AI1057" s="88" t="n"/>
      <c r="AJ1057" s="90" t="n"/>
      <c r="AK1057" s="88" t="n"/>
      <c r="AL1057" s="91" t="n"/>
      <c r="AM1057" s="88" t="n"/>
      <c r="AN1057" s="95" t="n"/>
      <c r="AO1057" s="90" t="n"/>
      <c r="AP1057" s="90" t="n"/>
    </row>
    <row r="1058" ht="14.25" customHeight="1" s="84">
      <c r="A1058" s="51" t="n"/>
      <c r="B1058" s="47" t="n"/>
      <c r="C1058" s="51" t="n"/>
      <c r="D1058" s="51" t="n"/>
      <c r="E1058" s="51" t="n"/>
      <c r="F1058" s="51" t="n"/>
      <c r="G1058" s="47" t="n"/>
      <c r="H1058" s="51" t="n"/>
      <c r="I1058" s="51" t="n"/>
      <c r="J1058" s="51" t="n"/>
      <c r="K1058" s="51" t="n"/>
      <c r="L1058" s="51" t="n"/>
      <c r="N1058" s="51" t="n"/>
      <c r="Q1058" s="51" t="n"/>
      <c r="S1058" s="51" t="n"/>
      <c r="T1058" s="51" t="n"/>
      <c r="U1058" s="51" t="inlineStr"/>
      <c r="V1058" s="55" t="n"/>
      <c r="W1058" s="51" t="inlineStr"/>
      <c r="X1058" s="51" t="inlineStr"/>
      <c r="Y1058" s="51" t="n"/>
      <c r="AB1058" s="57" t="n"/>
      <c r="AC1058" s="90" t="n"/>
      <c r="AD1058" s="90" t="n"/>
      <c r="AE1058" s="88" t="n"/>
      <c r="AF1058" s="91" t="n"/>
      <c r="AG1058" s="91" t="n"/>
      <c r="AH1058" s="88" t="n"/>
      <c r="AI1058" s="88" t="n"/>
      <c r="AJ1058" s="90" t="n"/>
      <c r="AK1058" s="88" t="n"/>
      <c r="AL1058" s="91" t="n"/>
      <c r="AM1058" s="88" t="n"/>
      <c r="AN1058" s="95" t="n"/>
      <c r="AO1058" s="90" t="n"/>
      <c r="AP1058" s="90" t="n"/>
    </row>
    <row r="1059" ht="14.25" customHeight="1" s="84">
      <c r="A1059" s="51" t="n"/>
      <c r="B1059" s="47" t="n"/>
      <c r="C1059" s="51" t="n"/>
      <c r="D1059" s="51" t="n"/>
      <c r="E1059" s="51" t="n"/>
      <c r="F1059" s="51" t="n"/>
      <c r="G1059" s="47" t="n"/>
      <c r="H1059" s="51" t="n"/>
      <c r="I1059" s="51" t="n"/>
      <c r="J1059" s="51" t="n"/>
      <c r="K1059" s="51" t="n"/>
      <c r="L1059" s="51" t="n"/>
      <c r="N1059" s="51" t="n"/>
      <c r="Q1059" s="51" t="n"/>
      <c r="S1059" s="51" t="n"/>
      <c r="T1059" s="51" t="n"/>
      <c r="U1059" s="51" t="inlineStr"/>
      <c r="V1059" s="55" t="n"/>
      <c r="W1059" s="51" t="inlineStr"/>
      <c r="X1059" s="51" t="inlineStr"/>
      <c r="Y1059" s="51" t="n"/>
      <c r="AB1059" s="57" t="n"/>
      <c r="AC1059" s="90" t="n"/>
      <c r="AD1059" s="90" t="n"/>
      <c r="AE1059" s="88" t="n"/>
      <c r="AF1059" s="91" t="n"/>
      <c r="AG1059" s="91" t="n"/>
      <c r="AH1059" s="88" t="n"/>
      <c r="AI1059" s="88" t="n"/>
      <c r="AJ1059" s="90" t="n"/>
      <c r="AK1059" s="88" t="n"/>
      <c r="AL1059" s="91" t="n"/>
      <c r="AM1059" s="88" t="n"/>
      <c r="AN1059" s="95" t="n"/>
      <c r="AO1059" s="90" t="n"/>
      <c r="AP1059" s="90" t="n"/>
    </row>
    <row r="1060" ht="14.25" customHeight="1" s="84">
      <c r="A1060" s="51" t="n"/>
      <c r="B1060" s="47" t="n"/>
      <c r="C1060" s="51" t="n"/>
      <c r="D1060" s="51" t="n"/>
      <c r="E1060" s="51" t="n"/>
      <c r="F1060" s="51" t="n"/>
      <c r="G1060" s="47" t="n"/>
      <c r="H1060" s="51" t="n"/>
      <c r="I1060" s="51" t="n"/>
      <c r="J1060" s="51" t="n"/>
      <c r="K1060" s="51" t="n"/>
      <c r="L1060" s="51" t="n"/>
      <c r="N1060" s="51" t="n"/>
      <c r="Q1060" s="51" t="n"/>
      <c r="S1060" s="51" t="n"/>
      <c r="T1060" s="51" t="n"/>
      <c r="U1060" s="51" t="inlineStr"/>
      <c r="V1060" s="55" t="n"/>
      <c r="W1060" s="51" t="inlineStr"/>
      <c r="X1060" s="51" t="inlineStr"/>
      <c r="Y1060" s="51" t="n"/>
      <c r="AB1060" s="57" t="n"/>
      <c r="AC1060" s="90" t="n"/>
      <c r="AD1060" s="90" t="n"/>
      <c r="AE1060" s="88" t="n"/>
      <c r="AF1060" s="91" t="n"/>
      <c r="AG1060" s="91" t="n"/>
      <c r="AH1060" s="88" t="n"/>
      <c r="AI1060" s="88" t="n"/>
      <c r="AJ1060" s="90" t="n"/>
      <c r="AK1060" s="88" t="n"/>
      <c r="AL1060" s="91" t="n"/>
      <c r="AM1060" s="88" t="n"/>
      <c r="AN1060" s="95" t="n"/>
      <c r="AO1060" s="90" t="n"/>
      <c r="AP1060" s="90" t="n"/>
    </row>
    <row r="1061" ht="14.25" customHeight="1" s="84">
      <c r="A1061" s="51" t="n"/>
      <c r="B1061" s="47" t="n"/>
      <c r="C1061" s="51" t="n"/>
      <c r="D1061" s="51" t="n"/>
      <c r="E1061" s="51" t="n"/>
      <c r="F1061" s="51" t="n"/>
      <c r="G1061" s="47" t="n"/>
      <c r="H1061" s="51" t="n"/>
      <c r="I1061" s="51" t="n"/>
      <c r="J1061" s="51" t="n"/>
      <c r="K1061" s="51" t="n"/>
      <c r="L1061" s="51" t="n"/>
      <c r="N1061" s="51" t="n"/>
      <c r="Q1061" s="51" t="n"/>
      <c r="S1061" s="51" t="n"/>
      <c r="T1061" s="51" t="n"/>
      <c r="U1061" s="51" t="inlineStr"/>
      <c r="V1061" s="55" t="n"/>
      <c r="W1061" s="51" t="inlineStr"/>
      <c r="X1061" s="51" t="inlineStr"/>
      <c r="Y1061" s="51" t="n"/>
      <c r="AB1061" s="57" t="n"/>
      <c r="AC1061" s="90" t="n"/>
      <c r="AD1061" s="90" t="n"/>
      <c r="AE1061" s="88" t="n"/>
      <c r="AF1061" s="91" t="n"/>
      <c r="AG1061" s="91" t="n"/>
      <c r="AH1061" s="88" t="n"/>
      <c r="AI1061" s="88" t="n"/>
      <c r="AJ1061" s="90" t="n"/>
      <c r="AK1061" s="88" t="n"/>
      <c r="AL1061" s="91" t="n"/>
      <c r="AM1061" s="88" t="n"/>
      <c r="AN1061" s="95" t="n"/>
      <c r="AO1061" s="90" t="n"/>
      <c r="AP1061" s="90" t="n"/>
    </row>
    <row r="1062" ht="14.25" customHeight="1" s="84">
      <c r="A1062" s="51" t="n"/>
      <c r="B1062" s="47" t="n"/>
      <c r="C1062" s="51" t="n"/>
      <c r="D1062" s="51" t="n"/>
      <c r="E1062" s="51" t="n"/>
      <c r="F1062" s="51" t="n"/>
      <c r="G1062" s="47" t="n"/>
      <c r="H1062" s="51" t="n"/>
      <c r="I1062" s="51" t="n"/>
      <c r="J1062" s="51" t="n"/>
      <c r="K1062" s="51" t="n"/>
      <c r="L1062" s="51" t="n"/>
      <c r="N1062" s="51" t="n"/>
      <c r="Q1062" s="51" t="n"/>
      <c r="S1062" s="51" t="n"/>
      <c r="T1062" s="51" t="n"/>
      <c r="U1062" s="51" t="inlineStr"/>
      <c r="V1062" s="55" t="n"/>
      <c r="W1062" s="51" t="inlineStr"/>
      <c r="X1062" s="51" t="inlineStr"/>
      <c r="Y1062" s="51" t="n"/>
      <c r="AB1062" s="57" t="n"/>
      <c r="AC1062" s="90" t="n"/>
      <c r="AD1062" s="90" t="n"/>
      <c r="AE1062" s="88" t="n"/>
      <c r="AF1062" s="91" t="n"/>
      <c r="AG1062" s="91" t="n"/>
      <c r="AH1062" s="88" t="n"/>
      <c r="AI1062" s="88" t="n"/>
      <c r="AJ1062" s="90" t="n"/>
      <c r="AK1062" s="88" t="n"/>
      <c r="AL1062" s="91" t="n"/>
      <c r="AM1062" s="88" t="n"/>
      <c r="AN1062" s="95" t="n"/>
      <c r="AO1062" s="90" t="n"/>
      <c r="AP1062" s="90" t="n"/>
    </row>
    <row r="1063" ht="14.25" customHeight="1" s="84">
      <c r="A1063" s="51" t="n"/>
      <c r="B1063" s="47" t="n"/>
      <c r="C1063" s="51" t="n"/>
      <c r="D1063" s="51" t="n"/>
      <c r="E1063" s="51" t="n"/>
      <c r="F1063" s="51" t="n"/>
      <c r="G1063" s="47" t="n"/>
      <c r="H1063" s="51" t="n"/>
      <c r="I1063" s="51" t="n"/>
      <c r="J1063" s="51" t="n"/>
      <c r="K1063" s="51" t="n"/>
      <c r="L1063" s="51" t="n"/>
      <c r="N1063" s="51" t="n"/>
      <c r="Q1063" s="51" t="n"/>
      <c r="S1063" s="51" t="n"/>
      <c r="T1063" s="51" t="n"/>
      <c r="U1063" s="51" t="inlineStr"/>
      <c r="V1063" s="55" t="n"/>
      <c r="W1063" s="51" t="inlineStr"/>
      <c r="X1063" s="51" t="inlineStr"/>
      <c r="Y1063" s="51" t="n"/>
      <c r="AB1063" s="57" t="n"/>
      <c r="AC1063" s="90" t="n"/>
      <c r="AD1063" s="90" t="n"/>
      <c r="AE1063" s="88" t="n"/>
      <c r="AF1063" s="91" t="n"/>
      <c r="AG1063" s="91" t="n"/>
      <c r="AH1063" s="88" t="n"/>
      <c r="AI1063" s="88" t="n"/>
      <c r="AJ1063" s="90" t="n"/>
      <c r="AK1063" s="88" t="n"/>
      <c r="AL1063" s="91" t="n"/>
      <c r="AM1063" s="88" t="n"/>
      <c r="AN1063" s="95" t="n"/>
      <c r="AO1063" s="90" t="n"/>
      <c r="AP1063" s="90" t="n"/>
    </row>
    <row r="1064" ht="14.25" customHeight="1" s="84">
      <c r="A1064" s="51" t="n"/>
      <c r="B1064" s="47" t="n"/>
      <c r="C1064" s="51" t="n"/>
      <c r="D1064" s="51" t="n"/>
      <c r="E1064" s="51" t="n"/>
      <c r="F1064" s="51" t="n"/>
      <c r="G1064" s="47" t="n"/>
      <c r="H1064" s="51" t="n"/>
      <c r="I1064" s="51" t="n"/>
      <c r="J1064" s="51" t="n"/>
      <c r="K1064" s="51" t="n"/>
      <c r="L1064" s="51" t="n"/>
      <c r="N1064" s="51" t="n"/>
      <c r="Q1064" s="51" t="n"/>
      <c r="S1064" s="51" t="n"/>
      <c r="T1064" s="51" t="n"/>
      <c r="U1064" s="51" t="inlineStr"/>
      <c r="V1064" s="55" t="n"/>
      <c r="W1064" s="51" t="inlineStr"/>
      <c r="X1064" s="51" t="inlineStr"/>
      <c r="Y1064" s="51" t="n"/>
      <c r="AB1064" s="57" t="n"/>
      <c r="AC1064" s="90" t="n"/>
      <c r="AD1064" s="90" t="n"/>
      <c r="AE1064" s="88" t="n"/>
      <c r="AF1064" s="91" t="n"/>
      <c r="AG1064" s="91" t="n"/>
      <c r="AH1064" s="88" t="n"/>
      <c r="AI1064" s="88" t="n"/>
      <c r="AJ1064" s="90" t="n"/>
      <c r="AK1064" s="88" t="n"/>
      <c r="AL1064" s="91" t="n"/>
      <c r="AM1064" s="88" t="n"/>
      <c r="AN1064" s="95" t="n"/>
      <c r="AO1064" s="90" t="n"/>
      <c r="AP1064" s="90" t="n"/>
    </row>
    <row r="1065" ht="14.25" customHeight="1" s="84">
      <c r="A1065" s="51" t="n"/>
      <c r="B1065" s="47" t="n"/>
      <c r="C1065" s="51" t="n"/>
      <c r="D1065" s="51" t="n"/>
      <c r="E1065" s="51" t="n"/>
      <c r="F1065" s="51" t="n"/>
      <c r="G1065" s="47" t="n"/>
      <c r="H1065" s="51" t="n"/>
      <c r="I1065" s="51" t="n"/>
      <c r="J1065" s="51" t="n"/>
      <c r="K1065" s="51" t="n"/>
      <c r="L1065" s="51" t="n"/>
      <c r="N1065" s="51" t="n"/>
      <c r="Q1065" s="51" t="n"/>
      <c r="S1065" s="51" t="n"/>
      <c r="T1065" s="51" t="n"/>
      <c r="U1065" s="51" t="inlineStr"/>
      <c r="V1065" s="55" t="n"/>
      <c r="W1065" s="51" t="inlineStr"/>
      <c r="X1065" s="51" t="inlineStr"/>
      <c r="Y1065" s="51" t="n"/>
      <c r="AB1065" s="57" t="n"/>
      <c r="AC1065" s="90" t="n"/>
      <c r="AD1065" s="90" t="n"/>
      <c r="AE1065" s="88" t="n"/>
      <c r="AF1065" s="91" t="n"/>
      <c r="AG1065" s="91" t="n"/>
      <c r="AH1065" s="88" t="n"/>
      <c r="AI1065" s="88" t="n"/>
      <c r="AJ1065" s="90" t="n"/>
      <c r="AK1065" s="88" t="n"/>
      <c r="AL1065" s="91" t="n"/>
      <c r="AM1065" s="88" t="n"/>
      <c r="AN1065" s="95" t="n"/>
      <c r="AO1065" s="90" t="n"/>
      <c r="AP1065" s="90" t="n"/>
    </row>
    <row r="1066" ht="14.25" customHeight="1" s="84">
      <c r="A1066" s="51" t="n"/>
      <c r="B1066" s="47" t="n"/>
      <c r="C1066" s="51" t="n"/>
      <c r="D1066" s="51" t="n"/>
      <c r="E1066" s="51" t="n"/>
      <c r="F1066" s="51" t="n"/>
      <c r="G1066" s="47" t="n"/>
      <c r="H1066" s="51" t="n"/>
      <c r="I1066" s="51" t="n"/>
      <c r="J1066" s="51" t="n"/>
      <c r="K1066" s="51" t="n"/>
      <c r="L1066" s="51" t="n"/>
      <c r="N1066" s="51" t="n"/>
      <c r="Q1066" s="51" t="n"/>
      <c r="S1066" s="51" t="n"/>
      <c r="T1066" s="51" t="n"/>
      <c r="U1066" s="51" t="inlineStr"/>
      <c r="V1066" s="55" t="n"/>
      <c r="W1066" s="51" t="inlineStr"/>
      <c r="X1066" s="51" t="inlineStr"/>
      <c r="Y1066" s="51" t="n"/>
      <c r="AB1066" s="57" t="n"/>
      <c r="AC1066" s="90" t="n"/>
      <c r="AD1066" s="90" t="n"/>
      <c r="AE1066" s="88" t="n"/>
      <c r="AF1066" s="91" t="n"/>
      <c r="AG1066" s="91" t="n"/>
      <c r="AH1066" s="88" t="n"/>
      <c r="AI1066" s="88" t="n"/>
      <c r="AJ1066" s="90" t="n"/>
      <c r="AK1066" s="88" t="n"/>
      <c r="AL1066" s="91" t="n"/>
      <c r="AM1066" s="88" t="n"/>
      <c r="AN1066" s="95" t="n"/>
      <c r="AO1066" s="90" t="n"/>
      <c r="AP1066" s="90" t="n"/>
    </row>
    <row r="1067" ht="14.25" customHeight="1" s="84">
      <c r="A1067" s="51" t="n"/>
      <c r="B1067" s="47" t="n"/>
      <c r="C1067" s="51" t="n"/>
      <c r="D1067" s="51" t="n"/>
      <c r="E1067" s="51" t="n"/>
      <c r="F1067" s="51" t="n"/>
      <c r="G1067" s="47" t="n"/>
      <c r="H1067" s="51" t="n"/>
      <c r="I1067" s="51" t="n"/>
      <c r="J1067" s="51" t="n"/>
      <c r="K1067" s="51" t="n"/>
      <c r="L1067" s="51" t="n"/>
      <c r="N1067" s="51" t="n"/>
      <c r="Q1067" s="51" t="n"/>
      <c r="S1067" s="51" t="n"/>
      <c r="T1067" s="51" t="n"/>
      <c r="U1067" s="51" t="inlineStr"/>
      <c r="V1067" s="55" t="n"/>
      <c r="W1067" s="51" t="inlineStr"/>
      <c r="X1067" s="51" t="inlineStr"/>
      <c r="Y1067" s="51" t="n"/>
      <c r="AB1067" s="57" t="n"/>
      <c r="AC1067" s="90" t="n"/>
      <c r="AD1067" s="90" t="n"/>
      <c r="AE1067" s="88" t="n"/>
      <c r="AF1067" s="91" t="n"/>
      <c r="AG1067" s="91" t="n"/>
      <c r="AH1067" s="88" t="n"/>
      <c r="AI1067" s="88" t="n"/>
      <c r="AJ1067" s="90" t="n"/>
      <c r="AK1067" s="88" t="n"/>
      <c r="AL1067" s="91" t="n"/>
      <c r="AM1067" s="88" t="n"/>
      <c r="AN1067" s="95" t="n"/>
      <c r="AO1067" s="90" t="n"/>
      <c r="AP1067" s="90" t="n"/>
    </row>
    <row r="1068" ht="14.25" customHeight="1" s="84">
      <c r="A1068" s="51" t="n"/>
      <c r="B1068" s="47" t="n"/>
      <c r="C1068" s="51" t="n"/>
      <c r="D1068" s="51" t="n"/>
      <c r="E1068" s="51" t="n"/>
      <c r="F1068" s="51" t="n"/>
      <c r="G1068" s="47" t="n"/>
      <c r="H1068" s="51" t="n"/>
      <c r="I1068" s="51" t="n"/>
      <c r="J1068" s="51" t="n"/>
      <c r="K1068" s="51" t="n"/>
      <c r="L1068" s="51" t="n"/>
      <c r="N1068" s="51" t="n"/>
      <c r="Q1068" s="51" t="n"/>
      <c r="S1068" s="51" t="n"/>
      <c r="T1068" s="51" t="n"/>
      <c r="U1068" s="51" t="inlineStr"/>
      <c r="V1068" s="55" t="n"/>
      <c r="W1068" s="51" t="inlineStr"/>
      <c r="X1068" s="51" t="inlineStr"/>
      <c r="Y1068" s="51" t="n"/>
      <c r="AB1068" s="57" t="n"/>
      <c r="AC1068" s="90" t="n"/>
      <c r="AD1068" s="90" t="n"/>
      <c r="AE1068" s="88" t="n"/>
      <c r="AF1068" s="91" t="n"/>
      <c r="AG1068" s="91" t="n"/>
      <c r="AH1068" s="88" t="n"/>
      <c r="AI1068" s="88" t="n"/>
      <c r="AJ1068" s="90" t="n"/>
      <c r="AK1068" s="88" t="n"/>
      <c r="AL1068" s="91" t="n"/>
      <c r="AM1068" s="88" t="n"/>
      <c r="AN1068" s="95" t="n"/>
      <c r="AO1068" s="90" t="n"/>
      <c r="AP1068" s="90" t="n"/>
    </row>
    <row r="1069" ht="14.25" customHeight="1" s="84">
      <c r="A1069" s="51" t="n"/>
      <c r="B1069" s="47" t="n"/>
      <c r="C1069" s="51" t="n"/>
      <c r="D1069" s="51" t="n"/>
      <c r="E1069" s="51" t="n"/>
      <c r="F1069" s="51" t="n"/>
      <c r="G1069" s="47" t="n"/>
      <c r="H1069" s="51" t="n"/>
      <c r="I1069" s="51" t="n"/>
      <c r="J1069" s="51" t="n"/>
      <c r="K1069" s="51" t="n"/>
      <c r="L1069" s="51" t="n"/>
      <c r="N1069" s="51" t="n"/>
      <c r="Q1069" s="51" t="n"/>
      <c r="S1069" s="51" t="n"/>
      <c r="T1069" s="51" t="n"/>
      <c r="U1069" s="51" t="inlineStr"/>
      <c r="V1069" s="55" t="n"/>
      <c r="W1069" s="51" t="inlineStr"/>
      <c r="X1069" s="51" t="inlineStr"/>
      <c r="Y1069" s="51" t="n"/>
      <c r="AB1069" s="57" t="n"/>
      <c r="AC1069" s="90" t="n"/>
      <c r="AD1069" s="90" t="n"/>
      <c r="AE1069" s="88" t="n"/>
      <c r="AF1069" s="91" t="n"/>
      <c r="AG1069" s="91" t="n"/>
      <c r="AH1069" s="88" t="n"/>
      <c r="AI1069" s="88" t="n"/>
      <c r="AJ1069" s="90" t="n"/>
      <c r="AK1069" s="88" t="n"/>
      <c r="AL1069" s="91" t="n"/>
      <c r="AM1069" s="88" t="n"/>
      <c r="AN1069" s="95" t="n"/>
      <c r="AO1069" s="90" t="n"/>
      <c r="AP1069" s="90" t="n"/>
    </row>
    <row r="1070" ht="14.25" customHeight="1" s="84">
      <c r="A1070" s="51" t="n"/>
      <c r="B1070" s="47" t="n"/>
      <c r="C1070" s="51" t="n"/>
      <c r="D1070" s="51" t="n"/>
      <c r="E1070" s="51" t="n"/>
      <c r="F1070" s="51" t="n"/>
      <c r="G1070" s="47" t="n"/>
      <c r="H1070" s="51" t="n"/>
      <c r="I1070" s="51" t="n"/>
      <c r="J1070" s="51" t="n"/>
      <c r="K1070" s="51" t="n"/>
      <c r="L1070" s="51" t="n"/>
      <c r="N1070" s="51" t="n"/>
      <c r="Q1070" s="51" t="n"/>
      <c r="S1070" s="51" t="n"/>
      <c r="T1070" s="51" t="n"/>
      <c r="U1070" s="51" t="inlineStr"/>
      <c r="V1070" s="55" t="n"/>
      <c r="W1070" s="51" t="inlineStr"/>
      <c r="X1070" s="51" t="inlineStr"/>
      <c r="Y1070" s="51" t="n"/>
      <c r="AB1070" s="57" t="n"/>
      <c r="AC1070" s="90" t="n"/>
      <c r="AD1070" s="90" t="n"/>
      <c r="AE1070" s="88" t="n"/>
      <c r="AF1070" s="91" t="n"/>
      <c r="AG1070" s="91" t="n"/>
      <c r="AH1070" s="88" t="n"/>
      <c r="AI1070" s="88" t="n"/>
      <c r="AJ1070" s="90" t="n"/>
      <c r="AK1070" s="88" t="n"/>
      <c r="AL1070" s="91" t="n"/>
      <c r="AM1070" s="88" t="n"/>
      <c r="AN1070" s="95" t="n"/>
      <c r="AO1070" s="90" t="n"/>
      <c r="AP1070" s="90" t="n"/>
    </row>
    <row r="1071" ht="14.25" customHeight="1" s="84">
      <c r="A1071" s="51" t="n"/>
      <c r="B1071" s="47" t="n"/>
      <c r="C1071" s="51" t="n"/>
      <c r="D1071" s="51" t="n"/>
      <c r="E1071" s="51" t="n"/>
      <c r="F1071" s="51" t="n"/>
      <c r="G1071" s="47" t="n"/>
      <c r="H1071" s="51" t="n"/>
      <c r="I1071" s="51" t="n"/>
      <c r="J1071" s="51" t="n"/>
      <c r="K1071" s="51" t="n"/>
      <c r="L1071" s="51" t="n"/>
      <c r="N1071" s="51" t="n"/>
      <c r="Q1071" s="51" t="n"/>
      <c r="S1071" s="51" t="n"/>
      <c r="T1071" s="51" t="n"/>
      <c r="U1071" s="51" t="inlineStr"/>
      <c r="V1071" s="55" t="n"/>
      <c r="W1071" s="51" t="inlineStr"/>
      <c r="X1071" s="51" t="inlineStr"/>
      <c r="Y1071" s="51" t="n"/>
      <c r="AB1071" s="57" t="n"/>
      <c r="AC1071" s="90" t="n"/>
      <c r="AD1071" s="90" t="n"/>
      <c r="AE1071" s="88" t="n"/>
      <c r="AF1071" s="91" t="n"/>
      <c r="AG1071" s="91" t="n"/>
      <c r="AH1071" s="88" t="n"/>
      <c r="AI1071" s="88" t="n"/>
      <c r="AJ1071" s="90" t="n"/>
      <c r="AK1071" s="88" t="n"/>
      <c r="AL1071" s="91" t="n"/>
      <c r="AM1071" s="88" t="n"/>
      <c r="AN1071" s="95" t="n"/>
      <c r="AO1071" s="90" t="n"/>
      <c r="AP1071" s="90" t="n"/>
    </row>
    <row r="1072" ht="14.25" customHeight="1" s="84">
      <c r="A1072" s="51" t="n"/>
      <c r="B1072" s="47" t="n"/>
      <c r="C1072" s="51" t="n"/>
      <c r="D1072" s="51" t="n"/>
      <c r="E1072" s="51" t="n"/>
      <c r="F1072" s="51" t="n"/>
      <c r="G1072" s="47" t="n"/>
      <c r="H1072" s="51" t="n"/>
      <c r="I1072" s="51" t="n"/>
      <c r="J1072" s="51" t="n"/>
      <c r="K1072" s="51" t="n"/>
      <c r="L1072" s="51" t="n"/>
      <c r="N1072" s="51" t="n"/>
      <c r="Q1072" s="51" t="n"/>
      <c r="S1072" s="51" t="n"/>
      <c r="T1072" s="51" t="n"/>
      <c r="U1072" s="51" t="inlineStr"/>
      <c r="V1072" s="55" t="n"/>
      <c r="W1072" s="51" t="inlineStr"/>
      <c r="X1072" s="51" t="inlineStr"/>
      <c r="Y1072" s="51" t="n"/>
      <c r="AB1072" s="57" t="n"/>
      <c r="AC1072" s="90" t="n"/>
      <c r="AD1072" s="90" t="n"/>
      <c r="AE1072" s="88" t="n"/>
      <c r="AF1072" s="91" t="n"/>
      <c r="AG1072" s="91" t="n"/>
      <c r="AH1072" s="88" t="n"/>
      <c r="AI1072" s="88" t="n"/>
      <c r="AJ1072" s="90" t="n"/>
      <c r="AK1072" s="88" t="n"/>
      <c r="AL1072" s="91" t="n"/>
      <c r="AM1072" s="88" t="n"/>
      <c r="AN1072" s="95" t="n"/>
      <c r="AO1072" s="90" t="n"/>
      <c r="AP1072" s="90" t="n"/>
    </row>
    <row r="1073" ht="14.25" customHeight="1" s="84">
      <c r="A1073" s="51" t="n"/>
      <c r="B1073" s="47" t="n"/>
      <c r="C1073" s="51" t="n"/>
      <c r="D1073" s="51" t="n"/>
      <c r="E1073" s="51" t="n"/>
      <c r="F1073" s="51" t="n"/>
      <c r="G1073" s="47" t="n"/>
      <c r="H1073" s="51" t="n"/>
      <c r="I1073" s="51" t="n"/>
      <c r="J1073" s="51" t="n"/>
      <c r="K1073" s="51" t="n"/>
      <c r="L1073" s="51" t="n"/>
      <c r="N1073" s="51" t="n"/>
      <c r="Q1073" s="51" t="n"/>
      <c r="S1073" s="51" t="n"/>
      <c r="T1073" s="51" t="n"/>
      <c r="U1073" s="51" t="inlineStr"/>
      <c r="V1073" s="55" t="n"/>
      <c r="W1073" s="51" t="inlineStr"/>
      <c r="X1073" s="51" t="inlineStr"/>
      <c r="Y1073" s="51" t="n"/>
      <c r="AB1073" s="57" t="n"/>
      <c r="AC1073" s="90" t="n"/>
      <c r="AD1073" s="90" t="n"/>
      <c r="AE1073" s="88" t="n"/>
      <c r="AF1073" s="91" t="n"/>
      <c r="AG1073" s="91" t="n"/>
      <c r="AH1073" s="88" t="n"/>
      <c r="AI1073" s="88" t="n"/>
      <c r="AJ1073" s="90" t="n"/>
      <c r="AK1073" s="88" t="n"/>
      <c r="AL1073" s="91" t="n"/>
      <c r="AM1073" s="88" t="n"/>
      <c r="AN1073" s="95" t="n"/>
      <c r="AO1073" s="90" t="n"/>
      <c r="AP1073" s="90" t="n"/>
    </row>
    <row r="1074" ht="14.25" customHeight="1" s="84">
      <c r="A1074" s="51" t="n"/>
      <c r="B1074" s="47" t="n"/>
      <c r="C1074" s="51" t="n"/>
      <c r="D1074" s="51" t="n"/>
      <c r="E1074" s="51" t="n"/>
      <c r="F1074" s="51" t="n"/>
      <c r="G1074" s="47" t="n"/>
      <c r="H1074" s="51" t="n"/>
      <c r="I1074" s="51" t="n"/>
      <c r="J1074" s="51" t="n"/>
      <c r="K1074" s="51" t="n"/>
      <c r="L1074" s="51" t="n"/>
      <c r="N1074" s="51" t="n"/>
      <c r="Q1074" s="51" t="n"/>
      <c r="S1074" s="51" t="n"/>
      <c r="T1074" s="51" t="n"/>
      <c r="U1074" s="51" t="inlineStr"/>
      <c r="V1074" s="55" t="n"/>
      <c r="W1074" s="51" t="inlineStr"/>
      <c r="X1074" s="51" t="inlineStr"/>
      <c r="Y1074" s="51" t="n"/>
      <c r="AB1074" s="57" t="n"/>
      <c r="AC1074" s="90" t="n"/>
      <c r="AD1074" s="90" t="n"/>
      <c r="AE1074" s="88" t="n"/>
      <c r="AF1074" s="91" t="n"/>
      <c r="AG1074" s="91" t="n"/>
      <c r="AH1074" s="88" t="n"/>
      <c r="AI1074" s="88" t="n"/>
      <c r="AJ1074" s="90" t="n"/>
      <c r="AK1074" s="88" t="n"/>
      <c r="AL1074" s="91" t="n"/>
      <c r="AM1074" s="88" t="n"/>
      <c r="AN1074" s="95" t="n"/>
      <c r="AO1074" s="90" t="n"/>
      <c r="AP1074" s="90" t="n"/>
    </row>
    <row r="1075" ht="14.25" customHeight="1" s="84">
      <c r="A1075" s="51" t="n"/>
      <c r="B1075" s="47" t="n"/>
      <c r="C1075" s="51" t="n"/>
      <c r="D1075" s="51" t="n"/>
      <c r="E1075" s="51" t="n"/>
      <c r="F1075" s="51" t="n"/>
      <c r="G1075" s="47" t="n"/>
      <c r="H1075" s="51" t="n"/>
      <c r="I1075" s="51" t="n"/>
      <c r="J1075" s="51" t="n"/>
      <c r="K1075" s="51" t="n"/>
      <c r="L1075" s="51" t="n"/>
      <c r="N1075" s="51" t="n"/>
      <c r="Q1075" s="51" t="n"/>
      <c r="S1075" s="51" t="n"/>
      <c r="T1075" s="51" t="n"/>
      <c r="U1075" s="51" t="inlineStr"/>
      <c r="V1075" s="55" t="n"/>
      <c r="W1075" s="51" t="inlineStr"/>
      <c r="X1075" s="51" t="inlineStr"/>
      <c r="Y1075" s="51" t="n"/>
      <c r="AB1075" s="57" t="n"/>
      <c r="AC1075" s="90" t="n"/>
      <c r="AD1075" s="90" t="n"/>
      <c r="AE1075" s="88" t="n"/>
      <c r="AF1075" s="91" t="n"/>
      <c r="AG1075" s="91" t="n"/>
      <c r="AH1075" s="88" t="n"/>
      <c r="AI1075" s="88" t="n"/>
      <c r="AJ1075" s="90" t="n"/>
      <c r="AK1075" s="88" t="n"/>
      <c r="AL1075" s="91" t="n"/>
      <c r="AM1075" s="88" t="n"/>
      <c r="AN1075" s="95" t="n"/>
      <c r="AO1075" s="90" t="n"/>
      <c r="AP1075" s="90" t="n"/>
    </row>
    <row r="1076" ht="14.25" customHeight="1" s="84">
      <c r="A1076" s="51" t="n"/>
      <c r="B1076" s="47" t="n"/>
      <c r="C1076" s="51" t="n"/>
      <c r="D1076" s="51" t="n"/>
      <c r="E1076" s="51" t="n"/>
      <c r="F1076" s="51" t="n"/>
      <c r="G1076" s="47" t="n"/>
      <c r="H1076" s="51" t="n"/>
      <c r="I1076" s="51" t="n"/>
      <c r="J1076" s="51" t="n"/>
      <c r="K1076" s="51" t="n"/>
      <c r="L1076" s="51" t="n"/>
      <c r="N1076" s="51" t="n"/>
      <c r="Q1076" s="51" t="n"/>
      <c r="S1076" s="51" t="n"/>
      <c r="T1076" s="51" t="n"/>
      <c r="U1076" s="51" t="inlineStr"/>
      <c r="V1076" s="55" t="n"/>
      <c r="W1076" s="51" t="inlineStr"/>
      <c r="X1076" s="51" t="inlineStr"/>
      <c r="Y1076" s="51" t="n"/>
      <c r="AB1076" s="57" t="n"/>
      <c r="AC1076" s="90" t="n"/>
      <c r="AD1076" s="90" t="n"/>
      <c r="AE1076" s="88" t="n"/>
      <c r="AF1076" s="91" t="n"/>
      <c r="AG1076" s="91" t="n"/>
      <c r="AH1076" s="88" t="n"/>
      <c r="AI1076" s="88" t="n"/>
      <c r="AJ1076" s="90" t="n"/>
      <c r="AK1076" s="88" t="n"/>
      <c r="AL1076" s="91" t="n"/>
      <c r="AM1076" s="88" t="n"/>
      <c r="AN1076" s="95" t="n"/>
      <c r="AO1076" s="90" t="n"/>
      <c r="AP1076" s="90" t="n"/>
    </row>
    <row r="1077" ht="14.25" customHeight="1" s="84">
      <c r="A1077" s="51" t="n"/>
      <c r="B1077" s="47" t="n"/>
      <c r="C1077" s="51" t="n"/>
      <c r="D1077" s="51" t="n"/>
      <c r="E1077" s="51" t="n"/>
      <c r="F1077" s="51" t="n"/>
      <c r="G1077" s="47" t="n"/>
      <c r="H1077" s="51" t="n"/>
      <c r="I1077" s="51" t="n"/>
      <c r="J1077" s="51" t="n"/>
      <c r="K1077" s="51" t="n"/>
      <c r="L1077" s="51" t="n"/>
      <c r="N1077" s="51" t="n"/>
      <c r="Q1077" s="51" t="n"/>
      <c r="S1077" s="51" t="n"/>
      <c r="T1077" s="51" t="n"/>
      <c r="U1077" s="51" t="inlineStr"/>
      <c r="V1077" s="55" t="n"/>
      <c r="W1077" s="51" t="inlineStr"/>
      <c r="X1077" s="51" t="inlineStr"/>
      <c r="Y1077" s="51" t="n"/>
      <c r="AB1077" s="57" t="n"/>
      <c r="AC1077" s="90" t="n"/>
      <c r="AD1077" s="90" t="n"/>
      <c r="AE1077" s="88" t="n"/>
      <c r="AF1077" s="91" t="n"/>
      <c r="AG1077" s="91" t="n"/>
      <c r="AH1077" s="88" t="n"/>
      <c r="AI1077" s="88" t="n"/>
      <c r="AJ1077" s="90" t="n"/>
      <c r="AK1077" s="88" t="n"/>
      <c r="AL1077" s="91" t="n"/>
      <c r="AM1077" s="88" t="n"/>
      <c r="AN1077" s="95" t="n"/>
      <c r="AO1077" s="90" t="n"/>
      <c r="AP1077" s="90" t="n"/>
    </row>
    <row r="1078" ht="14.25" customHeight="1" s="84">
      <c r="A1078" s="51" t="n"/>
      <c r="B1078" s="47" t="n"/>
      <c r="C1078" s="51" t="n"/>
      <c r="D1078" s="51" t="n"/>
      <c r="E1078" s="51" t="n"/>
      <c r="F1078" s="51" t="n"/>
      <c r="G1078" s="47" t="n"/>
      <c r="H1078" s="51" t="n"/>
      <c r="I1078" s="51" t="n"/>
      <c r="J1078" s="51" t="n"/>
      <c r="K1078" s="51" t="n"/>
      <c r="L1078" s="51" t="n"/>
      <c r="N1078" s="51" t="n"/>
      <c r="Q1078" s="51" t="n"/>
      <c r="S1078" s="51" t="n"/>
      <c r="T1078" s="51" t="n"/>
      <c r="U1078" s="51" t="inlineStr"/>
      <c r="V1078" s="55" t="n"/>
      <c r="W1078" s="51" t="inlineStr"/>
      <c r="X1078" s="51" t="inlineStr"/>
      <c r="Y1078" s="51" t="n"/>
      <c r="AB1078" s="57" t="n"/>
      <c r="AC1078" s="90" t="n"/>
      <c r="AD1078" s="90" t="n"/>
      <c r="AE1078" s="88" t="n"/>
      <c r="AF1078" s="91" t="n"/>
      <c r="AG1078" s="91" t="n"/>
      <c r="AH1078" s="88" t="n"/>
      <c r="AI1078" s="88" t="n"/>
      <c r="AJ1078" s="90" t="n"/>
      <c r="AK1078" s="88" t="n"/>
      <c r="AL1078" s="91" t="n"/>
      <c r="AM1078" s="88" t="n"/>
      <c r="AN1078" s="95" t="n"/>
      <c r="AO1078" s="90" t="n"/>
      <c r="AP1078" s="90" t="n"/>
    </row>
    <row r="1079" ht="14.25" customHeight="1" s="84">
      <c r="A1079" s="51" t="n"/>
      <c r="B1079" s="47" t="n"/>
      <c r="C1079" s="51" t="n"/>
      <c r="D1079" s="51" t="n"/>
      <c r="E1079" s="51" t="n"/>
      <c r="F1079" s="51" t="n"/>
      <c r="G1079" s="47" t="n"/>
      <c r="H1079" s="51" t="n"/>
      <c r="I1079" s="51" t="n"/>
      <c r="J1079" s="51" t="n"/>
      <c r="K1079" s="51" t="n"/>
      <c r="L1079" s="51" t="n"/>
      <c r="N1079" s="51" t="n"/>
      <c r="Q1079" s="51" t="n"/>
      <c r="S1079" s="51" t="n"/>
      <c r="T1079" s="51" t="n"/>
      <c r="U1079" s="51" t="inlineStr"/>
      <c r="V1079" s="55" t="n"/>
      <c r="W1079" s="51" t="inlineStr"/>
      <c r="X1079" s="51" t="inlineStr"/>
      <c r="Y1079" s="51" t="n"/>
      <c r="AB1079" s="57" t="n"/>
      <c r="AC1079" s="90" t="n"/>
      <c r="AD1079" s="90" t="n"/>
      <c r="AE1079" s="88" t="n"/>
      <c r="AF1079" s="91" t="n"/>
      <c r="AG1079" s="91" t="n"/>
      <c r="AH1079" s="88" t="n"/>
      <c r="AI1079" s="88" t="n"/>
      <c r="AJ1079" s="90" t="n"/>
      <c r="AK1079" s="88" t="n"/>
      <c r="AL1079" s="91" t="n"/>
      <c r="AM1079" s="88" t="n"/>
      <c r="AN1079" s="95" t="n"/>
      <c r="AO1079" s="90" t="n"/>
      <c r="AP1079" s="90" t="n"/>
    </row>
    <row r="1080" ht="14.25" customHeight="1" s="84">
      <c r="B1080" s="47" t="n"/>
      <c r="G1080" s="47" t="n"/>
      <c r="U1080" s="51" t="inlineStr"/>
      <c r="V1080" s="55" t="n"/>
      <c r="W1080" s="51" t="inlineStr"/>
      <c r="X1080" s="51" t="inlineStr"/>
      <c r="AB1080" s="64" t="n"/>
      <c r="AC1080" s="90" t="n"/>
      <c r="AD1080" s="90" t="n"/>
      <c r="AE1080" s="88" t="n"/>
      <c r="AF1080" s="91" t="n"/>
      <c r="AG1080" s="91" t="n"/>
      <c r="AH1080" s="88" t="n"/>
      <c r="AI1080" s="88" t="n"/>
      <c r="AJ1080" s="90" t="n"/>
      <c r="AK1080" s="88" t="n"/>
      <c r="AL1080" s="91" t="n"/>
      <c r="AM1080" s="88" t="n"/>
      <c r="AN1080" s="95" t="n"/>
      <c r="AO1080" s="90" t="n"/>
      <c r="AP1080" s="90" t="n"/>
    </row>
  </sheetData>
  <dataValidations count="6">
    <dataValidation sqref="AC2:AC1080" showDropDown="0" showInputMessage="0" showErrorMessage="0" allowBlank="1" error="Please select a valid option from the dropdown." prompt="Please select a value from the list." type="list">
      <formula1>",Send"</formula1>
    </dataValidation>
    <dataValidation sqref="AD2:AD1080" showDropDown="0" showInputMessage="0" showErrorMessage="0" allowBlank="1" error="Please select a valid option from the dropdown." prompt="Please select a value from the list." type="list">
      <formula1>"Not Issued,Pending,Ready,Sent,Failed"</formula1>
    </dataValidation>
    <dataValidation sqref="AJ2:AJ1080" showDropDown="0" showInputMessage="0" showErrorMessage="0" allowBlank="1" error="Please select a valid option from the dropdown." prompt="Please select a value from the list." type="list">
      <formula1>",Link Ready,Sent,Mobile Missing"</formula1>
    </dataValidation>
    <dataValidation sqref="AN2:AN1080" showDropDown="0" showInputMessage="0" showErrorMessage="0" allowBlank="1" error="Please select a valid option from the dropdown." prompt="Please select a value from the list." type="list">
      <formula1>",Send"</formula1>
    </dataValidation>
    <dataValidation sqref="AO2:AO1080" showDropDown="0" showInputMessage="0" showErrorMessage="0" allowBlank="1" error="Please select a valid option from the dropdown." prompt="Please select a value from the list." type="list">
      <formula1>"Not Sent,Email Sent,Print Ready"</formula1>
    </dataValidation>
    <dataValidation sqref="AP2:AP1080" showDropDown="0" showInputMessage="0" showErrorMessage="0" allowBlank="1" error="Please select a valid option from the dropdown." prompt="Please select a value from the list." type="list">
      <formula1>"Pending,Sent,Failed"</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84" min="1" max="1"/>
    <col width="14" customWidth="1" style="84" min="2" max="2"/>
    <col width="18.14" customWidth="1" style="84" min="3" max="3"/>
    <col width="13" customWidth="1" style="84" min="4" max="4"/>
    <col width="14" customWidth="1" style="84" min="5" max="5"/>
    <col width="16" customWidth="1" style="84" min="6" max="6"/>
    <col width="7" customWidth="1" style="84" min="7" max="7"/>
    <col width="8.710000000000001" customWidth="1" style="84" min="8" max="26"/>
  </cols>
  <sheetData>
    <row r="1" ht="14.25" customHeight="1" s="84">
      <c r="A1" s="1" t="inlineStr">
        <is>
          <t>Payment ID</t>
        </is>
      </c>
      <c r="B1" s="1" t="inlineStr">
        <is>
          <t>Admission ID</t>
        </is>
      </c>
      <c r="C1" s="1" t="inlineStr">
        <is>
          <t>Payment Date</t>
        </is>
      </c>
      <c r="D1" s="1" t="inlineStr">
        <is>
          <t>Amount Paid</t>
        </is>
      </c>
      <c r="E1" s="1" t="inlineStr">
        <is>
          <t>Payment Mode</t>
        </is>
      </c>
      <c r="F1" s="1" t="inlineStr">
        <is>
          <t>Transaction ID</t>
        </is>
      </c>
      <c r="G1" s="1" t="inlineStr">
        <is>
          <t>Notes</t>
        </is>
      </c>
    </row>
    <row r="2" ht="14.25" customHeight="1" s="84">
      <c r="A2" s="51" t="inlineStr">
        <is>
          <t>PAY001</t>
        </is>
      </c>
      <c r="B2" s="51" t="inlineStr">
        <is>
          <t>A001</t>
        </is>
      </c>
      <c r="C2" s="66" t="n">
        <v>46097.80789118056</v>
      </c>
      <c r="D2" s="51" t="n">
        <v>4500</v>
      </c>
      <c r="E2" s="51" t="inlineStr">
        <is>
          <t>Direct</t>
        </is>
      </c>
    </row>
    <row r="3" ht="14.25" customHeight="1" s="84">
      <c r="A3" s="51" t="inlineStr">
        <is>
          <t>PAY002</t>
        </is>
      </c>
      <c r="B3" s="51" t="inlineStr">
        <is>
          <t>A002</t>
        </is>
      </c>
      <c r="C3" s="66" t="n">
        <v>46097.86873126157</v>
      </c>
      <c r="D3" s="51" t="n">
        <v>8500</v>
      </c>
      <c r="E3" s="51" t="inlineStr">
        <is>
          <t>Direct</t>
        </is>
      </c>
      <c r="G3" s="51" t="inlineStr">
        <is>
          <t>English communication and handwriting</t>
        </is>
      </c>
    </row>
    <row r="4" ht="14.25" customHeight="1" s="84">
      <c r="A4" s="51" t="inlineStr">
        <is>
          <t>PAY003</t>
        </is>
      </c>
      <c r="B4" s="51" t="inlineStr">
        <is>
          <t>A004</t>
        </is>
      </c>
      <c r="C4" s="66" t="n">
        <v>46098.79431368056</v>
      </c>
      <c r="D4" s="51" t="n">
        <v>4500</v>
      </c>
      <c r="E4" s="51" t="inlineStr">
        <is>
          <t>Direct</t>
        </is>
      </c>
      <c r="G4" s="51" t="inlineStr">
        <is>
          <t>Yas</t>
        </is>
      </c>
    </row>
    <row r="5" ht="14.25" customHeight="1" s="84">
      <c r="A5" s="51" t="inlineStr">
        <is>
          <t>PAY004</t>
        </is>
      </c>
      <c r="B5" s="51" t="inlineStr">
        <is>
          <t>A015</t>
        </is>
      </c>
      <c r="C5" s="66" t="n">
        <v>46070.93104313657</v>
      </c>
      <c r="D5" s="51" t="n">
        <v>2000</v>
      </c>
      <c r="E5" s="51" t="inlineStr">
        <is>
          <t>Direct</t>
        </is>
      </c>
    </row>
    <row r="6" ht="14.25" customHeight="1" s="84">
      <c r="A6" s="51" t="inlineStr">
        <is>
          <t>PAY005</t>
        </is>
      </c>
      <c r="B6" s="51" t="inlineStr">
        <is>
          <t>A016</t>
        </is>
      </c>
      <c r="C6" s="66" t="n">
        <v>46090.52656738426</v>
      </c>
      <c r="D6" s="51" t="n">
        <v>6500</v>
      </c>
      <c r="E6" s="51" t="inlineStr">
        <is>
          <t>Direct</t>
        </is>
      </c>
      <c r="G6" s="51" t="inlineStr">
        <is>
          <t>Looking for his reading and spelling creation improvement</t>
        </is>
      </c>
    </row>
    <row r="7" ht="14.25" customHeight="1" s="84">
      <c r="A7" s="51" t="inlineStr">
        <is>
          <t>PAY006</t>
        </is>
      </c>
      <c r="B7" s="51" t="inlineStr">
        <is>
          <t>A017</t>
        </is>
      </c>
      <c r="C7" s="66" t="n">
        <v>46096.0010397338</v>
      </c>
      <c r="D7" s="51" t="n">
        <v>8500</v>
      </c>
      <c r="E7" s="51" t="inlineStr">
        <is>
          <t>Direct</t>
        </is>
      </c>
    </row>
    <row r="8" ht="14.25" customHeight="1" s="84">
      <c r="A8" s="51" t="inlineStr">
        <is>
          <t>PAY007</t>
        </is>
      </c>
      <c r="B8" s="51" t="inlineStr">
        <is>
          <t>A018</t>
        </is>
      </c>
      <c r="C8" s="66" t="n">
        <v>46089.94844140046</v>
      </c>
      <c r="D8" s="51" t="n">
        <v>6500</v>
      </c>
      <c r="E8" s="51" t="inlineStr">
        <is>
          <t>Direct</t>
        </is>
      </c>
    </row>
    <row r="9" ht="14.25" customHeight="1" s="84">
      <c r="A9" s="51" t="inlineStr">
        <is>
          <t>PAY008</t>
        </is>
      </c>
      <c r="B9" s="51" t="inlineStr">
        <is>
          <t>A019</t>
        </is>
      </c>
      <c r="C9" s="66" t="n">
        <v>46090.57201506945</v>
      </c>
      <c r="D9" s="51" t="n">
        <v>6500</v>
      </c>
      <c r="E9" s="51" t="inlineStr">
        <is>
          <t>Direct</t>
        </is>
      </c>
    </row>
    <row r="10" ht="14.25" customHeight="1" s="84">
      <c r="A10" s="51" t="inlineStr">
        <is>
          <t>PAY009</t>
        </is>
      </c>
      <c r="B10" s="51" t="inlineStr">
        <is>
          <t>A020</t>
        </is>
      </c>
      <c r="C10" s="66" t="n">
        <v>46090.96170119213</v>
      </c>
      <c r="D10" s="51" t="n">
        <v>4000</v>
      </c>
      <c r="E10" s="51" t="inlineStr">
        <is>
          <t>Direct</t>
        </is>
      </c>
    </row>
    <row r="11" ht="14.25" customHeight="1" s="84">
      <c r="A11" s="51" t="inlineStr">
        <is>
          <t>PAY010</t>
        </is>
      </c>
      <c r="B11" s="51" t="inlineStr">
        <is>
          <t>A023</t>
        </is>
      </c>
      <c r="C11" s="66" t="n">
        <v>46090.96335284722</v>
      </c>
      <c r="D11" s="51" t="n">
        <v>4000</v>
      </c>
      <c r="E11" s="51" t="inlineStr">
        <is>
          <t>Direct</t>
        </is>
      </c>
    </row>
    <row r="12" ht="14.25" customHeight="1" s="84">
      <c r="A12" s="51" t="inlineStr">
        <is>
          <t>PAY011</t>
        </is>
      </c>
      <c r="B12" s="51" t="inlineStr">
        <is>
          <t>A025</t>
        </is>
      </c>
      <c r="C12" s="66" t="n">
        <v>46090.5713546875</v>
      </c>
      <c r="D12" s="51" t="n">
        <v>4000</v>
      </c>
      <c r="E12" s="51" t="inlineStr">
        <is>
          <t>Direct</t>
        </is>
      </c>
    </row>
    <row r="13" ht="14.25" customHeight="1" s="84">
      <c r="A13" s="51" t="inlineStr">
        <is>
          <t>PAY012</t>
        </is>
      </c>
      <c r="B13" s="51" t="inlineStr">
        <is>
          <t>A026</t>
        </is>
      </c>
      <c r="C13" s="66" t="n">
        <v>46092.7730933912</v>
      </c>
      <c r="D13" s="51" t="n">
        <v>6000</v>
      </c>
      <c r="E13" s="51" t="inlineStr">
        <is>
          <t>Direct</t>
        </is>
      </c>
    </row>
    <row r="14" ht="14.25" customHeight="1" s="84">
      <c r="A14" s="51" t="inlineStr">
        <is>
          <t>PAY013</t>
        </is>
      </c>
      <c r="B14" s="51" t="inlineStr">
        <is>
          <t>A027</t>
        </is>
      </c>
      <c r="C14" s="66" t="n">
        <v>46093.67081652777</v>
      </c>
      <c r="D14" s="51" t="n">
        <v>4000</v>
      </c>
      <c r="E14" s="51" t="inlineStr">
        <is>
          <t>Direct</t>
        </is>
      </c>
    </row>
    <row r="15" ht="14.25" customHeight="1" s="84">
      <c r="A15" s="51" t="inlineStr">
        <is>
          <t>PAY014</t>
        </is>
      </c>
      <c r="B15" s="51" t="inlineStr">
        <is>
          <t>A029</t>
        </is>
      </c>
      <c r="C15" s="66" t="n">
        <v>46090.79883535879</v>
      </c>
      <c r="D15" s="51" t="n">
        <v>6500</v>
      </c>
      <c r="E15" s="51" t="inlineStr">
        <is>
          <t>Direct</t>
        </is>
      </c>
    </row>
    <row r="16" ht="14.25" customHeight="1" s="84">
      <c r="A16" s="51" t="inlineStr">
        <is>
          <t>PAY015</t>
        </is>
      </c>
      <c r="B16" s="51" t="inlineStr">
        <is>
          <t>A030</t>
        </is>
      </c>
      <c r="C16" s="66" t="n">
        <v>46093.6710784838</v>
      </c>
      <c r="D16" s="51" t="n">
        <v>8500</v>
      </c>
      <c r="E16" s="51" t="inlineStr">
        <is>
          <t>Direct</t>
        </is>
      </c>
      <c r="G16" s="51" t="inlineStr">
        <is>
          <t>Spoken English-basic day to day life useful.</t>
        </is>
      </c>
    </row>
    <row r="17" ht="14.25" customHeight="1" s="84">
      <c r="A17" s="51" t="inlineStr">
        <is>
          <t>PAY016</t>
        </is>
      </c>
      <c r="B17" s="51" t="inlineStr">
        <is>
          <t>A033</t>
        </is>
      </c>
      <c r="C17" s="66" t="n">
        <v>46086.56315833333</v>
      </c>
      <c r="D17" s="51" t="n">
        <v>6000</v>
      </c>
      <c r="E17" s="51" t="inlineStr">
        <is>
          <t>Direct</t>
        </is>
      </c>
    </row>
    <row r="18" ht="14.25" customHeight="1" s="84">
      <c r="A18" s="51" t="inlineStr">
        <is>
          <t>PAY017</t>
        </is>
      </c>
      <c r="B18" s="51" t="inlineStr">
        <is>
          <t>A034</t>
        </is>
      </c>
      <c r="C18" s="66" t="n">
        <v>46090.54320797454</v>
      </c>
      <c r="D18" s="51" t="n">
        <v>6500</v>
      </c>
      <c r="E18" s="51" t="inlineStr">
        <is>
          <t>Direct</t>
        </is>
      </c>
    </row>
    <row r="19" ht="14.25" customHeight="1" s="84">
      <c r="A19" s="51" t="inlineStr">
        <is>
          <t>PAY018</t>
        </is>
      </c>
      <c r="B19" s="51" t="inlineStr">
        <is>
          <t>A037</t>
        </is>
      </c>
      <c r="C19" s="66" t="n">
        <v>46098.3854477662</v>
      </c>
      <c r="D19" s="51" t="n">
        <v>4500</v>
      </c>
      <c r="E19" s="51" t="inlineStr">
        <is>
          <t>Direct</t>
        </is>
      </c>
    </row>
    <row r="20" ht="14.25" customHeight="1" s="84">
      <c r="A20" s="51" t="inlineStr">
        <is>
          <t>PAY019</t>
        </is>
      </c>
      <c r="B20" s="51" t="inlineStr">
        <is>
          <t>A040</t>
        </is>
      </c>
      <c r="C20" s="66" t="n">
        <v>46090.38323726852</v>
      </c>
      <c r="D20" s="51" t="n">
        <v>6500</v>
      </c>
      <c r="E20" s="51" t="inlineStr">
        <is>
          <t>Direct</t>
        </is>
      </c>
    </row>
    <row r="21" ht="14.25" customHeight="1" s="84">
      <c r="A21" s="51" t="inlineStr">
        <is>
          <t>PAY020</t>
        </is>
      </c>
      <c r="B21" s="51" t="inlineStr">
        <is>
          <t>A041</t>
        </is>
      </c>
      <c r="C21" s="66" t="n">
        <v>46097.54042009259</v>
      </c>
      <c r="D21" s="51" t="n">
        <v>4500</v>
      </c>
      <c r="E21" s="51" t="inlineStr">
        <is>
          <t>Direct</t>
        </is>
      </c>
      <c r="G21" s="51" t="inlineStr">
        <is>
          <t>Please make him speak a lot and pls focus on his pronounciation</t>
        </is>
      </c>
    </row>
    <row r="22" ht="14.25" customHeight="1" s="84">
      <c r="A22" s="51" t="inlineStr">
        <is>
          <t>PAY021</t>
        </is>
      </c>
      <c r="B22" s="51" t="inlineStr">
        <is>
          <t>A042</t>
        </is>
      </c>
      <c r="C22" s="66" t="n">
        <v>46090.52219528936</v>
      </c>
      <c r="D22" s="51" t="n">
        <v>6500</v>
      </c>
      <c r="E22" s="51" t="inlineStr">
        <is>
          <t>Direct</t>
        </is>
      </c>
    </row>
    <row r="23" ht="14.25" customHeight="1" s="84">
      <c r="A23" s="51" t="inlineStr">
        <is>
          <t>PAY022</t>
        </is>
      </c>
      <c r="B23" s="51" t="inlineStr">
        <is>
          <t>A043</t>
        </is>
      </c>
      <c r="C23" s="66" t="n">
        <v>46090.57239032407</v>
      </c>
      <c r="D23" s="51" t="n">
        <v>6500</v>
      </c>
      <c r="E23" s="51" t="inlineStr">
        <is>
          <t>Direct</t>
        </is>
      </c>
    </row>
    <row r="24" ht="14.25" customHeight="1" s="84">
      <c r="A24" s="51" t="inlineStr">
        <is>
          <t>PAY023</t>
        </is>
      </c>
      <c r="B24" s="51" t="inlineStr">
        <is>
          <t>A046</t>
        </is>
      </c>
      <c r="C24" s="66" t="n">
        <v>46097.55634414352</v>
      </c>
      <c r="D24" s="51" t="n">
        <v>4000</v>
      </c>
      <c r="E24" s="51" t="inlineStr">
        <is>
          <t>Direct</t>
        </is>
      </c>
    </row>
    <row r="25" ht="14.25" customHeight="1" s="84">
      <c r="A25" s="51" t="inlineStr">
        <is>
          <t>PAY024</t>
        </is>
      </c>
      <c r="B25" s="51" t="inlineStr">
        <is>
          <t>A047</t>
        </is>
      </c>
      <c r="C25" s="66" t="n">
        <v>46111.96690128472</v>
      </c>
      <c r="D25" s="51" t="n">
        <v>8500</v>
      </c>
      <c r="E25" s="51" t="inlineStr">
        <is>
          <t>Direct</t>
        </is>
      </c>
      <c r="G25" s="51" t="inlineStr">
        <is>
          <t>No such requirements but on daily basis give him homework so that whatever has been taught remains in his mind and give updates of whatever taught in the class so that we can take revision at home.</t>
        </is>
      </c>
    </row>
    <row r="26" ht="14.25" customHeight="1" s="84">
      <c r="A26" s="51" t="inlineStr">
        <is>
          <t>PAY025</t>
        </is>
      </c>
      <c r="B26" s="51" t="inlineStr">
        <is>
          <t>A048</t>
        </is>
      </c>
      <c r="C26" s="66" t="n">
        <v>46097.80928725695</v>
      </c>
      <c r="D26" s="51" t="n">
        <v>4500</v>
      </c>
      <c r="E26" s="51" t="inlineStr">
        <is>
          <t>Direct</t>
        </is>
      </c>
    </row>
    <row r="27" ht="14.25" customHeight="1" s="84">
      <c r="A27" s="51" t="inlineStr">
        <is>
          <t>PAY026</t>
        </is>
      </c>
      <c r="B27" s="51" t="inlineStr">
        <is>
          <t>A050</t>
        </is>
      </c>
      <c r="C27" s="66" t="n">
        <v>46098.437345</v>
      </c>
      <c r="D27" s="51" t="n">
        <v>4500</v>
      </c>
      <c r="E27" s="51" t="inlineStr">
        <is>
          <t>Direct</t>
        </is>
      </c>
    </row>
    <row r="28" ht="14.25" customHeight="1" s="84">
      <c r="A28" s="51" t="inlineStr">
        <is>
          <t>PAY027</t>
        </is>
      </c>
      <c r="B28" s="51" t="inlineStr">
        <is>
          <t>A052</t>
        </is>
      </c>
      <c r="C28" s="66" t="n">
        <v>46094.6909859375</v>
      </c>
      <c r="D28" s="51" t="n">
        <v>8000</v>
      </c>
      <c r="E28" s="51" t="inlineStr">
        <is>
          <t>Direct</t>
        </is>
      </c>
    </row>
    <row r="29" ht="14.25" customHeight="1" s="84">
      <c r="A29" s="51" t="inlineStr">
        <is>
          <t>PAY028</t>
        </is>
      </c>
      <c r="B29" s="51" t="inlineStr">
        <is>
          <t>A053</t>
        </is>
      </c>
      <c r="C29" s="66" t="n">
        <v>46095.4836914699</v>
      </c>
      <c r="D29" s="51" t="n">
        <v>4000</v>
      </c>
      <c r="E29" s="51" t="inlineStr">
        <is>
          <t>Direct</t>
        </is>
      </c>
    </row>
    <row r="30" ht="14.25" customHeight="1" s="84">
      <c r="A30" s="51" t="inlineStr">
        <is>
          <t>PAY029</t>
        </is>
      </c>
      <c r="B30" s="51" t="inlineStr">
        <is>
          <t>A056</t>
        </is>
      </c>
      <c r="C30" s="66" t="n">
        <v>46095.86033415509</v>
      </c>
      <c r="D30" s="51" t="n">
        <v>4500</v>
      </c>
      <c r="E30" s="51" t="inlineStr">
        <is>
          <t>Direct</t>
        </is>
      </c>
    </row>
    <row r="31" ht="14.25" customHeight="1" s="84">
      <c r="A31" s="51" t="inlineStr">
        <is>
          <t>PAY030</t>
        </is>
      </c>
      <c r="B31" s="51" t="inlineStr">
        <is>
          <t>A057</t>
        </is>
      </c>
      <c r="C31" s="66" t="n">
        <v>46095.86041594907</v>
      </c>
      <c r="D31" s="51" t="n">
        <v>4500</v>
      </c>
      <c r="E31" s="51" t="inlineStr">
        <is>
          <t>Direct</t>
        </is>
      </c>
    </row>
    <row r="32" ht="14.25" customHeight="1" s="84">
      <c r="A32" s="51" t="inlineStr">
        <is>
          <t>P001</t>
        </is>
      </c>
      <c r="B32" s="51" t="inlineStr">
        <is>
          <t>A059</t>
        </is>
      </c>
      <c r="C32" s="67" t="n">
        <v>46121</v>
      </c>
      <c r="D32" s="51" t="n">
        <v>1000</v>
      </c>
      <c r="E32" s="51" t="inlineStr">
        <is>
          <t>UPI</t>
        </is>
      </c>
    </row>
    <row r="33" ht="14.25" customHeight="1" s="84">
      <c r="A33" s="51" t="inlineStr">
        <is>
          <t>P002</t>
        </is>
      </c>
      <c r="B33" s="51" t="inlineStr">
        <is>
          <t>A080</t>
        </is>
      </c>
      <c r="C33" s="67" t="n">
        <v>46122</v>
      </c>
      <c r="E33" s="51" t="inlineStr">
        <is>
          <t>UPI</t>
        </is>
      </c>
    </row>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9.43" customWidth="1" style="84" min="1" max="1"/>
    <col width="16.14" customWidth="1" style="84" min="2" max="2"/>
    <col width="7" customWidth="1" style="84" min="3" max="3"/>
    <col width="17.43" customWidth="1" style="84" min="4" max="4"/>
    <col width="14.86" customWidth="1" style="84" min="5" max="5"/>
    <col width="16.57" customWidth="1" style="84" min="6" max="6"/>
    <col width="10" customWidth="1" style="84" min="7" max="7"/>
    <col width="13.57" customWidth="1" style="84" min="8" max="8"/>
    <col width="8.710000000000001" customWidth="1" style="84" min="9" max="26"/>
  </cols>
  <sheetData>
    <row r="1" ht="14.25" customHeight="1" s="84">
      <c r="A1" s="1" t="inlineStr">
        <is>
          <t>Batch Code</t>
        </is>
      </c>
      <c r="B1" s="1" t="inlineStr">
        <is>
          <t>Level</t>
        </is>
      </c>
      <c r="C1" s="1" t="inlineStr">
        <is>
          <t>Mode</t>
        </is>
      </c>
      <c r="D1" s="68" t="inlineStr">
        <is>
          <t>Start Date</t>
        </is>
      </c>
      <c r="E1" s="68" t="inlineStr">
        <is>
          <t>End Date</t>
        </is>
      </c>
      <c r="F1" s="1" t="inlineStr">
        <is>
          <t>Timing</t>
        </is>
      </c>
      <c r="G1" s="1" t="inlineStr">
        <is>
          <t>Capacity</t>
        </is>
      </c>
      <c r="H1" s="51" t="inlineStr">
        <is>
          <t>Days</t>
        </is>
      </c>
      <c r="I1" s="51" t="inlineStr">
        <is>
          <t>Teacher</t>
        </is>
      </c>
      <c r="J1" s="51" t="inlineStr">
        <is>
          <t>Sessions</t>
        </is>
      </c>
    </row>
    <row r="2" ht="14.25" customHeight="1" s="84">
      <c r="A2" s="51" t="inlineStr">
        <is>
          <t>Online L1-B1 Jan'26</t>
        </is>
      </c>
      <c r="B2" s="51" t="inlineStr">
        <is>
          <t>Basic</t>
        </is>
      </c>
      <c r="C2" s="51" t="inlineStr">
        <is>
          <t>Online</t>
        </is>
      </c>
      <c r="D2" s="70" t="n">
        <v>46091</v>
      </c>
      <c r="E2" s="70" t="n">
        <v>46142</v>
      </c>
      <c r="F2" s="51" t="inlineStr">
        <is>
          <t>6:00 PM - 7:00 PM</t>
        </is>
      </c>
      <c r="G2" s="51" t="n">
        <v>12</v>
      </c>
    </row>
    <row r="3" ht="14.25" customHeight="1" s="84">
      <c r="A3" s="51" t="inlineStr">
        <is>
          <t>Offline L1-B2 Feb'26</t>
        </is>
      </c>
      <c r="B3" s="51" t="inlineStr">
        <is>
          <t>Basic</t>
        </is>
      </c>
      <c r="C3" s="51" t="inlineStr">
        <is>
          <t>Offline</t>
        </is>
      </c>
      <c r="D3" s="70" t="n">
        <v>46091</v>
      </c>
      <c r="E3" s="70" t="n">
        <v>46142</v>
      </c>
      <c r="F3" s="51" t="inlineStr">
        <is>
          <t>7:30 PM - 8:30 PM</t>
        </is>
      </c>
      <c r="G3" s="51" t="n">
        <v>12</v>
      </c>
    </row>
    <row r="4" ht="14.25" customHeight="1" s="84">
      <c r="A4" s="51" t="inlineStr">
        <is>
          <t>Offline L2-B3 Feb'26</t>
        </is>
      </c>
      <c r="B4" s="51" t="inlineStr">
        <is>
          <t>Advanced</t>
        </is>
      </c>
      <c r="C4" s="51" t="inlineStr">
        <is>
          <t>Offline</t>
        </is>
      </c>
      <c r="D4" s="70" t="n">
        <v>46122</v>
      </c>
      <c r="E4" s="70" t="n">
        <v>46173</v>
      </c>
      <c r="F4" s="51" t="inlineStr">
        <is>
          <t>6:00 PM - 7:00 PM</t>
        </is>
      </c>
      <c r="G4" s="51" t="n">
        <v>12</v>
      </c>
    </row>
    <row r="5" ht="14.25" customHeight="1" s="84">
      <c r="A5" s="51" t="inlineStr">
        <is>
          <t>Offline L2-B4 Mar'26</t>
        </is>
      </c>
      <c r="B5" s="51" t="inlineStr">
        <is>
          <t>Advanced</t>
        </is>
      </c>
      <c r="C5" s="51" t="inlineStr">
        <is>
          <t>Offline</t>
        </is>
      </c>
      <c r="D5" s="70" t="n">
        <v>46143</v>
      </c>
      <c r="E5" s="70" t="n">
        <v>46174</v>
      </c>
      <c r="F5" s="51" t="inlineStr">
        <is>
          <t>6:00 PM - 7:00 PM</t>
        </is>
      </c>
      <c r="G5" s="51" t="n">
        <v>12</v>
      </c>
    </row>
    <row r="6" ht="14.25" customHeight="1" s="84">
      <c r="A6" s="51" t="inlineStr">
        <is>
          <t>Offline L1-B5 Mar'26</t>
        </is>
      </c>
      <c r="B6" s="51" t="inlineStr">
        <is>
          <t>Basic</t>
        </is>
      </c>
      <c r="C6" s="51" t="inlineStr">
        <is>
          <t>Offline</t>
        </is>
      </c>
      <c r="D6" s="70" t="n">
        <v>46091</v>
      </c>
      <c r="E6" s="70" t="n">
        <v>46157</v>
      </c>
      <c r="F6" s="51" t="inlineStr">
        <is>
          <t>5:00 PM - 6:00 PM</t>
        </is>
      </c>
      <c r="G6" s="51" t="n">
        <v>12</v>
      </c>
    </row>
    <row r="7" ht="14.25" customHeight="1" s="84">
      <c r="A7" s="51" t="inlineStr">
        <is>
          <t>Online L2-B6 Mar'26</t>
        </is>
      </c>
      <c r="B7" s="51" t="inlineStr">
        <is>
          <t>Advanced</t>
        </is>
      </c>
      <c r="C7" s="51" t="inlineStr">
        <is>
          <t>Online</t>
        </is>
      </c>
      <c r="D7" s="71" t="n">
        <v>46091</v>
      </c>
      <c r="E7" s="71" t="n">
        <v>46167</v>
      </c>
      <c r="F7" s="51" t="inlineStr">
        <is>
          <t>7:30 PM - 8:30 PM</t>
        </is>
      </c>
      <c r="G7" s="51" t="n">
        <v>12</v>
      </c>
    </row>
    <row r="8" ht="14.25" customHeight="1" s="84">
      <c r="A8" s="51" t="inlineStr">
        <is>
          <t>Online L1-B7 Mar'26</t>
        </is>
      </c>
      <c r="B8" s="51" t="inlineStr">
        <is>
          <t>Basic</t>
        </is>
      </c>
      <c r="C8" s="51" t="inlineStr">
        <is>
          <t>Online</t>
        </is>
      </c>
      <c r="D8" s="71" t="n">
        <v>46122</v>
      </c>
      <c r="E8" s="71" t="n">
        <v>46168</v>
      </c>
      <c r="F8" s="51" t="inlineStr">
        <is>
          <t>5:00 PM - 6:00 PM</t>
        </is>
      </c>
      <c r="G8" s="51" t="n">
        <v>12</v>
      </c>
    </row>
    <row r="9" ht="14.25" customHeight="1" s="84">
      <c r="A9" s="51" t="inlineStr">
        <is>
          <t>Online L2-B8 Apr'26</t>
        </is>
      </c>
      <c r="B9" s="51" t="inlineStr">
        <is>
          <t>Advanced</t>
        </is>
      </c>
      <c r="C9" s="51" t="inlineStr">
        <is>
          <t>Online</t>
        </is>
      </c>
      <c r="D9" s="71" t="n">
        <v>46122</v>
      </c>
      <c r="E9" s="71" t="n">
        <v>46168</v>
      </c>
      <c r="F9" s="51" t="inlineStr">
        <is>
          <t>11:00 AM - 12:00 PM</t>
        </is>
      </c>
      <c r="G9" s="51" t="n">
        <v>12</v>
      </c>
    </row>
    <row r="10" ht="14.25" customHeight="1" s="84">
      <c r="A10" s="51" t="inlineStr">
        <is>
          <t>Offline L3-B9 Apr'26</t>
        </is>
      </c>
      <c r="B10" s="51" t="inlineStr">
        <is>
          <t>Proficient</t>
        </is>
      </c>
      <c r="C10" s="51" t="inlineStr">
        <is>
          <t>Offline</t>
        </is>
      </c>
      <c r="D10" s="71" t="n">
        <v>46122</v>
      </c>
      <c r="E10" s="71" t="n">
        <v>46168</v>
      </c>
      <c r="F10" s="51" t="inlineStr">
        <is>
          <t>2:30 PM - 3:30 PM</t>
        </is>
      </c>
      <c r="G10" s="51" t="n">
        <v>12</v>
      </c>
    </row>
    <row r="11" ht="14.25" customHeight="1" s="84">
      <c r="A11" s="51" t="inlineStr">
        <is>
          <t>Offline L2-B10 Apr'26</t>
        </is>
      </c>
      <c r="B11" s="51" t="inlineStr">
        <is>
          <t>Advanced</t>
        </is>
      </c>
      <c r="C11" s="51" t="inlineStr">
        <is>
          <t>Offline</t>
        </is>
      </c>
      <c r="D11" s="71" t="n">
        <v>46122</v>
      </c>
      <c r="E11" s="71" t="n">
        <v>46168</v>
      </c>
      <c r="F11" s="51" t="inlineStr">
        <is>
          <t>4:00 PM - 5:00 PM</t>
        </is>
      </c>
      <c r="G11" s="51" t="n">
        <v>12</v>
      </c>
    </row>
    <row r="12" ht="14.25" customHeight="1" s="84">
      <c r="A12" s="51" t="inlineStr">
        <is>
          <t>Offline L1-B11 Apr'26</t>
        </is>
      </c>
      <c r="B12" s="51" t="inlineStr">
        <is>
          <t>Basic</t>
        </is>
      </c>
      <c r="C12" s="51" t="inlineStr">
        <is>
          <t>Offline</t>
        </is>
      </c>
      <c r="D12" s="76" t="n">
        <v>46122</v>
      </c>
      <c r="E12" s="71" t="n">
        <v>46168</v>
      </c>
      <c r="F12" s="51" t="inlineStr">
        <is>
          <t>6:00 PM - 7:00 PM</t>
        </is>
      </c>
      <c r="G12" s="51" t="n">
        <v>12</v>
      </c>
    </row>
    <row r="13" ht="14.25" customHeight="1" s="84">
      <c r="A13" s="51" t="inlineStr">
        <is>
          <t>Offline L3-B11 Apr'26</t>
        </is>
      </c>
      <c r="B13" s="51" t="inlineStr">
        <is>
          <t>Proficiant</t>
        </is>
      </c>
      <c r="C13" s="51" t="inlineStr">
        <is>
          <t>Online</t>
        </is>
      </c>
      <c r="D13" s="76" t="n">
        <v>46122</v>
      </c>
      <c r="E13" s="76" t="n">
        <v>46168</v>
      </c>
      <c r="F13" s="51" t="inlineStr">
        <is>
          <t>4:00 PM - 5:00 PM</t>
        </is>
      </c>
      <c r="G13" s="51" t="n">
        <v>12</v>
      </c>
    </row>
    <row r="14" ht="14.25" customHeight="1" s="84">
      <c r="A14" s="55" t="inlineStr">
        <is>
          <t>Offline L1-B12 June'26</t>
        </is>
      </c>
      <c r="B14" s="55" t="inlineStr">
        <is>
          <t>Basic</t>
        </is>
      </c>
      <c r="C14" s="55" t="inlineStr">
        <is>
          <t>Offline</t>
        </is>
      </c>
      <c r="D14" s="74" t="n">
        <v>46189</v>
      </c>
      <c r="E14" s="74" t="n"/>
      <c r="F14" s="55" t="inlineStr">
        <is>
          <t>6:00 PM - 7:00 PM</t>
        </is>
      </c>
      <c r="G14" s="55" t="n">
        <v>12</v>
      </c>
      <c r="H14" s="55" t="inlineStr">
        <is>
          <t>Tue/Thu/Sat</t>
        </is>
      </c>
      <c r="I14" s="55" t="n"/>
      <c r="J14" s="55" t="inlineStr">
        <is>
          <t>20-24</t>
        </is>
      </c>
      <c r="K14" s="55" t="n"/>
      <c r="L14" s="55" t="n"/>
      <c r="M14" s="55" t="n"/>
      <c r="N14" s="55" t="n"/>
      <c r="O14" s="55" t="n"/>
      <c r="P14" s="55" t="n"/>
      <c r="Q14" s="55" t="n"/>
      <c r="R14" s="55" t="n"/>
      <c r="S14" s="55" t="n"/>
      <c r="T14" s="55" t="n"/>
      <c r="U14" s="55" t="n"/>
      <c r="V14" s="55" t="n"/>
      <c r="W14" s="55" t="n"/>
      <c r="X14" s="55" t="n"/>
      <c r="Y14" s="55" t="n"/>
      <c r="Z14" s="55" t="n"/>
    </row>
    <row r="15" ht="14.25" customHeight="1" s="84">
      <c r="A15" s="55" t="inlineStr">
        <is>
          <t>Online L1-B13 June'26</t>
        </is>
      </c>
      <c r="B15" s="55" t="inlineStr">
        <is>
          <t>Basic</t>
        </is>
      </c>
      <c r="C15" s="55" t="inlineStr">
        <is>
          <t>Online</t>
        </is>
      </c>
      <c r="D15" s="74" t="n">
        <v>46189</v>
      </c>
      <c r="E15" s="74" t="n"/>
      <c r="F15" s="55" t="inlineStr">
        <is>
          <t>7:30 PM - 8:30 PM</t>
        </is>
      </c>
      <c r="G15" s="55" t="n">
        <v>12</v>
      </c>
      <c r="H15" s="55" t="inlineStr">
        <is>
          <t>Tue/Thu/Sat</t>
        </is>
      </c>
      <c r="I15" s="55" t="n"/>
      <c r="J15" s="55" t="inlineStr">
        <is>
          <t>20-24</t>
        </is>
      </c>
      <c r="K15" s="55" t="n"/>
      <c r="L15" s="55" t="n"/>
      <c r="M15" s="55" t="n"/>
      <c r="N15" s="55" t="n"/>
      <c r="O15" s="55" t="n"/>
      <c r="P15" s="55" t="n"/>
      <c r="Q15" s="55" t="n"/>
      <c r="R15" s="55" t="n"/>
      <c r="S15" s="55" t="n"/>
      <c r="T15" s="55" t="n"/>
      <c r="U15" s="55" t="n"/>
      <c r="V15" s="55" t="n"/>
      <c r="W15" s="55" t="n"/>
      <c r="X15" s="55" t="n"/>
      <c r="Y15" s="55" t="n"/>
      <c r="Z15" s="55" t="n"/>
    </row>
    <row r="16" ht="14.25" customHeight="1" s="84">
      <c r="A16" s="55" t="inlineStr">
        <is>
          <t>Offline L2-B14 June'26</t>
        </is>
      </c>
      <c r="B16" s="55" t="inlineStr">
        <is>
          <t>Advanced</t>
        </is>
      </c>
      <c r="C16" s="55" t="inlineStr">
        <is>
          <t>Offline</t>
        </is>
      </c>
      <c r="D16" s="74" t="n">
        <v>46189</v>
      </c>
      <c r="E16" s="74" t="n"/>
      <c r="F16" s="55" t="inlineStr">
        <is>
          <t>6:00 PM - 7:00 PM</t>
        </is>
      </c>
      <c r="G16" s="55" t="n">
        <v>12</v>
      </c>
      <c r="H16" s="55" t="inlineStr">
        <is>
          <t>Mon/Wed/Fri</t>
        </is>
      </c>
      <c r="I16" s="55" t="n"/>
      <c r="J16" s="55" t="inlineStr">
        <is>
          <t>30-35</t>
        </is>
      </c>
      <c r="K16" s="55" t="n"/>
      <c r="L16" s="55" t="n"/>
      <c r="M16" s="55" t="n"/>
      <c r="N16" s="55" t="n"/>
      <c r="O16" s="55" t="n"/>
      <c r="P16" s="55" t="n"/>
      <c r="Q16" s="55" t="n"/>
      <c r="R16" s="55" t="n"/>
      <c r="S16" s="55" t="n"/>
      <c r="T16" s="55" t="n"/>
      <c r="U16" s="55" t="n"/>
      <c r="V16" s="55" t="n"/>
      <c r="W16" s="55" t="n"/>
      <c r="X16" s="55" t="n"/>
      <c r="Y16" s="55" t="n"/>
      <c r="Z16" s="55" t="n"/>
    </row>
    <row r="17" ht="14.25" customHeight="1" s="84">
      <c r="A17" s="55" t="inlineStr">
        <is>
          <t>Online L2-B15 June'26</t>
        </is>
      </c>
      <c r="B17" s="55" t="inlineStr">
        <is>
          <t>Advanced</t>
        </is>
      </c>
      <c r="C17" s="55" t="inlineStr">
        <is>
          <t>Online</t>
        </is>
      </c>
      <c r="D17" s="74" t="n">
        <v>46188</v>
      </c>
      <c r="E17" s="74" t="n"/>
      <c r="F17" s="55" t="inlineStr">
        <is>
          <t>7:30 PM - 8:30 PM</t>
        </is>
      </c>
      <c r="G17" s="55" t="n">
        <v>12</v>
      </c>
      <c r="H17" s="55" t="inlineStr">
        <is>
          <t>Mon/Wed/Fri</t>
        </is>
      </c>
      <c r="I17" s="55" t="n"/>
      <c r="J17" s="55" t="inlineStr">
        <is>
          <t>30-35</t>
        </is>
      </c>
      <c r="K17" s="55" t="n"/>
      <c r="L17" s="55" t="n"/>
      <c r="M17" s="55" t="n"/>
      <c r="N17" s="55" t="n"/>
      <c r="O17" s="55" t="n"/>
      <c r="P17" s="55" t="n"/>
      <c r="Q17" s="55" t="n"/>
      <c r="R17" s="55" t="n"/>
      <c r="S17" s="55" t="n"/>
      <c r="T17" s="55" t="n"/>
      <c r="U17" s="55" t="n"/>
      <c r="V17" s="55" t="n"/>
      <c r="W17" s="55" t="n"/>
      <c r="X17" s="55" t="n"/>
      <c r="Y17" s="55" t="n"/>
      <c r="Z17" s="55" t="n"/>
    </row>
    <row r="18" ht="14.25" customHeight="1" s="84">
      <c r="A18" s="55" t="inlineStr">
        <is>
          <t>Offline Reading June'26</t>
        </is>
      </c>
      <c r="B18" s="55" t="inlineStr">
        <is>
          <t>Reading</t>
        </is>
      </c>
      <c r="C18" s="55" t="inlineStr">
        <is>
          <t>Offline</t>
        </is>
      </c>
      <c r="D18" s="74" t="n">
        <v>46188</v>
      </c>
      <c r="E18" s="74" t="n"/>
      <c r="F18" s="55" t="inlineStr">
        <is>
          <t>5:00 PM - 6:00 PM</t>
        </is>
      </c>
      <c r="G18" s="55" t="n">
        <v>12</v>
      </c>
      <c r="H18" s="55" t="inlineStr">
        <is>
          <t>Mon/Wed/Fri</t>
        </is>
      </c>
      <c r="I18" s="55" t="n"/>
      <c r="J18" s="55" t="inlineStr">
        <is>
          <t>30-35</t>
        </is>
      </c>
      <c r="K18" s="55" t="n"/>
      <c r="L18" s="55" t="n"/>
      <c r="M18" s="55" t="n"/>
      <c r="N18" s="55" t="n"/>
      <c r="O18" s="55" t="n"/>
      <c r="P18" s="55" t="n"/>
      <c r="Q18" s="55" t="n"/>
      <c r="R18" s="55" t="n"/>
      <c r="S18" s="55" t="n"/>
      <c r="T18" s="55" t="n"/>
      <c r="U18" s="55" t="n"/>
      <c r="V18" s="55" t="n"/>
      <c r="W18" s="55" t="n"/>
      <c r="X18" s="55" t="n"/>
      <c r="Y18" s="55" t="n"/>
      <c r="Z18" s="55" t="n"/>
    </row>
    <row r="19" ht="14.25" customHeight="1" s="84">
      <c r="A19" s="55" t="inlineStr">
        <is>
          <t>Online Teachers June'26</t>
        </is>
      </c>
      <c r="B19" s="55" t="inlineStr">
        <is>
          <t>Teachers Training</t>
        </is>
      </c>
      <c r="C19" s="55" t="inlineStr">
        <is>
          <t>Online</t>
        </is>
      </c>
      <c r="D19" s="74" t="n">
        <v>46182</v>
      </c>
      <c r="E19" s="74" t="n"/>
      <c r="F19" s="55" t="inlineStr">
        <is>
          <t>1:00 PM - 3:00 PM</t>
        </is>
      </c>
      <c r="G19" s="55" t="n">
        <v>10</v>
      </c>
      <c r="H19" s="75" t="inlineStr">
        <is>
          <t>Mon–Fri</t>
        </is>
      </c>
      <c r="I19" s="55" t="n"/>
      <c r="J19" s="55" t="n">
        <v>5</v>
      </c>
      <c r="K19" s="55" t="n"/>
      <c r="L19" s="55" t="n"/>
      <c r="M19" s="55" t="n"/>
      <c r="N19" s="55" t="n"/>
      <c r="O19" s="55" t="n"/>
      <c r="P19" s="55" t="n"/>
      <c r="Q19" s="55" t="n"/>
      <c r="R19" s="55" t="n"/>
      <c r="S19" s="55" t="n"/>
      <c r="T19" s="55" t="n"/>
      <c r="U19" s="55" t="n"/>
      <c r="V19" s="55" t="n"/>
      <c r="W19" s="55" t="n"/>
      <c r="X19" s="55" t="n"/>
      <c r="Y19" s="55" t="n"/>
      <c r="Z19" s="55" t="n"/>
    </row>
    <row r="20" ht="14.25" customHeight="1" s="84">
      <c r="D20" s="76" t="n"/>
      <c r="E20" s="76" t="n"/>
    </row>
    <row r="21" ht="14.25" customHeight="1" s="84">
      <c r="D21" s="76" t="n"/>
      <c r="E21" s="76" t="n"/>
    </row>
    <row r="22" ht="14.25" customHeight="1" s="84">
      <c r="D22" s="76" t="n"/>
      <c r="E22" s="76" t="n"/>
    </row>
    <row r="23" ht="14.25" customHeight="1" s="84">
      <c r="D23" s="76" t="n"/>
      <c r="E23" s="76" t="n"/>
    </row>
    <row r="24" ht="14.25" customHeight="1" s="84">
      <c r="D24" s="76" t="n"/>
      <c r="E24" s="76" t="n"/>
    </row>
    <row r="25" ht="14.25" customHeight="1" s="84">
      <c r="D25" s="76" t="n"/>
      <c r="E25" s="76" t="n"/>
    </row>
    <row r="26" ht="14.25" customHeight="1" s="84">
      <c r="D26" s="76" t="n"/>
      <c r="E26" s="76" t="n"/>
    </row>
    <row r="27" ht="14.25" customHeight="1" s="84">
      <c r="D27" s="76" t="n"/>
      <c r="E27" s="76" t="n"/>
    </row>
    <row r="28" ht="14.25" customHeight="1" s="84">
      <c r="D28" s="76" t="n"/>
      <c r="E28" s="76" t="n"/>
    </row>
    <row r="29" ht="14.25" customHeight="1" s="84">
      <c r="D29" s="76" t="n"/>
      <c r="E29" s="76" t="n"/>
    </row>
    <row r="30" ht="14.25" customHeight="1" s="84">
      <c r="D30" s="76" t="n"/>
      <c r="E30" s="76" t="n"/>
    </row>
    <row r="31" ht="14.25" customHeight="1" s="84">
      <c r="D31" s="76" t="n"/>
      <c r="E31" s="76" t="n"/>
    </row>
    <row r="32" ht="14.25" customHeight="1" s="84">
      <c r="D32" s="76" t="n"/>
      <c r="E32" s="76" t="n"/>
    </row>
    <row r="33" ht="14.25" customHeight="1" s="84">
      <c r="D33" s="76" t="n"/>
      <c r="E33" s="76" t="n"/>
    </row>
    <row r="34" ht="14.25" customHeight="1" s="84">
      <c r="D34" s="76" t="n"/>
      <c r="E34" s="76" t="n"/>
    </row>
    <row r="35" ht="14.25" customHeight="1" s="84">
      <c r="D35" s="76" t="n"/>
      <c r="E35" s="76" t="n"/>
    </row>
    <row r="36" ht="14.25" customHeight="1" s="84">
      <c r="D36" s="76" t="n"/>
      <c r="E36" s="76" t="n"/>
    </row>
    <row r="37" ht="14.25" customHeight="1" s="84">
      <c r="D37" s="76" t="n"/>
      <c r="E37" s="76" t="n"/>
    </row>
    <row r="38" ht="14.25" customHeight="1" s="84">
      <c r="D38" s="76" t="n"/>
      <c r="E38" s="76" t="n"/>
    </row>
    <row r="39" ht="14.25" customHeight="1" s="84">
      <c r="D39" s="76" t="n"/>
      <c r="E39" s="76" t="n"/>
    </row>
    <row r="40" ht="14.25" customHeight="1" s="84">
      <c r="D40" s="76" t="n"/>
      <c r="E40" s="76" t="n"/>
    </row>
    <row r="41" ht="14.25" customHeight="1" s="84">
      <c r="D41" s="76" t="n"/>
      <c r="E41" s="76" t="n"/>
    </row>
    <row r="42" ht="14.25" customHeight="1" s="84">
      <c r="D42" s="76" t="n"/>
      <c r="E42" s="76" t="n"/>
    </row>
    <row r="43" ht="14.25" customHeight="1" s="84">
      <c r="D43" s="76" t="n"/>
      <c r="E43" s="76" t="n"/>
    </row>
    <row r="44" ht="14.25" customHeight="1" s="84">
      <c r="D44" s="76" t="n"/>
      <c r="E44" s="76" t="n"/>
    </row>
    <row r="45" ht="14.25" customHeight="1" s="84">
      <c r="D45" s="76" t="n"/>
      <c r="E45" s="76" t="n"/>
    </row>
    <row r="46" ht="14.25" customHeight="1" s="84">
      <c r="D46" s="76" t="n"/>
      <c r="E46" s="76" t="n"/>
    </row>
    <row r="47" ht="14.25" customHeight="1" s="84">
      <c r="D47" s="76" t="n"/>
      <c r="E47" s="76" t="n"/>
    </row>
    <row r="48" ht="14.25" customHeight="1" s="84">
      <c r="D48" s="76" t="n"/>
      <c r="E48" s="76" t="n"/>
    </row>
    <row r="49" ht="14.25" customHeight="1" s="84">
      <c r="D49" s="76" t="n"/>
      <c r="E49" s="76" t="n"/>
    </row>
    <row r="50" ht="14.25" customHeight="1" s="84">
      <c r="D50" s="76" t="n"/>
      <c r="E50" s="76" t="n"/>
    </row>
    <row r="51" ht="14.25" customHeight="1" s="84">
      <c r="D51" s="76" t="n"/>
      <c r="E51" s="76" t="n"/>
    </row>
    <row r="52" ht="14.25" customHeight="1" s="84">
      <c r="D52" s="76" t="n"/>
      <c r="E52" s="76" t="n"/>
    </row>
    <row r="53" ht="14.25" customHeight="1" s="84">
      <c r="D53" s="76" t="n"/>
      <c r="E53" s="76" t="n"/>
    </row>
    <row r="54" ht="14.25" customHeight="1" s="84">
      <c r="D54" s="76" t="n"/>
      <c r="E54" s="76" t="n"/>
    </row>
    <row r="55" ht="14.25" customHeight="1" s="84">
      <c r="D55" s="76" t="n"/>
      <c r="E55" s="76" t="n"/>
    </row>
    <row r="56" ht="14.25" customHeight="1" s="84">
      <c r="D56" s="76" t="n"/>
      <c r="E56" s="76" t="n"/>
    </row>
    <row r="57" ht="14.25" customHeight="1" s="84">
      <c r="D57" s="76" t="n"/>
      <c r="E57" s="76" t="n"/>
    </row>
    <row r="58" ht="14.25" customHeight="1" s="84">
      <c r="D58" s="76" t="n"/>
      <c r="E58" s="76" t="n"/>
    </row>
    <row r="59" ht="14.25" customHeight="1" s="84">
      <c r="D59" s="76" t="n"/>
      <c r="E59" s="76" t="n"/>
    </row>
    <row r="60" ht="14.25" customHeight="1" s="84">
      <c r="D60" s="76" t="n"/>
      <c r="E60" s="76" t="n"/>
    </row>
    <row r="61" ht="14.25" customHeight="1" s="84">
      <c r="D61" s="76" t="n"/>
      <c r="E61" s="76" t="n"/>
    </row>
    <row r="62" ht="14.25" customHeight="1" s="84">
      <c r="D62" s="76" t="n"/>
      <c r="E62" s="76" t="n"/>
    </row>
    <row r="63" ht="14.25" customHeight="1" s="84">
      <c r="D63" s="76" t="n"/>
      <c r="E63" s="76" t="n"/>
    </row>
    <row r="64" ht="14.25" customHeight="1" s="84">
      <c r="D64" s="76" t="n"/>
      <c r="E64" s="76" t="n"/>
    </row>
    <row r="65" ht="14.25" customHeight="1" s="84">
      <c r="D65" s="76" t="n"/>
      <c r="E65" s="76" t="n"/>
    </row>
    <row r="66" ht="14.25" customHeight="1" s="84">
      <c r="D66" s="76" t="n"/>
      <c r="E66" s="76" t="n"/>
    </row>
    <row r="67" ht="14.25" customHeight="1" s="84">
      <c r="D67" s="76" t="n"/>
      <c r="E67" s="76" t="n"/>
    </row>
    <row r="68" ht="14.25" customHeight="1" s="84">
      <c r="D68" s="76" t="n"/>
      <c r="E68" s="76" t="n"/>
    </row>
    <row r="69" ht="14.25" customHeight="1" s="84">
      <c r="D69" s="76" t="n"/>
      <c r="E69" s="76" t="n"/>
    </row>
    <row r="70" ht="14.25" customHeight="1" s="84">
      <c r="D70" s="76" t="n"/>
      <c r="E70" s="76" t="n"/>
    </row>
    <row r="71" ht="14.25" customHeight="1" s="84">
      <c r="D71" s="76" t="n"/>
      <c r="E71" s="76" t="n"/>
    </row>
    <row r="72" ht="14.25" customHeight="1" s="84">
      <c r="D72" s="76" t="n"/>
      <c r="E72" s="76" t="n"/>
    </row>
    <row r="73" ht="14.25" customHeight="1" s="84">
      <c r="D73" s="76" t="n"/>
      <c r="E73" s="76" t="n"/>
    </row>
    <row r="74" ht="14.25" customHeight="1" s="84">
      <c r="D74" s="76" t="n"/>
      <c r="E74" s="76" t="n"/>
    </row>
    <row r="75" ht="14.25" customHeight="1" s="84">
      <c r="D75" s="76" t="n"/>
      <c r="E75" s="76" t="n"/>
    </row>
    <row r="76" ht="14.25" customHeight="1" s="84">
      <c r="D76" s="76" t="n"/>
      <c r="E76" s="76" t="n"/>
    </row>
    <row r="77" ht="14.25" customHeight="1" s="84">
      <c r="D77" s="76" t="n"/>
      <c r="E77" s="76" t="n"/>
    </row>
    <row r="78" ht="14.25" customHeight="1" s="84">
      <c r="D78" s="76" t="n"/>
      <c r="E78" s="76" t="n"/>
    </row>
    <row r="79" ht="14.25" customHeight="1" s="84">
      <c r="D79" s="76" t="n"/>
      <c r="E79" s="76" t="n"/>
    </row>
    <row r="80" ht="14.25" customHeight="1" s="84">
      <c r="D80" s="76" t="n"/>
      <c r="E80" s="76" t="n"/>
    </row>
    <row r="81" ht="14.25" customHeight="1" s="84">
      <c r="D81" s="76" t="n"/>
      <c r="E81" s="76" t="n"/>
    </row>
    <row r="82" ht="14.25" customHeight="1" s="84">
      <c r="D82" s="76" t="n"/>
      <c r="E82" s="76" t="n"/>
    </row>
    <row r="83" ht="14.25" customHeight="1" s="84">
      <c r="D83" s="76" t="n"/>
      <c r="E83" s="76" t="n"/>
    </row>
    <row r="84" ht="14.25" customHeight="1" s="84">
      <c r="D84" s="76" t="n"/>
      <c r="E84" s="76" t="n"/>
    </row>
    <row r="85" ht="14.25" customHeight="1" s="84">
      <c r="D85" s="76" t="n"/>
      <c r="E85" s="76" t="n"/>
    </row>
    <row r="86" ht="14.25" customHeight="1" s="84">
      <c r="D86" s="76" t="n"/>
      <c r="E86" s="76" t="n"/>
    </row>
    <row r="87" ht="14.25" customHeight="1" s="84">
      <c r="D87" s="76" t="n"/>
      <c r="E87" s="76" t="n"/>
    </row>
    <row r="88" ht="14.25" customHeight="1" s="84">
      <c r="D88" s="76" t="n"/>
      <c r="E88" s="76" t="n"/>
    </row>
    <row r="89" ht="14.25" customHeight="1" s="84">
      <c r="D89" s="76" t="n"/>
      <c r="E89" s="76" t="n"/>
    </row>
    <row r="90" ht="14.25" customHeight="1" s="84">
      <c r="D90" s="76" t="n"/>
      <c r="E90" s="76" t="n"/>
    </row>
    <row r="91" ht="14.25" customHeight="1" s="84">
      <c r="D91" s="76" t="n"/>
      <c r="E91" s="76" t="n"/>
    </row>
    <row r="92" ht="14.25" customHeight="1" s="84">
      <c r="D92" s="76" t="n"/>
      <c r="E92" s="76" t="n"/>
    </row>
    <row r="93" ht="14.25" customHeight="1" s="84">
      <c r="D93" s="76" t="n"/>
      <c r="E93" s="76" t="n"/>
    </row>
    <row r="94" ht="14.25" customHeight="1" s="84">
      <c r="D94" s="76" t="n"/>
      <c r="E94" s="76" t="n"/>
    </row>
    <row r="95" ht="14.25" customHeight="1" s="84">
      <c r="D95" s="76" t="n"/>
      <c r="E95" s="76" t="n"/>
    </row>
    <row r="96" ht="14.25" customHeight="1" s="84">
      <c r="D96" s="76" t="n"/>
      <c r="E96" s="76" t="n"/>
    </row>
    <row r="97" ht="14.25" customHeight="1" s="84">
      <c r="D97" s="76" t="n"/>
      <c r="E97" s="76" t="n"/>
    </row>
    <row r="98" ht="14.25" customHeight="1" s="84">
      <c r="D98" s="76" t="n"/>
      <c r="E98" s="76" t="n"/>
    </row>
    <row r="99" ht="14.25" customHeight="1" s="84">
      <c r="D99" s="76" t="n"/>
      <c r="E99" s="76" t="n"/>
    </row>
    <row r="100" ht="14.25" customHeight="1" s="84">
      <c r="D100" s="76" t="n"/>
      <c r="E100" s="76" t="n"/>
    </row>
    <row r="101" ht="14.25" customHeight="1" s="84">
      <c r="D101" s="76" t="n"/>
      <c r="E101" s="76" t="n"/>
    </row>
    <row r="102" ht="14.25" customHeight="1" s="84">
      <c r="D102" s="76" t="n"/>
      <c r="E102" s="76" t="n"/>
    </row>
    <row r="103" ht="14.25" customHeight="1" s="84">
      <c r="D103" s="76" t="n"/>
      <c r="E103" s="76" t="n"/>
    </row>
    <row r="104" ht="14.25" customHeight="1" s="84">
      <c r="D104" s="76" t="n"/>
      <c r="E104" s="76" t="n"/>
    </row>
    <row r="105" ht="14.25" customHeight="1" s="84">
      <c r="D105" s="76" t="n"/>
      <c r="E105" s="76" t="n"/>
    </row>
    <row r="106" ht="14.25" customHeight="1" s="84">
      <c r="D106" s="76" t="n"/>
      <c r="E106" s="76" t="n"/>
    </row>
    <row r="107" ht="14.25" customHeight="1" s="84">
      <c r="D107" s="76" t="n"/>
      <c r="E107" s="76" t="n"/>
    </row>
    <row r="108" ht="14.25" customHeight="1" s="84">
      <c r="D108" s="76" t="n"/>
      <c r="E108" s="76" t="n"/>
    </row>
    <row r="109" ht="14.25" customHeight="1" s="84">
      <c r="D109" s="76" t="n"/>
      <c r="E109" s="76" t="n"/>
    </row>
    <row r="110" ht="14.25" customHeight="1" s="84">
      <c r="D110" s="76" t="n"/>
      <c r="E110" s="76" t="n"/>
    </row>
    <row r="111" ht="14.25" customHeight="1" s="84">
      <c r="D111" s="76" t="n"/>
      <c r="E111" s="76" t="n"/>
    </row>
    <row r="112" ht="14.25" customHeight="1" s="84">
      <c r="D112" s="76" t="n"/>
      <c r="E112" s="76" t="n"/>
    </row>
    <row r="113" ht="14.25" customHeight="1" s="84">
      <c r="D113" s="76" t="n"/>
      <c r="E113" s="76" t="n"/>
    </row>
    <row r="114" ht="14.25" customHeight="1" s="84">
      <c r="D114" s="76" t="n"/>
      <c r="E114" s="76" t="n"/>
    </row>
    <row r="115" ht="14.25" customHeight="1" s="84">
      <c r="D115" s="76" t="n"/>
      <c r="E115" s="76" t="n"/>
    </row>
    <row r="116" ht="14.25" customHeight="1" s="84">
      <c r="D116" s="76" t="n"/>
      <c r="E116" s="76" t="n"/>
    </row>
    <row r="117" ht="14.25" customHeight="1" s="84">
      <c r="D117" s="76" t="n"/>
      <c r="E117" s="76" t="n"/>
    </row>
    <row r="118" ht="14.25" customHeight="1" s="84">
      <c r="D118" s="76" t="n"/>
      <c r="E118" s="76" t="n"/>
    </row>
    <row r="119" ht="14.25" customHeight="1" s="84">
      <c r="D119" s="76" t="n"/>
      <c r="E119" s="76" t="n"/>
    </row>
    <row r="120" ht="14.25" customHeight="1" s="84">
      <c r="D120" s="76" t="n"/>
      <c r="E120" s="76" t="n"/>
    </row>
    <row r="121" ht="14.25" customHeight="1" s="84">
      <c r="D121" s="76" t="n"/>
      <c r="E121" s="76" t="n"/>
    </row>
    <row r="122" ht="14.25" customHeight="1" s="84">
      <c r="D122" s="76" t="n"/>
      <c r="E122" s="76" t="n"/>
    </row>
    <row r="123" ht="14.25" customHeight="1" s="84">
      <c r="D123" s="76" t="n"/>
      <c r="E123" s="76" t="n"/>
    </row>
    <row r="124" ht="14.25" customHeight="1" s="84">
      <c r="D124" s="76" t="n"/>
      <c r="E124" s="76" t="n"/>
    </row>
    <row r="125" ht="14.25" customHeight="1" s="84">
      <c r="D125" s="76" t="n"/>
      <c r="E125" s="76" t="n"/>
    </row>
    <row r="126" ht="14.25" customHeight="1" s="84">
      <c r="D126" s="76" t="n"/>
      <c r="E126" s="76" t="n"/>
    </row>
    <row r="127" ht="14.25" customHeight="1" s="84">
      <c r="D127" s="76" t="n"/>
      <c r="E127" s="76" t="n"/>
    </row>
    <row r="128" ht="14.25" customHeight="1" s="84">
      <c r="D128" s="76" t="n"/>
      <c r="E128" s="76" t="n"/>
    </row>
    <row r="129" ht="14.25" customHeight="1" s="84">
      <c r="D129" s="76" t="n"/>
      <c r="E129" s="76" t="n"/>
    </row>
    <row r="130" ht="14.25" customHeight="1" s="84">
      <c r="D130" s="76" t="n"/>
      <c r="E130" s="76" t="n"/>
    </row>
    <row r="131" ht="14.25" customHeight="1" s="84">
      <c r="D131" s="76" t="n"/>
      <c r="E131" s="76" t="n"/>
    </row>
    <row r="132" ht="14.25" customHeight="1" s="84">
      <c r="D132" s="76" t="n"/>
      <c r="E132" s="76" t="n"/>
    </row>
    <row r="133" ht="14.25" customHeight="1" s="84">
      <c r="D133" s="76" t="n"/>
      <c r="E133" s="76" t="n"/>
    </row>
    <row r="134" ht="14.25" customHeight="1" s="84">
      <c r="D134" s="76" t="n"/>
      <c r="E134" s="76" t="n"/>
    </row>
    <row r="135" ht="14.25" customHeight="1" s="84">
      <c r="D135" s="76" t="n"/>
      <c r="E135" s="76" t="n"/>
    </row>
    <row r="136" ht="14.25" customHeight="1" s="84">
      <c r="D136" s="76" t="n"/>
      <c r="E136" s="76" t="n"/>
    </row>
    <row r="137" ht="14.25" customHeight="1" s="84">
      <c r="D137" s="76" t="n"/>
      <c r="E137" s="76" t="n"/>
    </row>
    <row r="138" ht="14.25" customHeight="1" s="84">
      <c r="D138" s="76" t="n"/>
      <c r="E138" s="76" t="n"/>
    </row>
    <row r="139" ht="14.25" customHeight="1" s="84">
      <c r="D139" s="76" t="n"/>
      <c r="E139" s="76" t="n"/>
    </row>
    <row r="140" ht="14.25" customHeight="1" s="84">
      <c r="D140" s="76" t="n"/>
      <c r="E140" s="76" t="n"/>
    </row>
    <row r="141" ht="14.25" customHeight="1" s="84">
      <c r="D141" s="76" t="n"/>
      <c r="E141" s="76" t="n"/>
    </row>
    <row r="142" ht="14.25" customHeight="1" s="84">
      <c r="D142" s="76" t="n"/>
      <c r="E142" s="76" t="n"/>
    </row>
    <row r="143" ht="14.25" customHeight="1" s="84">
      <c r="D143" s="76" t="n"/>
      <c r="E143" s="76" t="n"/>
    </row>
    <row r="144" ht="14.25" customHeight="1" s="84">
      <c r="D144" s="76" t="n"/>
      <c r="E144" s="76" t="n"/>
    </row>
    <row r="145" ht="14.25" customHeight="1" s="84">
      <c r="D145" s="76" t="n"/>
      <c r="E145" s="76" t="n"/>
    </row>
    <row r="146" ht="14.25" customHeight="1" s="84">
      <c r="D146" s="76" t="n"/>
      <c r="E146" s="76" t="n"/>
    </row>
    <row r="147" ht="14.25" customHeight="1" s="84">
      <c r="D147" s="76" t="n"/>
      <c r="E147" s="76" t="n"/>
    </row>
    <row r="148" ht="14.25" customHeight="1" s="84">
      <c r="D148" s="76" t="n"/>
      <c r="E148" s="76" t="n"/>
    </row>
    <row r="149" ht="14.25" customHeight="1" s="84">
      <c r="D149" s="76" t="n"/>
      <c r="E149" s="76" t="n"/>
    </row>
    <row r="150" ht="14.25" customHeight="1" s="84">
      <c r="D150" s="76" t="n"/>
      <c r="E150" s="76" t="n"/>
    </row>
    <row r="151" ht="14.25" customHeight="1" s="84">
      <c r="D151" s="76" t="n"/>
      <c r="E151" s="76" t="n"/>
    </row>
    <row r="152" ht="14.25" customHeight="1" s="84">
      <c r="D152" s="76" t="n"/>
      <c r="E152" s="76" t="n"/>
    </row>
    <row r="153" ht="14.25" customHeight="1" s="84">
      <c r="D153" s="76" t="n"/>
      <c r="E153" s="76" t="n"/>
    </row>
    <row r="154" ht="14.25" customHeight="1" s="84">
      <c r="D154" s="76" t="n"/>
      <c r="E154" s="76" t="n"/>
    </row>
    <row r="155" ht="14.25" customHeight="1" s="84">
      <c r="D155" s="76" t="n"/>
      <c r="E155" s="76" t="n"/>
    </row>
    <row r="156" ht="14.25" customHeight="1" s="84">
      <c r="D156" s="76" t="n"/>
      <c r="E156" s="76" t="n"/>
    </row>
    <row r="157" ht="14.25" customHeight="1" s="84">
      <c r="D157" s="76" t="n"/>
      <c r="E157" s="76" t="n"/>
    </row>
    <row r="158" ht="14.25" customHeight="1" s="84">
      <c r="D158" s="76" t="n"/>
      <c r="E158" s="76" t="n"/>
    </row>
    <row r="159" ht="14.25" customHeight="1" s="84">
      <c r="D159" s="76" t="n"/>
      <c r="E159" s="76" t="n"/>
    </row>
    <row r="160" ht="14.25" customHeight="1" s="84">
      <c r="D160" s="76" t="n"/>
      <c r="E160" s="76" t="n"/>
    </row>
    <row r="161" ht="14.25" customHeight="1" s="84">
      <c r="D161" s="76" t="n"/>
      <c r="E161" s="76" t="n"/>
    </row>
    <row r="162" ht="14.25" customHeight="1" s="84">
      <c r="D162" s="76" t="n"/>
      <c r="E162" s="76" t="n"/>
    </row>
    <row r="163" ht="14.25" customHeight="1" s="84">
      <c r="D163" s="76" t="n"/>
      <c r="E163" s="76" t="n"/>
    </row>
    <row r="164" ht="14.25" customHeight="1" s="84">
      <c r="D164" s="76" t="n"/>
      <c r="E164" s="76" t="n"/>
    </row>
    <row r="165" ht="14.25" customHeight="1" s="84">
      <c r="D165" s="76" t="n"/>
      <c r="E165" s="76" t="n"/>
    </row>
    <row r="166" ht="14.25" customHeight="1" s="84">
      <c r="D166" s="76" t="n"/>
      <c r="E166" s="76" t="n"/>
    </row>
    <row r="167" ht="14.25" customHeight="1" s="84">
      <c r="D167" s="76" t="n"/>
      <c r="E167" s="76" t="n"/>
    </row>
    <row r="168" ht="14.25" customHeight="1" s="84">
      <c r="D168" s="76" t="n"/>
      <c r="E168" s="76" t="n"/>
    </row>
    <row r="169" ht="14.25" customHeight="1" s="84">
      <c r="D169" s="76" t="n"/>
      <c r="E169" s="76" t="n"/>
    </row>
    <row r="170" ht="14.25" customHeight="1" s="84">
      <c r="D170" s="76" t="n"/>
      <c r="E170" s="76" t="n"/>
    </row>
    <row r="171" ht="14.25" customHeight="1" s="84">
      <c r="D171" s="76" t="n"/>
      <c r="E171" s="76" t="n"/>
    </row>
    <row r="172" ht="14.25" customHeight="1" s="84">
      <c r="D172" s="76" t="n"/>
      <c r="E172" s="76" t="n"/>
    </row>
    <row r="173" ht="14.25" customHeight="1" s="84">
      <c r="D173" s="76" t="n"/>
      <c r="E173" s="76" t="n"/>
    </row>
    <row r="174" ht="14.25" customHeight="1" s="84">
      <c r="D174" s="76" t="n"/>
      <c r="E174" s="76" t="n"/>
    </row>
    <row r="175" ht="14.25" customHeight="1" s="84">
      <c r="D175" s="76" t="n"/>
      <c r="E175" s="76" t="n"/>
    </row>
    <row r="176" ht="14.25" customHeight="1" s="84">
      <c r="D176" s="76" t="n"/>
      <c r="E176" s="76" t="n"/>
    </row>
    <row r="177" ht="14.25" customHeight="1" s="84">
      <c r="D177" s="76" t="n"/>
      <c r="E177" s="76" t="n"/>
    </row>
    <row r="178" ht="14.25" customHeight="1" s="84">
      <c r="D178" s="76" t="n"/>
      <c r="E178" s="76" t="n"/>
    </row>
    <row r="179" ht="14.25" customHeight="1" s="84">
      <c r="D179" s="76" t="n"/>
      <c r="E179" s="76" t="n"/>
    </row>
    <row r="180" ht="14.25" customHeight="1" s="84">
      <c r="D180" s="76" t="n"/>
      <c r="E180" s="76" t="n"/>
    </row>
    <row r="181" ht="14.25" customHeight="1" s="84">
      <c r="D181" s="76" t="n"/>
      <c r="E181" s="76" t="n"/>
    </row>
    <row r="182" ht="14.25" customHeight="1" s="84">
      <c r="D182" s="76" t="n"/>
      <c r="E182" s="76" t="n"/>
    </row>
    <row r="183" ht="14.25" customHeight="1" s="84">
      <c r="D183" s="76" t="n"/>
      <c r="E183" s="76" t="n"/>
    </row>
    <row r="184" ht="14.25" customHeight="1" s="84">
      <c r="D184" s="76" t="n"/>
      <c r="E184" s="76" t="n"/>
    </row>
    <row r="185" ht="14.25" customHeight="1" s="84">
      <c r="D185" s="76" t="n"/>
      <c r="E185" s="76" t="n"/>
    </row>
    <row r="186" ht="14.25" customHeight="1" s="84">
      <c r="D186" s="76" t="n"/>
      <c r="E186" s="76" t="n"/>
    </row>
    <row r="187" ht="14.25" customHeight="1" s="84">
      <c r="D187" s="76" t="n"/>
      <c r="E187" s="76" t="n"/>
    </row>
    <row r="188" ht="14.25" customHeight="1" s="84">
      <c r="D188" s="76" t="n"/>
      <c r="E188" s="76" t="n"/>
    </row>
    <row r="189" ht="14.25" customHeight="1" s="84">
      <c r="D189" s="76" t="n"/>
      <c r="E189" s="76" t="n"/>
    </row>
    <row r="190" ht="14.25" customHeight="1" s="84">
      <c r="D190" s="76" t="n"/>
      <c r="E190" s="76" t="n"/>
    </row>
    <row r="191" ht="14.25" customHeight="1" s="84">
      <c r="D191" s="76" t="n"/>
      <c r="E191" s="76" t="n"/>
    </row>
    <row r="192" ht="14.25" customHeight="1" s="84">
      <c r="D192" s="76" t="n"/>
      <c r="E192" s="76" t="n"/>
    </row>
    <row r="193" ht="14.25" customHeight="1" s="84">
      <c r="D193" s="76" t="n"/>
      <c r="E193" s="76" t="n"/>
    </row>
    <row r="194" ht="14.25" customHeight="1" s="84">
      <c r="D194" s="76" t="n"/>
      <c r="E194" s="76" t="n"/>
    </row>
    <row r="195" ht="14.25" customHeight="1" s="84">
      <c r="D195" s="76" t="n"/>
      <c r="E195" s="76" t="n"/>
    </row>
    <row r="196" ht="14.25" customHeight="1" s="84">
      <c r="D196" s="76" t="n"/>
      <c r="E196" s="76" t="n"/>
    </row>
    <row r="197" ht="14.25" customHeight="1" s="84">
      <c r="D197" s="76" t="n"/>
      <c r="E197" s="76" t="n"/>
    </row>
    <row r="198" ht="14.25" customHeight="1" s="84">
      <c r="D198" s="76" t="n"/>
      <c r="E198" s="76" t="n"/>
    </row>
    <row r="199" ht="14.25" customHeight="1" s="84">
      <c r="D199" s="76" t="n"/>
      <c r="E199" s="76" t="n"/>
    </row>
    <row r="200" ht="14.25" customHeight="1" s="84">
      <c r="D200" s="76" t="n"/>
      <c r="E200" s="76" t="n"/>
    </row>
    <row r="201" ht="14.25" customHeight="1" s="84">
      <c r="D201" s="76" t="n"/>
      <c r="E201" s="76" t="n"/>
    </row>
    <row r="202" ht="14.25" customHeight="1" s="84">
      <c r="D202" s="76" t="n"/>
      <c r="E202" s="76" t="n"/>
    </row>
    <row r="203" ht="14.25" customHeight="1" s="84">
      <c r="D203" s="76" t="n"/>
      <c r="E203" s="76" t="n"/>
    </row>
    <row r="204" ht="14.25" customHeight="1" s="84">
      <c r="D204" s="76" t="n"/>
      <c r="E204" s="76" t="n"/>
    </row>
    <row r="205" ht="14.25" customHeight="1" s="84">
      <c r="D205" s="76" t="n"/>
      <c r="E205" s="76" t="n"/>
    </row>
    <row r="206" ht="14.25" customHeight="1" s="84">
      <c r="D206" s="76" t="n"/>
      <c r="E206" s="76" t="n"/>
    </row>
    <row r="207" ht="14.25" customHeight="1" s="84">
      <c r="D207" s="76" t="n"/>
      <c r="E207" s="76" t="n"/>
    </row>
    <row r="208" ht="14.25" customHeight="1" s="84">
      <c r="D208" s="76" t="n"/>
      <c r="E208" s="76" t="n"/>
    </row>
    <row r="209" ht="14.25" customHeight="1" s="84">
      <c r="D209" s="76" t="n"/>
      <c r="E209" s="76" t="n"/>
    </row>
    <row r="210" ht="14.25" customHeight="1" s="84">
      <c r="D210" s="76" t="n"/>
      <c r="E210" s="76" t="n"/>
    </row>
    <row r="211" ht="14.25" customHeight="1" s="84">
      <c r="D211" s="76" t="n"/>
      <c r="E211" s="76" t="n"/>
    </row>
    <row r="212" ht="14.25" customHeight="1" s="84">
      <c r="D212" s="76" t="n"/>
      <c r="E212" s="76" t="n"/>
    </row>
    <row r="213" ht="14.25" customHeight="1" s="84">
      <c r="D213" s="76" t="n"/>
      <c r="E213" s="76" t="n"/>
    </row>
    <row r="214" ht="14.25" customHeight="1" s="84">
      <c r="D214" s="76" t="n"/>
      <c r="E214" s="76" t="n"/>
    </row>
    <row r="215" ht="14.25" customHeight="1" s="84">
      <c r="D215" s="76" t="n"/>
      <c r="E215" s="76" t="n"/>
    </row>
    <row r="216" ht="14.25" customHeight="1" s="84">
      <c r="D216" s="76" t="n"/>
      <c r="E216" s="76" t="n"/>
    </row>
    <row r="217" ht="14.25" customHeight="1" s="84">
      <c r="D217" s="76" t="n"/>
      <c r="E217" s="76" t="n"/>
    </row>
    <row r="218" ht="14.25" customHeight="1" s="84">
      <c r="D218" s="76" t="n"/>
      <c r="E218" s="76" t="n"/>
    </row>
    <row r="219" ht="14.25" customHeight="1" s="84">
      <c r="D219" s="76" t="n"/>
      <c r="E219" s="76" t="n"/>
    </row>
    <row r="220" ht="14.25" customHeight="1" s="84">
      <c r="D220" s="76" t="n"/>
      <c r="E220" s="76" t="n"/>
    </row>
    <row r="221" ht="14.25" customHeight="1" s="84">
      <c r="D221" s="76" t="n"/>
      <c r="E221" s="76" t="n"/>
    </row>
    <row r="222" ht="14.25" customHeight="1" s="84">
      <c r="D222" s="76" t="n"/>
      <c r="E222" s="76" t="n"/>
    </row>
    <row r="223" ht="14.25" customHeight="1" s="84">
      <c r="D223" s="76" t="n"/>
      <c r="E223" s="76" t="n"/>
    </row>
    <row r="224" ht="14.25" customHeight="1" s="84">
      <c r="D224" s="76" t="n"/>
      <c r="E224" s="76" t="n"/>
    </row>
    <row r="225" ht="14.25" customHeight="1" s="84">
      <c r="D225" s="76" t="n"/>
      <c r="E225" s="76" t="n"/>
    </row>
    <row r="226" ht="14.25" customHeight="1" s="84">
      <c r="D226" s="76" t="n"/>
      <c r="E226" s="76" t="n"/>
    </row>
    <row r="227" ht="14.25" customHeight="1" s="84">
      <c r="D227" s="76" t="n"/>
      <c r="E227" s="76" t="n"/>
    </row>
    <row r="228" ht="14.25" customHeight="1" s="84">
      <c r="D228" s="76" t="n"/>
      <c r="E228" s="76" t="n"/>
    </row>
    <row r="229" ht="14.25" customHeight="1" s="84">
      <c r="D229" s="76" t="n"/>
      <c r="E229" s="76" t="n"/>
    </row>
    <row r="230" ht="14.25" customHeight="1" s="84">
      <c r="D230" s="76" t="n"/>
      <c r="E230" s="76" t="n"/>
    </row>
    <row r="231" ht="14.25" customHeight="1" s="84">
      <c r="D231" s="76" t="n"/>
      <c r="E231" s="76" t="n"/>
    </row>
    <row r="232" ht="14.25" customHeight="1" s="84">
      <c r="D232" s="76" t="n"/>
      <c r="E232" s="76" t="n"/>
    </row>
    <row r="233" ht="14.25" customHeight="1" s="84">
      <c r="D233" s="76" t="n"/>
      <c r="E233" s="76" t="n"/>
    </row>
    <row r="234" ht="14.25" customHeight="1" s="84">
      <c r="D234" s="76" t="n"/>
      <c r="E234" s="76" t="n"/>
    </row>
    <row r="235" ht="14.25" customHeight="1" s="84">
      <c r="D235" s="76" t="n"/>
      <c r="E235" s="76" t="n"/>
    </row>
    <row r="236" ht="14.25" customHeight="1" s="84">
      <c r="D236" s="76" t="n"/>
      <c r="E236" s="76" t="n"/>
    </row>
    <row r="237" ht="14.25" customHeight="1" s="84">
      <c r="D237" s="76" t="n"/>
      <c r="E237" s="76" t="n"/>
    </row>
    <row r="238" ht="14.25" customHeight="1" s="84">
      <c r="D238" s="76" t="n"/>
      <c r="E238" s="76" t="n"/>
    </row>
    <row r="239" ht="14.25" customHeight="1" s="84">
      <c r="D239" s="76" t="n"/>
      <c r="E239" s="76" t="n"/>
    </row>
    <row r="240" ht="14.25" customHeight="1" s="84">
      <c r="D240" s="76" t="n"/>
      <c r="E240" s="76" t="n"/>
    </row>
    <row r="241" ht="14.25" customHeight="1" s="84">
      <c r="D241" s="76" t="n"/>
      <c r="E241" s="76" t="n"/>
    </row>
    <row r="242" ht="14.25" customHeight="1" s="84">
      <c r="D242" s="76" t="n"/>
      <c r="E242" s="76" t="n"/>
    </row>
    <row r="243" ht="14.25" customHeight="1" s="84">
      <c r="D243" s="76" t="n"/>
      <c r="E243" s="76" t="n"/>
    </row>
    <row r="244" ht="14.25" customHeight="1" s="84">
      <c r="D244" s="76" t="n"/>
      <c r="E244" s="76" t="n"/>
    </row>
    <row r="245" ht="14.25" customHeight="1" s="84">
      <c r="D245" s="76" t="n"/>
      <c r="E245" s="76" t="n"/>
    </row>
    <row r="246" ht="14.25" customHeight="1" s="84">
      <c r="D246" s="76" t="n"/>
      <c r="E246" s="76" t="n"/>
    </row>
    <row r="247" ht="14.25" customHeight="1" s="84">
      <c r="D247" s="76" t="n"/>
      <c r="E247" s="76" t="n"/>
    </row>
    <row r="248" ht="14.25" customHeight="1" s="84">
      <c r="D248" s="76" t="n"/>
      <c r="E248" s="76" t="n"/>
    </row>
    <row r="249" ht="14.25" customHeight="1" s="84">
      <c r="D249" s="76" t="n"/>
      <c r="E249" s="76" t="n"/>
    </row>
    <row r="250" ht="14.25" customHeight="1" s="84">
      <c r="D250" s="76" t="n"/>
      <c r="E250" s="76" t="n"/>
    </row>
    <row r="251" ht="14.25" customHeight="1" s="84">
      <c r="D251" s="76" t="n"/>
      <c r="E251" s="76" t="n"/>
    </row>
    <row r="252" ht="14.25" customHeight="1" s="84">
      <c r="D252" s="76" t="n"/>
      <c r="E252" s="76" t="n"/>
    </row>
    <row r="253" ht="14.25" customHeight="1" s="84">
      <c r="D253" s="76" t="n"/>
      <c r="E253" s="76" t="n"/>
    </row>
    <row r="254" ht="14.25" customHeight="1" s="84">
      <c r="D254" s="76" t="n"/>
      <c r="E254" s="76" t="n"/>
    </row>
    <row r="255" ht="14.25" customHeight="1" s="84">
      <c r="D255" s="76" t="n"/>
      <c r="E255" s="76" t="n"/>
    </row>
    <row r="256" ht="14.25" customHeight="1" s="84">
      <c r="D256" s="76" t="n"/>
      <c r="E256" s="76" t="n"/>
    </row>
    <row r="257" ht="14.25" customHeight="1" s="84">
      <c r="D257" s="76" t="n"/>
      <c r="E257" s="76" t="n"/>
    </row>
    <row r="258" ht="14.25" customHeight="1" s="84">
      <c r="D258" s="76" t="n"/>
      <c r="E258" s="76" t="n"/>
    </row>
    <row r="259" ht="14.25" customHeight="1" s="84">
      <c r="D259" s="76" t="n"/>
      <c r="E259" s="76" t="n"/>
    </row>
    <row r="260" ht="14.25" customHeight="1" s="84">
      <c r="D260" s="76" t="n"/>
      <c r="E260" s="76" t="n"/>
    </row>
    <row r="261" ht="14.25" customHeight="1" s="84">
      <c r="D261" s="76" t="n"/>
      <c r="E261" s="76" t="n"/>
    </row>
    <row r="262" ht="14.25" customHeight="1" s="84">
      <c r="D262" s="76" t="n"/>
      <c r="E262" s="76" t="n"/>
    </row>
    <row r="263" ht="14.25" customHeight="1" s="84">
      <c r="D263" s="76" t="n"/>
      <c r="E263" s="76" t="n"/>
    </row>
    <row r="264" ht="14.25" customHeight="1" s="84">
      <c r="D264" s="76" t="n"/>
      <c r="E264" s="76" t="n"/>
    </row>
    <row r="265" ht="14.25" customHeight="1" s="84">
      <c r="D265" s="76" t="n"/>
      <c r="E265" s="76" t="n"/>
    </row>
    <row r="266" ht="14.25" customHeight="1" s="84">
      <c r="D266" s="76" t="n"/>
      <c r="E266" s="76" t="n"/>
    </row>
    <row r="267" ht="14.25" customHeight="1" s="84">
      <c r="D267" s="76" t="n"/>
      <c r="E267" s="76" t="n"/>
    </row>
    <row r="268" ht="14.25" customHeight="1" s="84">
      <c r="D268" s="76" t="n"/>
      <c r="E268" s="76" t="n"/>
    </row>
    <row r="269" ht="14.25" customHeight="1" s="84">
      <c r="D269" s="76" t="n"/>
      <c r="E269" s="76" t="n"/>
    </row>
    <row r="270" ht="14.25" customHeight="1" s="84">
      <c r="D270" s="76" t="n"/>
      <c r="E270" s="76" t="n"/>
    </row>
    <row r="271" ht="14.25" customHeight="1" s="84">
      <c r="D271" s="76" t="n"/>
      <c r="E271" s="76" t="n"/>
    </row>
    <row r="272" ht="14.25" customHeight="1" s="84">
      <c r="D272" s="76" t="n"/>
      <c r="E272" s="76" t="n"/>
    </row>
    <row r="273" ht="14.25" customHeight="1" s="84">
      <c r="D273" s="76" t="n"/>
      <c r="E273" s="76" t="n"/>
    </row>
    <row r="274" ht="14.25" customHeight="1" s="84">
      <c r="D274" s="76" t="n"/>
      <c r="E274" s="76" t="n"/>
    </row>
    <row r="275" ht="14.25" customHeight="1" s="84">
      <c r="D275" s="76" t="n"/>
      <c r="E275" s="76" t="n"/>
    </row>
    <row r="276" ht="14.25" customHeight="1" s="84">
      <c r="D276" s="76" t="n"/>
      <c r="E276" s="76" t="n"/>
    </row>
    <row r="277" ht="14.25" customHeight="1" s="84">
      <c r="D277" s="76" t="n"/>
      <c r="E277" s="76" t="n"/>
    </row>
    <row r="278" ht="14.25" customHeight="1" s="84">
      <c r="D278" s="76" t="n"/>
      <c r="E278" s="76" t="n"/>
    </row>
    <row r="279" ht="14.25" customHeight="1" s="84">
      <c r="D279" s="76" t="n"/>
      <c r="E279" s="76" t="n"/>
    </row>
    <row r="280" ht="14.25" customHeight="1" s="84">
      <c r="D280" s="76" t="n"/>
      <c r="E280" s="76" t="n"/>
    </row>
    <row r="281" ht="14.25" customHeight="1" s="84">
      <c r="D281" s="76" t="n"/>
      <c r="E281" s="76" t="n"/>
    </row>
    <row r="282" ht="14.25" customHeight="1" s="84">
      <c r="D282" s="76" t="n"/>
      <c r="E282" s="76" t="n"/>
    </row>
    <row r="283" ht="14.25" customHeight="1" s="84">
      <c r="D283" s="76" t="n"/>
      <c r="E283" s="76" t="n"/>
    </row>
    <row r="284" ht="14.25" customHeight="1" s="84">
      <c r="D284" s="76" t="n"/>
      <c r="E284" s="76" t="n"/>
    </row>
    <row r="285" ht="14.25" customHeight="1" s="84">
      <c r="D285" s="76" t="n"/>
      <c r="E285" s="76" t="n"/>
    </row>
    <row r="286" ht="14.25" customHeight="1" s="84">
      <c r="D286" s="76" t="n"/>
      <c r="E286" s="76" t="n"/>
    </row>
    <row r="287" ht="14.25" customHeight="1" s="84">
      <c r="D287" s="76" t="n"/>
      <c r="E287" s="76" t="n"/>
    </row>
    <row r="288" ht="14.25" customHeight="1" s="84">
      <c r="D288" s="76" t="n"/>
      <c r="E288" s="76" t="n"/>
    </row>
    <row r="289" ht="14.25" customHeight="1" s="84">
      <c r="D289" s="76" t="n"/>
      <c r="E289" s="76" t="n"/>
    </row>
    <row r="290" ht="14.25" customHeight="1" s="84">
      <c r="D290" s="76" t="n"/>
      <c r="E290" s="76" t="n"/>
    </row>
    <row r="291" ht="14.25" customHeight="1" s="84">
      <c r="D291" s="76" t="n"/>
      <c r="E291" s="76" t="n"/>
    </row>
    <row r="292" ht="14.25" customHeight="1" s="84">
      <c r="D292" s="76" t="n"/>
      <c r="E292" s="76" t="n"/>
    </row>
    <row r="293" ht="14.25" customHeight="1" s="84">
      <c r="D293" s="76" t="n"/>
      <c r="E293" s="76" t="n"/>
    </row>
    <row r="294" ht="14.25" customHeight="1" s="84">
      <c r="D294" s="76" t="n"/>
      <c r="E294" s="76" t="n"/>
    </row>
    <row r="295" ht="14.25" customHeight="1" s="84">
      <c r="D295" s="76" t="n"/>
      <c r="E295" s="76" t="n"/>
    </row>
    <row r="296" ht="14.25" customHeight="1" s="84">
      <c r="D296" s="76" t="n"/>
      <c r="E296" s="76" t="n"/>
    </row>
    <row r="297" ht="14.25" customHeight="1" s="84">
      <c r="D297" s="76" t="n"/>
      <c r="E297" s="76" t="n"/>
    </row>
    <row r="298" ht="14.25" customHeight="1" s="84">
      <c r="D298" s="76" t="n"/>
      <c r="E298" s="76" t="n"/>
    </row>
    <row r="299" ht="14.25" customHeight="1" s="84">
      <c r="D299" s="76" t="n"/>
      <c r="E299" s="76" t="n"/>
    </row>
    <row r="300" ht="14.25" customHeight="1" s="84">
      <c r="D300" s="76" t="n"/>
      <c r="E300" s="76" t="n"/>
    </row>
    <row r="301" ht="14.25" customHeight="1" s="84">
      <c r="D301" s="76" t="n"/>
      <c r="E301" s="76" t="n"/>
    </row>
    <row r="302" ht="14.25" customHeight="1" s="84">
      <c r="D302" s="76" t="n"/>
      <c r="E302" s="76" t="n"/>
    </row>
    <row r="303" ht="14.25" customHeight="1" s="84">
      <c r="D303" s="76" t="n"/>
      <c r="E303" s="76" t="n"/>
    </row>
    <row r="304" ht="14.25" customHeight="1" s="84">
      <c r="D304" s="76" t="n"/>
      <c r="E304" s="76" t="n"/>
    </row>
    <row r="305" ht="14.25" customHeight="1" s="84">
      <c r="D305" s="76" t="n"/>
      <c r="E305" s="76" t="n"/>
    </row>
    <row r="306" ht="14.25" customHeight="1" s="84">
      <c r="D306" s="76" t="n"/>
      <c r="E306" s="76" t="n"/>
    </row>
    <row r="307" ht="14.25" customHeight="1" s="84">
      <c r="D307" s="76" t="n"/>
      <c r="E307" s="76" t="n"/>
    </row>
    <row r="308" ht="14.25" customHeight="1" s="84">
      <c r="D308" s="76" t="n"/>
      <c r="E308" s="76" t="n"/>
    </row>
    <row r="309" ht="14.25" customHeight="1" s="84">
      <c r="D309" s="76" t="n"/>
      <c r="E309" s="76" t="n"/>
    </row>
    <row r="310" ht="14.25" customHeight="1" s="84">
      <c r="D310" s="76" t="n"/>
      <c r="E310" s="76" t="n"/>
    </row>
    <row r="311" ht="14.25" customHeight="1" s="84">
      <c r="D311" s="76" t="n"/>
      <c r="E311" s="76" t="n"/>
    </row>
    <row r="312" ht="14.25" customHeight="1" s="84">
      <c r="D312" s="76" t="n"/>
      <c r="E312" s="76" t="n"/>
    </row>
    <row r="313" ht="14.25" customHeight="1" s="84">
      <c r="D313" s="76" t="n"/>
      <c r="E313" s="76" t="n"/>
    </row>
    <row r="314" ht="14.25" customHeight="1" s="84">
      <c r="D314" s="76" t="n"/>
      <c r="E314" s="76" t="n"/>
    </row>
    <row r="315" ht="14.25" customHeight="1" s="84">
      <c r="D315" s="76" t="n"/>
      <c r="E315" s="76" t="n"/>
    </row>
    <row r="316" ht="14.25" customHeight="1" s="84">
      <c r="D316" s="76" t="n"/>
      <c r="E316" s="76" t="n"/>
    </row>
    <row r="317" ht="14.25" customHeight="1" s="84">
      <c r="D317" s="76" t="n"/>
      <c r="E317" s="76" t="n"/>
    </row>
    <row r="318" ht="14.25" customHeight="1" s="84">
      <c r="D318" s="76" t="n"/>
      <c r="E318" s="76" t="n"/>
    </row>
    <row r="319" ht="14.25" customHeight="1" s="84">
      <c r="D319" s="76" t="n"/>
      <c r="E319" s="76" t="n"/>
    </row>
    <row r="320" ht="14.25" customHeight="1" s="84">
      <c r="D320" s="76" t="n"/>
      <c r="E320" s="76" t="n"/>
    </row>
    <row r="321" ht="14.25" customHeight="1" s="84">
      <c r="D321" s="76" t="n"/>
      <c r="E321" s="76" t="n"/>
    </row>
    <row r="322" ht="14.25" customHeight="1" s="84">
      <c r="D322" s="76" t="n"/>
      <c r="E322" s="76" t="n"/>
    </row>
    <row r="323" ht="14.25" customHeight="1" s="84">
      <c r="D323" s="76" t="n"/>
      <c r="E323" s="76" t="n"/>
    </row>
    <row r="324" ht="14.25" customHeight="1" s="84">
      <c r="D324" s="76" t="n"/>
      <c r="E324" s="76" t="n"/>
    </row>
    <row r="325" ht="14.25" customHeight="1" s="84">
      <c r="D325" s="76" t="n"/>
      <c r="E325" s="76" t="n"/>
    </row>
    <row r="326" ht="14.25" customHeight="1" s="84">
      <c r="D326" s="76" t="n"/>
      <c r="E326" s="76" t="n"/>
    </row>
    <row r="327" ht="14.25" customHeight="1" s="84">
      <c r="D327" s="76" t="n"/>
      <c r="E327" s="76" t="n"/>
    </row>
    <row r="328" ht="14.25" customHeight="1" s="84">
      <c r="D328" s="76" t="n"/>
      <c r="E328" s="76" t="n"/>
    </row>
    <row r="329" ht="14.25" customHeight="1" s="84">
      <c r="D329" s="76" t="n"/>
      <c r="E329" s="76" t="n"/>
    </row>
    <row r="330" ht="14.25" customHeight="1" s="84">
      <c r="D330" s="76" t="n"/>
      <c r="E330" s="76" t="n"/>
    </row>
    <row r="331" ht="14.25" customHeight="1" s="84">
      <c r="D331" s="76" t="n"/>
      <c r="E331" s="76" t="n"/>
    </row>
    <row r="332" ht="14.25" customHeight="1" s="84">
      <c r="D332" s="76" t="n"/>
      <c r="E332" s="76" t="n"/>
    </row>
    <row r="333" ht="14.25" customHeight="1" s="84">
      <c r="D333" s="76" t="n"/>
      <c r="E333" s="76" t="n"/>
    </row>
    <row r="334" ht="14.25" customHeight="1" s="84">
      <c r="D334" s="76" t="n"/>
      <c r="E334" s="76" t="n"/>
    </row>
    <row r="335" ht="14.25" customHeight="1" s="84">
      <c r="D335" s="76" t="n"/>
      <c r="E335" s="76" t="n"/>
    </row>
    <row r="336" ht="14.25" customHeight="1" s="84">
      <c r="D336" s="76" t="n"/>
      <c r="E336" s="76" t="n"/>
    </row>
    <row r="337" ht="14.25" customHeight="1" s="84">
      <c r="D337" s="76" t="n"/>
      <c r="E337" s="76" t="n"/>
    </row>
    <row r="338" ht="14.25" customHeight="1" s="84">
      <c r="D338" s="76" t="n"/>
      <c r="E338" s="76" t="n"/>
    </row>
    <row r="339" ht="14.25" customHeight="1" s="84">
      <c r="D339" s="76" t="n"/>
      <c r="E339" s="76" t="n"/>
    </row>
    <row r="340" ht="14.25" customHeight="1" s="84">
      <c r="D340" s="76" t="n"/>
      <c r="E340" s="76" t="n"/>
    </row>
    <row r="341" ht="14.25" customHeight="1" s="84">
      <c r="D341" s="76" t="n"/>
      <c r="E341" s="76" t="n"/>
    </row>
    <row r="342" ht="14.25" customHeight="1" s="84">
      <c r="D342" s="76" t="n"/>
      <c r="E342" s="76" t="n"/>
    </row>
    <row r="343" ht="14.25" customHeight="1" s="84">
      <c r="D343" s="76" t="n"/>
      <c r="E343" s="76" t="n"/>
    </row>
    <row r="344" ht="14.25" customHeight="1" s="84">
      <c r="D344" s="76" t="n"/>
      <c r="E344" s="76" t="n"/>
    </row>
    <row r="345" ht="14.25" customHeight="1" s="84">
      <c r="D345" s="76" t="n"/>
      <c r="E345" s="76" t="n"/>
    </row>
    <row r="346" ht="14.25" customHeight="1" s="84">
      <c r="D346" s="76" t="n"/>
      <c r="E346" s="76" t="n"/>
    </row>
    <row r="347" ht="14.25" customHeight="1" s="84">
      <c r="D347" s="76" t="n"/>
      <c r="E347" s="76" t="n"/>
    </row>
    <row r="348" ht="14.25" customHeight="1" s="84">
      <c r="D348" s="76" t="n"/>
      <c r="E348" s="76" t="n"/>
    </row>
    <row r="349" ht="14.25" customHeight="1" s="84">
      <c r="D349" s="76" t="n"/>
      <c r="E349" s="76" t="n"/>
    </row>
    <row r="350" ht="14.25" customHeight="1" s="84">
      <c r="D350" s="76" t="n"/>
      <c r="E350" s="76" t="n"/>
    </row>
    <row r="351" ht="14.25" customHeight="1" s="84">
      <c r="D351" s="76" t="n"/>
      <c r="E351" s="76" t="n"/>
    </row>
    <row r="352" ht="14.25" customHeight="1" s="84">
      <c r="D352" s="76" t="n"/>
      <c r="E352" s="76" t="n"/>
    </row>
    <row r="353" ht="14.25" customHeight="1" s="84">
      <c r="D353" s="76" t="n"/>
      <c r="E353" s="76" t="n"/>
    </row>
    <row r="354" ht="14.25" customHeight="1" s="84">
      <c r="D354" s="76" t="n"/>
      <c r="E354" s="76" t="n"/>
    </row>
    <row r="355" ht="14.25" customHeight="1" s="84">
      <c r="D355" s="76" t="n"/>
      <c r="E355" s="76" t="n"/>
    </row>
    <row r="356" ht="14.25" customHeight="1" s="84">
      <c r="D356" s="76" t="n"/>
      <c r="E356" s="76" t="n"/>
    </row>
    <row r="357" ht="14.25" customHeight="1" s="84">
      <c r="D357" s="76" t="n"/>
      <c r="E357" s="76" t="n"/>
    </row>
    <row r="358" ht="14.25" customHeight="1" s="84">
      <c r="D358" s="76" t="n"/>
      <c r="E358" s="76" t="n"/>
    </row>
    <row r="359" ht="14.25" customHeight="1" s="84">
      <c r="D359" s="76" t="n"/>
      <c r="E359" s="76" t="n"/>
    </row>
    <row r="360" ht="14.25" customHeight="1" s="84">
      <c r="D360" s="76" t="n"/>
      <c r="E360" s="76" t="n"/>
    </row>
    <row r="361" ht="14.25" customHeight="1" s="84">
      <c r="D361" s="76" t="n"/>
      <c r="E361" s="76" t="n"/>
    </row>
    <row r="362" ht="14.25" customHeight="1" s="84">
      <c r="D362" s="76" t="n"/>
      <c r="E362" s="76" t="n"/>
    </row>
    <row r="363" ht="14.25" customHeight="1" s="84">
      <c r="D363" s="76" t="n"/>
      <c r="E363" s="76" t="n"/>
    </row>
    <row r="364" ht="14.25" customHeight="1" s="84">
      <c r="D364" s="76" t="n"/>
      <c r="E364" s="76" t="n"/>
    </row>
    <row r="365" ht="14.25" customHeight="1" s="84">
      <c r="D365" s="76" t="n"/>
      <c r="E365" s="76" t="n"/>
    </row>
    <row r="366" ht="14.25" customHeight="1" s="84">
      <c r="D366" s="76" t="n"/>
      <c r="E366" s="76" t="n"/>
    </row>
    <row r="367" ht="14.25" customHeight="1" s="84">
      <c r="D367" s="76" t="n"/>
      <c r="E367" s="76" t="n"/>
    </row>
    <row r="368" ht="14.25" customHeight="1" s="84">
      <c r="D368" s="76" t="n"/>
      <c r="E368" s="76" t="n"/>
    </row>
    <row r="369" ht="14.25" customHeight="1" s="84">
      <c r="D369" s="76" t="n"/>
      <c r="E369" s="76" t="n"/>
    </row>
    <row r="370" ht="14.25" customHeight="1" s="84">
      <c r="D370" s="76" t="n"/>
      <c r="E370" s="76" t="n"/>
    </row>
    <row r="371" ht="14.25" customHeight="1" s="84">
      <c r="D371" s="76" t="n"/>
      <c r="E371" s="76" t="n"/>
    </row>
    <row r="372" ht="14.25" customHeight="1" s="84">
      <c r="D372" s="76" t="n"/>
      <c r="E372" s="76" t="n"/>
    </row>
    <row r="373" ht="14.25" customHeight="1" s="84">
      <c r="D373" s="76" t="n"/>
      <c r="E373" s="76" t="n"/>
    </row>
    <row r="374" ht="14.25" customHeight="1" s="84">
      <c r="D374" s="76" t="n"/>
      <c r="E374" s="76" t="n"/>
    </row>
    <row r="375" ht="14.25" customHeight="1" s="84">
      <c r="D375" s="76" t="n"/>
      <c r="E375" s="76" t="n"/>
    </row>
    <row r="376" ht="14.25" customHeight="1" s="84">
      <c r="D376" s="76" t="n"/>
      <c r="E376" s="76" t="n"/>
    </row>
    <row r="377" ht="14.25" customHeight="1" s="84">
      <c r="D377" s="76" t="n"/>
      <c r="E377" s="76" t="n"/>
    </row>
    <row r="378" ht="14.25" customHeight="1" s="84">
      <c r="D378" s="76" t="n"/>
      <c r="E378" s="76" t="n"/>
    </row>
    <row r="379" ht="14.25" customHeight="1" s="84">
      <c r="D379" s="76" t="n"/>
      <c r="E379" s="76" t="n"/>
    </row>
    <row r="380" ht="14.25" customHeight="1" s="84">
      <c r="D380" s="76" t="n"/>
      <c r="E380" s="76" t="n"/>
    </row>
    <row r="381" ht="14.25" customHeight="1" s="84">
      <c r="D381" s="76" t="n"/>
      <c r="E381" s="76" t="n"/>
    </row>
    <row r="382" ht="14.25" customHeight="1" s="84">
      <c r="D382" s="76" t="n"/>
      <c r="E382" s="76" t="n"/>
    </row>
    <row r="383" ht="14.25" customHeight="1" s="84">
      <c r="D383" s="76" t="n"/>
      <c r="E383" s="76" t="n"/>
    </row>
    <row r="384" ht="14.25" customHeight="1" s="84">
      <c r="D384" s="76" t="n"/>
      <c r="E384" s="76" t="n"/>
    </row>
    <row r="385" ht="14.25" customHeight="1" s="84">
      <c r="D385" s="76" t="n"/>
      <c r="E385" s="76" t="n"/>
    </row>
    <row r="386" ht="14.25" customHeight="1" s="84">
      <c r="D386" s="76" t="n"/>
      <c r="E386" s="76" t="n"/>
    </row>
    <row r="387" ht="14.25" customHeight="1" s="84">
      <c r="D387" s="76" t="n"/>
      <c r="E387" s="76" t="n"/>
    </row>
    <row r="388" ht="14.25" customHeight="1" s="84">
      <c r="D388" s="76" t="n"/>
      <c r="E388" s="76" t="n"/>
    </row>
    <row r="389" ht="14.25" customHeight="1" s="84">
      <c r="D389" s="76" t="n"/>
      <c r="E389" s="76" t="n"/>
    </row>
    <row r="390" ht="14.25" customHeight="1" s="84">
      <c r="D390" s="76" t="n"/>
      <c r="E390" s="76" t="n"/>
    </row>
    <row r="391" ht="14.25" customHeight="1" s="84">
      <c r="D391" s="76" t="n"/>
      <c r="E391" s="76" t="n"/>
    </row>
    <row r="392" ht="14.25" customHeight="1" s="84">
      <c r="D392" s="76" t="n"/>
      <c r="E392" s="76" t="n"/>
    </row>
    <row r="393" ht="14.25" customHeight="1" s="84">
      <c r="D393" s="76" t="n"/>
      <c r="E393" s="76" t="n"/>
    </row>
    <row r="394" ht="14.25" customHeight="1" s="84">
      <c r="D394" s="76" t="n"/>
      <c r="E394" s="76" t="n"/>
    </row>
    <row r="395" ht="14.25" customHeight="1" s="84">
      <c r="D395" s="76" t="n"/>
      <c r="E395" s="76" t="n"/>
    </row>
    <row r="396" ht="14.25" customHeight="1" s="84">
      <c r="D396" s="76" t="n"/>
      <c r="E396" s="76" t="n"/>
    </row>
    <row r="397" ht="14.25" customHeight="1" s="84">
      <c r="D397" s="76" t="n"/>
      <c r="E397" s="76" t="n"/>
    </row>
    <row r="398" ht="14.25" customHeight="1" s="84">
      <c r="D398" s="76" t="n"/>
      <c r="E398" s="76" t="n"/>
    </row>
    <row r="399" ht="14.25" customHeight="1" s="84">
      <c r="D399" s="76" t="n"/>
      <c r="E399" s="76" t="n"/>
    </row>
    <row r="400" ht="14.25" customHeight="1" s="84">
      <c r="D400" s="76" t="n"/>
      <c r="E400" s="76" t="n"/>
    </row>
    <row r="401" ht="14.25" customHeight="1" s="84">
      <c r="D401" s="76" t="n"/>
      <c r="E401" s="76" t="n"/>
    </row>
    <row r="402" ht="14.25" customHeight="1" s="84">
      <c r="D402" s="76" t="n"/>
      <c r="E402" s="76" t="n"/>
    </row>
    <row r="403" ht="14.25" customHeight="1" s="84">
      <c r="D403" s="76" t="n"/>
      <c r="E403" s="76" t="n"/>
    </row>
    <row r="404" ht="14.25" customHeight="1" s="84">
      <c r="D404" s="76" t="n"/>
      <c r="E404" s="76" t="n"/>
    </row>
    <row r="405" ht="14.25" customHeight="1" s="84">
      <c r="D405" s="76" t="n"/>
      <c r="E405" s="76" t="n"/>
    </row>
    <row r="406" ht="14.25" customHeight="1" s="84">
      <c r="D406" s="76" t="n"/>
      <c r="E406" s="76" t="n"/>
    </row>
    <row r="407" ht="14.25" customHeight="1" s="84">
      <c r="D407" s="76" t="n"/>
      <c r="E407" s="76" t="n"/>
    </row>
    <row r="408" ht="14.25" customHeight="1" s="84">
      <c r="D408" s="76" t="n"/>
      <c r="E408" s="76" t="n"/>
    </row>
    <row r="409" ht="14.25" customHeight="1" s="84">
      <c r="D409" s="76" t="n"/>
      <c r="E409" s="76" t="n"/>
    </row>
    <row r="410" ht="14.25" customHeight="1" s="84">
      <c r="D410" s="76" t="n"/>
      <c r="E410" s="76" t="n"/>
    </row>
    <row r="411" ht="14.25" customHeight="1" s="84">
      <c r="D411" s="76" t="n"/>
      <c r="E411" s="76" t="n"/>
    </row>
    <row r="412" ht="14.25" customHeight="1" s="84">
      <c r="D412" s="76" t="n"/>
      <c r="E412" s="76" t="n"/>
    </row>
    <row r="413" ht="14.25" customHeight="1" s="84">
      <c r="D413" s="76" t="n"/>
      <c r="E413" s="76" t="n"/>
    </row>
    <row r="414" ht="14.25" customHeight="1" s="84">
      <c r="D414" s="76" t="n"/>
      <c r="E414" s="76" t="n"/>
    </row>
    <row r="415" ht="14.25" customHeight="1" s="84">
      <c r="D415" s="76" t="n"/>
      <c r="E415" s="76" t="n"/>
    </row>
    <row r="416" ht="14.25" customHeight="1" s="84">
      <c r="D416" s="76" t="n"/>
      <c r="E416" s="76" t="n"/>
    </row>
    <row r="417" ht="14.25" customHeight="1" s="84">
      <c r="D417" s="76" t="n"/>
      <c r="E417" s="76" t="n"/>
    </row>
    <row r="418" ht="14.25" customHeight="1" s="84">
      <c r="D418" s="76" t="n"/>
      <c r="E418" s="76" t="n"/>
    </row>
    <row r="419" ht="14.25" customHeight="1" s="84">
      <c r="D419" s="76" t="n"/>
      <c r="E419" s="76" t="n"/>
    </row>
    <row r="420" ht="14.25" customHeight="1" s="84">
      <c r="D420" s="76" t="n"/>
      <c r="E420" s="76" t="n"/>
    </row>
    <row r="421" ht="14.25" customHeight="1" s="84">
      <c r="D421" s="76" t="n"/>
      <c r="E421" s="76" t="n"/>
    </row>
    <row r="422" ht="14.25" customHeight="1" s="84">
      <c r="D422" s="76" t="n"/>
      <c r="E422" s="76" t="n"/>
    </row>
    <row r="423" ht="14.25" customHeight="1" s="84">
      <c r="D423" s="76" t="n"/>
      <c r="E423" s="76" t="n"/>
    </row>
    <row r="424" ht="14.25" customHeight="1" s="84">
      <c r="D424" s="76" t="n"/>
      <c r="E424" s="76" t="n"/>
    </row>
    <row r="425" ht="14.25" customHeight="1" s="84">
      <c r="D425" s="76" t="n"/>
      <c r="E425" s="76" t="n"/>
    </row>
    <row r="426" ht="14.25" customHeight="1" s="84">
      <c r="D426" s="76" t="n"/>
      <c r="E426" s="76" t="n"/>
    </row>
    <row r="427" ht="14.25" customHeight="1" s="84">
      <c r="D427" s="76" t="n"/>
      <c r="E427" s="76" t="n"/>
    </row>
    <row r="428" ht="14.25" customHeight="1" s="84">
      <c r="D428" s="76" t="n"/>
      <c r="E428" s="76" t="n"/>
    </row>
    <row r="429" ht="14.25" customHeight="1" s="84">
      <c r="D429" s="76" t="n"/>
      <c r="E429" s="76" t="n"/>
    </row>
    <row r="430" ht="14.25" customHeight="1" s="84">
      <c r="D430" s="76" t="n"/>
      <c r="E430" s="76" t="n"/>
    </row>
    <row r="431" ht="14.25" customHeight="1" s="84">
      <c r="D431" s="76" t="n"/>
      <c r="E431" s="76" t="n"/>
    </row>
    <row r="432" ht="14.25" customHeight="1" s="84">
      <c r="D432" s="76" t="n"/>
      <c r="E432" s="76" t="n"/>
    </row>
    <row r="433" ht="14.25" customHeight="1" s="84">
      <c r="D433" s="76" t="n"/>
      <c r="E433" s="76" t="n"/>
    </row>
    <row r="434" ht="14.25" customHeight="1" s="84">
      <c r="D434" s="76" t="n"/>
      <c r="E434" s="76" t="n"/>
    </row>
    <row r="435" ht="14.25" customHeight="1" s="84">
      <c r="D435" s="76" t="n"/>
      <c r="E435" s="76" t="n"/>
    </row>
    <row r="436" ht="14.25" customHeight="1" s="84">
      <c r="D436" s="76" t="n"/>
      <c r="E436" s="76" t="n"/>
    </row>
    <row r="437" ht="14.25" customHeight="1" s="84">
      <c r="D437" s="76" t="n"/>
      <c r="E437" s="76" t="n"/>
    </row>
    <row r="438" ht="14.25" customHeight="1" s="84">
      <c r="D438" s="76" t="n"/>
      <c r="E438" s="76" t="n"/>
    </row>
    <row r="439" ht="14.25" customHeight="1" s="84">
      <c r="D439" s="76" t="n"/>
      <c r="E439" s="76" t="n"/>
    </row>
    <row r="440" ht="14.25" customHeight="1" s="84">
      <c r="D440" s="76" t="n"/>
      <c r="E440" s="76" t="n"/>
    </row>
    <row r="441" ht="14.25" customHeight="1" s="84">
      <c r="D441" s="76" t="n"/>
      <c r="E441" s="76" t="n"/>
    </row>
    <row r="442" ht="14.25" customHeight="1" s="84">
      <c r="D442" s="76" t="n"/>
      <c r="E442" s="76" t="n"/>
    </row>
    <row r="443" ht="14.25" customHeight="1" s="84">
      <c r="D443" s="76" t="n"/>
      <c r="E443" s="76" t="n"/>
    </row>
    <row r="444" ht="14.25" customHeight="1" s="84">
      <c r="D444" s="76" t="n"/>
      <c r="E444" s="76" t="n"/>
    </row>
    <row r="445" ht="14.25" customHeight="1" s="84">
      <c r="D445" s="76" t="n"/>
      <c r="E445" s="76" t="n"/>
    </row>
    <row r="446" ht="14.25" customHeight="1" s="84">
      <c r="D446" s="76" t="n"/>
      <c r="E446" s="76" t="n"/>
    </row>
    <row r="447" ht="14.25" customHeight="1" s="84">
      <c r="D447" s="76" t="n"/>
      <c r="E447" s="76" t="n"/>
    </row>
    <row r="448" ht="14.25" customHeight="1" s="84">
      <c r="D448" s="76" t="n"/>
      <c r="E448" s="76" t="n"/>
    </row>
    <row r="449" ht="14.25" customHeight="1" s="84">
      <c r="D449" s="76" t="n"/>
      <c r="E449" s="76" t="n"/>
    </row>
    <row r="450" ht="14.25" customHeight="1" s="84">
      <c r="D450" s="76" t="n"/>
      <c r="E450" s="76" t="n"/>
    </row>
    <row r="451" ht="14.25" customHeight="1" s="84">
      <c r="D451" s="76" t="n"/>
      <c r="E451" s="76" t="n"/>
    </row>
    <row r="452" ht="14.25" customHeight="1" s="84">
      <c r="D452" s="76" t="n"/>
      <c r="E452" s="76" t="n"/>
    </row>
    <row r="453" ht="14.25" customHeight="1" s="84">
      <c r="D453" s="76" t="n"/>
      <c r="E453" s="76" t="n"/>
    </row>
    <row r="454" ht="14.25" customHeight="1" s="84">
      <c r="D454" s="76" t="n"/>
      <c r="E454" s="76" t="n"/>
    </row>
    <row r="455" ht="14.25" customHeight="1" s="84">
      <c r="D455" s="76" t="n"/>
      <c r="E455" s="76" t="n"/>
    </row>
    <row r="456" ht="14.25" customHeight="1" s="84">
      <c r="D456" s="76" t="n"/>
      <c r="E456" s="76" t="n"/>
    </row>
    <row r="457" ht="14.25" customHeight="1" s="84">
      <c r="D457" s="76" t="n"/>
      <c r="E457" s="76" t="n"/>
    </row>
    <row r="458" ht="14.25" customHeight="1" s="84">
      <c r="D458" s="76" t="n"/>
      <c r="E458" s="76" t="n"/>
    </row>
    <row r="459" ht="14.25" customHeight="1" s="84">
      <c r="D459" s="76" t="n"/>
      <c r="E459" s="76" t="n"/>
    </row>
    <row r="460" ht="14.25" customHeight="1" s="84">
      <c r="D460" s="76" t="n"/>
      <c r="E460" s="76" t="n"/>
    </row>
    <row r="461" ht="14.25" customHeight="1" s="84">
      <c r="D461" s="76" t="n"/>
      <c r="E461" s="76" t="n"/>
    </row>
    <row r="462" ht="14.25" customHeight="1" s="84">
      <c r="D462" s="76" t="n"/>
      <c r="E462" s="76" t="n"/>
    </row>
    <row r="463" ht="14.25" customHeight="1" s="84">
      <c r="D463" s="76" t="n"/>
      <c r="E463" s="76" t="n"/>
    </row>
    <row r="464" ht="14.25" customHeight="1" s="84">
      <c r="D464" s="76" t="n"/>
      <c r="E464" s="76" t="n"/>
    </row>
    <row r="465" ht="14.25" customHeight="1" s="84">
      <c r="D465" s="76" t="n"/>
      <c r="E465" s="76" t="n"/>
    </row>
    <row r="466" ht="14.25" customHeight="1" s="84">
      <c r="D466" s="76" t="n"/>
      <c r="E466" s="76" t="n"/>
    </row>
    <row r="467" ht="14.25" customHeight="1" s="84">
      <c r="D467" s="76" t="n"/>
      <c r="E467" s="76" t="n"/>
    </row>
    <row r="468" ht="14.25" customHeight="1" s="84">
      <c r="D468" s="76" t="n"/>
      <c r="E468" s="76" t="n"/>
    </row>
    <row r="469" ht="14.25" customHeight="1" s="84">
      <c r="D469" s="76" t="n"/>
      <c r="E469" s="76" t="n"/>
    </row>
    <row r="470" ht="14.25" customHeight="1" s="84">
      <c r="D470" s="76" t="n"/>
      <c r="E470" s="76" t="n"/>
    </row>
    <row r="471" ht="14.25" customHeight="1" s="84">
      <c r="D471" s="76" t="n"/>
      <c r="E471" s="76" t="n"/>
    </row>
    <row r="472" ht="14.25" customHeight="1" s="84">
      <c r="D472" s="76" t="n"/>
      <c r="E472" s="76" t="n"/>
    </row>
    <row r="473" ht="14.25" customHeight="1" s="84">
      <c r="D473" s="76" t="n"/>
      <c r="E473" s="76" t="n"/>
    </row>
    <row r="474" ht="14.25" customHeight="1" s="84">
      <c r="D474" s="76" t="n"/>
      <c r="E474" s="76" t="n"/>
    </row>
    <row r="475" ht="14.25" customHeight="1" s="84">
      <c r="D475" s="76" t="n"/>
      <c r="E475" s="76" t="n"/>
    </row>
    <row r="476" ht="14.25" customHeight="1" s="84">
      <c r="D476" s="76" t="n"/>
      <c r="E476" s="76" t="n"/>
    </row>
    <row r="477" ht="14.25" customHeight="1" s="84">
      <c r="D477" s="76" t="n"/>
      <c r="E477" s="76" t="n"/>
    </row>
    <row r="478" ht="14.25" customHeight="1" s="84">
      <c r="D478" s="76" t="n"/>
      <c r="E478" s="76" t="n"/>
    </row>
    <row r="479" ht="14.25" customHeight="1" s="84">
      <c r="D479" s="76" t="n"/>
      <c r="E479" s="76" t="n"/>
    </row>
    <row r="480" ht="14.25" customHeight="1" s="84">
      <c r="D480" s="76" t="n"/>
      <c r="E480" s="76" t="n"/>
    </row>
    <row r="481" ht="14.25" customHeight="1" s="84">
      <c r="D481" s="76" t="n"/>
      <c r="E481" s="76" t="n"/>
    </row>
    <row r="482" ht="14.25" customHeight="1" s="84">
      <c r="D482" s="76" t="n"/>
      <c r="E482" s="76" t="n"/>
    </row>
    <row r="483" ht="14.25" customHeight="1" s="84">
      <c r="D483" s="76" t="n"/>
      <c r="E483" s="76" t="n"/>
    </row>
    <row r="484" ht="14.25" customHeight="1" s="84">
      <c r="D484" s="76" t="n"/>
      <c r="E484" s="76" t="n"/>
    </row>
    <row r="485" ht="14.25" customHeight="1" s="84">
      <c r="D485" s="76" t="n"/>
      <c r="E485" s="76" t="n"/>
    </row>
    <row r="486" ht="14.25" customHeight="1" s="84">
      <c r="D486" s="76" t="n"/>
      <c r="E486" s="76" t="n"/>
    </row>
    <row r="487" ht="14.25" customHeight="1" s="84">
      <c r="D487" s="76" t="n"/>
      <c r="E487" s="76" t="n"/>
    </row>
    <row r="488" ht="14.25" customHeight="1" s="84">
      <c r="D488" s="76" t="n"/>
      <c r="E488" s="76" t="n"/>
    </row>
    <row r="489" ht="14.25" customHeight="1" s="84">
      <c r="D489" s="76" t="n"/>
      <c r="E489" s="76" t="n"/>
    </row>
    <row r="490" ht="14.25" customHeight="1" s="84">
      <c r="D490" s="76" t="n"/>
      <c r="E490" s="76" t="n"/>
    </row>
    <row r="491" ht="14.25" customHeight="1" s="84">
      <c r="D491" s="76" t="n"/>
      <c r="E491" s="76" t="n"/>
    </row>
    <row r="492" ht="14.25" customHeight="1" s="84">
      <c r="D492" s="76" t="n"/>
      <c r="E492" s="76" t="n"/>
    </row>
    <row r="493" ht="14.25" customHeight="1" s="84">
      <c r="D493" s="76" t="n"/>
      <c r="E493" s="76" t="n"/>
    </row>
    <row r="494" ht="14.25" customHeight="1" s="84">
      <c r="D494" s="76" t="n"/>
      <c r="E494" s="76" t="n"/>
    </row>
    <row r="495" ht="14.25" customHeight="1" s="84">
      <c r="D495" s="76" t="n"/>
      <c r="E495" s="76" t="n"/>
    </row>
    <row r="496" ht="14.25" customHeight="1" s="84">
      <c r="D496" s="76" t="n"/>
      <c r="E496" s="76" t="n"/>
    </row>
    <row r="497" ht="14.25" customHeight="1" s="84">
      <c r="D497" s="76" t="n"/>
      <c r="E497" s="76" t="n"/>
    </row>
    <row r="498" ht="14.25" customHeight="1" s="84">
      <c r="D498" s="76" t="n"/>
      <c r="E498" s="76" t="n"/>
    </row>
    <row r="499" ht="14.25" customHeight="1" s="84">
      <c r="D499" s="76" t="n"/>
      <c r="E499" s="76" t="n"/>
    </row>
    <row r="500" ht="14.25" customHeight="1" s="84">
      <c r="D500" s="76" t="n"/>
      <c r="E500" s="76" t="n"/>
    </row>
    <row r="501" ht="14.25" customHeight="1" s="84">
      <c r="D501" s="76" t="n"/>
      <c r="E501" s="76" t="n"/>
    </row>
    <row r="502" ht="14.25" customHeight="1" s="84">
      <c r="D502" s="76" t="n"/>
      <c r="E502" s="76" t="n"/>
    </row>
    <row r="503" ht="14.25" customHeight="1" s="84">
      <c r="D503" s="76" t="n"/>
      <c r="E503" s="76" t="n"/>
    </row>
    <row r="504" ht="14.25" customHeight="1" s="84">
      <c r="D504" s="76" t="n"/>
      <c r="E504" s="76" t="n"/>
    </row>
    <row r="505" ht="14.25" customHeight="1" s="84">
      <c r="D505" s="76" t="n"/>
      <c r="E505" s="76" t="n"/>
    </row>
    <row r="506" ht="14.25" customHeight="1" s="84">
      <c r="D506" s="76" t="n"/>
      <c r="E506" s="76" t="n"/>
    </row>
    <row r="507" ht="14.25" customHeight="1" s="84">
      <c r="D507" s="76" t="n"/>
      <c r="E507" s="76" t="n"/>
    </row>
    <row r="508" ht="14.25" customHeight="1" s="84">
      <c r="D508" s="76" t="n"/>
      <c r="E508" s="76" t="n"/>
    </row>
    <row r="509" ht="14.25" customHeight="1" s="84">
      <c r="D509" s="76" t="n"/>
      <c r="E509" s="76" t="n"/>
    </row>
    <row r="510" ht="14.25" customHeight="1" s="84">
      <c r="D510" s="76" t="n"/>
      <c r="E510" s="76" t="n"/>
    </row>
    <row r="511" ht="14.25" customHeight="1" s="84">
      <c r="D511" s="76" t="n"/>
      <c r="E511" s="76" t="n"/>
    </row>
    <row r="512" ht="14.25" customHeight="1" s="84">
      <c r="D512" s="76" t="n"/>
      <c r="E512" s="76" t="n"/>
    </row>
    <row r="513" ht="14.25" customHeight="1" s="84">
      <c r="D513" s="76" t="n"/>
      <c r="E513" s="76" t="n"/>
    </row>
    <row r="514" ht="14.25" customHeight="1" s="84">
      <c r="D514" s="76" t="n"/>
      <c r="E514" s="76" t="n"/>
    </row>
    <row r="515" ht="14.25" customHeight="1" s="84">
      <c r="D515" s="76" t="n"/>
      <c r="E515" s="76" t="n"/>
    </row>
    <row r="516" ht="14.25" customHeight="1" s="84">
      <c r="D516" s="76" t="n"/>
      <c r="E516" s="76" t="n"/>
    </row>
    <row r="517" ht="14.25" customHeight="1" s="84">
      <c r="D517" s="76" t="n"/>
      <c r="E517" s="76" t="n"/>
    </row>
    <row r="518" ht="14.25" customHeight="1" s="84">
      <c r="D518" s="76" t="n"/>
      <c r="E518" s="76" t="n"/>
    </row>
    <row r="519" ht="14.25" customHeight="1" s="84">
      <c r="D519" s="76" t="n"/>
      <c r="E519" s="76" t="n"/>
    </row>
    <row r="520" ht="14.25" customHeight="1" s="84">
      <c r="D520" s="76" t="n"/>
      <c r="E520" s="76" t="n"/>
    </row>
    <row r="521" ht="14.25" customHeight="1" s="84">
      <c r="D521" s="76" t="n"/>
      <c r="E521" s="76" t="n"/>
    </row>
    <row r="522" ht="14.25" customHeight="1" s="84">
      <c r="D522" s="76" t="n"/>
      <c r="E522" s="76" t="n"/>
    </row>
    <row r="523" ht="14.25" customHeight="1" s="84">
      <c r="D523" s="76" t="n"/>
      <c r="E523" s="76" t="n"/>
    </row>
    <row r="524" ht="14.25" customHeight="1" s="84">
      <c r="D524" s="76" t="n"/>
      <c r="E524" s="76" t="n"/>
    </row>
    <row r="525" ht="14.25" customHeight="1" s="84">
      <c r="D525" s="76" t="n"/>
      <c r="E525" s="76" t="n"/>
    </row>
    <row r="526" ht="14.25" customHeight="1" s="84">
      <c r="D526" s="76" t="n"/>
      <c r="E526" s="76" t="n"/>
    </row>
    <row r="527" ht="14.25" customHeight="1" s="84">
      <c r="D527" s="76" t="n"/>
      <c r="E527" s="76" t="n"/>
    </row>
    <row r="528" ht="14.25" customHeight="1" s="84">
      <c r="D528" s="76" t="n"/>
      <c r="E528" s="76" t="n"/>
    </row>
    <row r="529" ht="14.25" customHeight="1" s="84">
      <c r="D529" s="76" t="n"/>
      <c r="E529" s="76" t="n"/>
    </row>
    <row r="530" ht="14.25" customHeight="1" s="84">
      <c r="D530" s="76" t="n"/>
      <c r="E530" s="76" t="n"/>
    </row>
    <row r="531" ht="14.25" customHeight="1" s="84">
      <c r="D531" s="76" t="n"/>
      <c r="E531" s="76" t="n"/>
    </row>
    <row r="532" ht="14.25" customHeight="1" s="84">
      <c r="D532" s="76" t="n"/>
      <c r="E532" s="76" t="n"/>
    </row>
    <row r="533" ht="14.25" customHeight="1" s="84">
      <c r="D533" s="76" t="n"/>
      <c r="E533" s="76" t="n"/>
    </row>
    <row r="534" ht="14.25" customHeight="1" s="84">
      <c r="D534" s="76" t="n"/>
      <c r="E534" s="76" t="n"/>
    </row>
    <row r="535" ht="14.25" customHeight="1" s="84">
      <c r="D535" s="76" t="n"/>
      <c r="E535" s="76" t="n"/>
    </row>
    <row r="536" ht="14.25" customHeight="1" s="84">
      <c r="D536" s="76" t="n"/>
      <c r="E536" s="76" t="n"/>
    </row>
    <row r="537" ht="14.25" customHeight="1" s="84">
      <c r="D537" s="76" t="n"/>
      <c r="E537" s="76" t="n"/>
    </row>
    <row r="538" ht="14.25" customHeight="1" s="84">
      <c r="D538" s="76" t="n"/>
      <c r="E538" s="76" t="n"/>
    </row>
    <row r="539" ht="14.25" customHeight="1" s="84">
      <c r="D539" s="76" t="n"/>
      <c r="E539" s="76" t="n"/>
    </row>
    <row r="540" ht="14.25" customHeight="1" s="84">
      <c r="D540" s="76" t="n"/>
      <c r="E540" s="76" t="n"/>
    </row>
    <row r="541" ht="14.25" customHeight="1" s="84">
      <c r="D541" s="76" t="n"/>
      <c r="E541" s="76" t="n"/>
    </row>
    <row r="542" ht="14.25" customHeight="1" s="84">
      <c r="D542" s="76" t="n"/>
      <c r="E542" s="76" t="n"/>
    </row>
    <row r="543" ht="14.25" customHeight="1" s="84">
      <c r="D543" s="76" t="n"/>
      <c r="E543" s="76" t="n"/>
    </row>
    <row r="544" ht="14.25" customHeight="1" s="84">
      <c r="D544" s="76" t="n"/>
      <c r="E544" s="76" t="n"/>
    </row>
    <row r="545" ht="14.25" customHeight="1" s="84">
      <c r="D545" s="76" t="n"/>
      <c r="E545" s="76" t="n"/>
    </row>
    <row r="546" ht="14.25" customHeight="1" s="84">
      <c r="D546" s="76" t="n"/>
      <c r="E546" s="76" t="n"/>
    </row>
    <row r="547" ht="14.25" customHeight="1" s="84">
      <c r="D547" s="76" t="n"/>
      <c r="E547" s="76" t="n"/>
    </row>
    <row r="548" ht="14.25" customHeight="1" s="84">
      <c r="D548" s="76" t="n"/>
      <c r="E548" s="76" t="n"/>
    </row>
    <row r="549" ht="14.25" customHeight="1" s="84">
      <c r="D549" s="76" t="n"/>
      <c r="E549" s="76" t="n"/>
    </row>
    <row r="550" ht="14.25" customHeight="1" s="84">
      <c r="D550" s="76" t="n"/>
      <c r="E550" s="76" t="n"/>
    </row>
    <row r="551" ht="14.25" customHeight="1" s="84">
      <c r="D551" s="76" t="n"/>
      <c r="E551" s="76" t="n"/>
    </row>
    <row r="552" ht="14.25" customHeight="1" s="84">
      <c r="D552" s="76" t="n"/>
      <c r="E552" s="76" t="n"/>
    </row>
    <row r="553" ht="14.25" customHeight="1" s="84">
      <c r="D553" s="76" t="n"/>
      <c r="E553" s="76" t="n"/>
    </row>
    <row r="554" ht="14.25" customHeight="1" s="84">
      <c r="D554" s="76" t="n"/>
      <c r="E554" s="76" t="n"/>
    </row>
    <row r="555" ht="14.25" customHeight="1" s="84">
      <c r="D555" s="76" t="n"/>
      <c r="E555" s="76" t="n"/>
    </row>
    <row r="556" ht="14.25" customHeight="1" s="84">
      <c r="D556" s="76" t="n"/>
      <c r="E556" s="76" t="n"/>
    </row>
    <row r="557" ht="14.25" customHeight="1" s="84">
      <c r="D557" s="76" t="n"/>
      <c r="E557" s="76" t="n"/>
    </row>
    <row r="558" ht="14.25" customHeight="1" s="84">
      <c r="D558" s="76" t="n"/>
      <c r="E558" s="76" t="n"/>
    </row>
    <row r="559" ht="14.25" customHeight="1" s="84">
      <c r="D559" s="76" t="n"/>
      <c r="E559" s="76" t="n"/>
    </row>
    <row r="560" ht="14.25" customHeight="1" s="84">
      <c r="D560" s="76" t="n"/>
      <c r="E560" s="76" t="n"/>
    </row>
    <row r="561" ht="14.25" customHeight="1" s="84">
      <c r="D561" s="76" t="n"/>
      <c r="E561" s="76" t="n"/>
    </row>
    <row r="562" ht="14.25" customHeight="1" s="84">
      <c r="D562" s="76" t="n"/>
      <c r="E562" s="76" t="n"/>
    </row>
    <row r="563" ht="14.25" customHeight="1" s="84">
      <c r="D563" s="76" t="n"/>
      <c r="E563" s="76" t="n"/>
    </row>
    <row r="564" ht="14.25" customHeight="1" s="84">
      <c r="D564" s="76" t="n"/>
      <c r="E564" s="76" t="n"/>
    </row>
    <row r="565" ht="14.25" customHeight="1" s="84">
      <c r="D565" s="76" t="n"/>
      <c r="E565" s="76" t="n"/>
    </row>
    <row r="566" ht="14.25" customHeight="1" s="84">
      <c r="D566" s="76" t="n"/>
      <c r="E566" s="76" t="n"/>
    </row>
    <row r="567" ht="14.25" customHeight="1" s="84">
      <c r="D567" s="76" t="n"/>
      <c r="E567" s="76" t="n"/>
    </row>
    <row r="568" ht="14.25" customHeight="1" s="84">
      <c r="D568" s="76" t="n"/>
      <c r="E568" s="76" t="n"/>
    </row>
    <row r="569" ht="14.25" customHeight="1" s="84">
      <c r="D569" s="76" t="n"/>
      <c r="E569" s="76" t="n"/>
    </row>
    <row r="570" ht="14.25" customHeight="1" s="84">
      <c r="D570" s="76" t="n"/>
      <c r="E570" s="76" t="n"/>
    </row>
    <row r="571" ht="14.25" customHeight="1" s="84">
      <c r="D571" s="76" t="n"/>
      <c r="E571" s="76" t="n"/>
    </row>
    <row r="572" ht="14.25" customHeight="1" s="84">
      <c r="D572" s="76" t="n"/>
      <c r="E572" s="76" t="n"/>
    </row>
    <row r="573" ht="14.25" customHeight="1" s="84">
      <c r="D573" s="76" t="n"/>
      <c r="E573" s="76" t="n"/>
    </row>
    <row r="574" ht="14.25" customHeight="1" s="84">
      <c r="D574" s="76" t="n"/>
      <c r="E574" s="76" t="n"/>
    </row>
    <row r="575" ht="14.25" customHeight="1" s="84">
      <c r="D575" s="76" t="n"/>
      <c r="E575" s="76" t="n"/>
    </row>
    <row r="576" ht="14.25" customHeight="1" s="84">
      <c r="D576" s="76" t="n"/>
      <c r="E576" s="76" t="n"/>
    </row>
    <row r="577" ht="14.25" customHeight="1" s="84">
      <c r="D577" s="76" t="n"/>
      <c r="E577" s="76" t="n"/>
    </row>
    <row r="578" ht="14.25" customHeight="1" s="84">
      <c r="D578" s="76" t="n"/>
      <c r="E578" s="76" t="n"/>
    </row>
    <row r="579" ht="14.25" customHeight="1" s="84">
      <c r="D579" s="76" t="n"/>
      <c r="E579" s="76" t="n"/>
    </row>
    <row r="580" ht="14.25" customHeight="1" s="84">
      <c r="D580" s="76" t="n"/>
      <c r="E580" s="76" t="n"/>
    </row>
    <row r="581" ht="14.25" customHeight="1" s="84">
      <c r="D581" s="76" t="n"/>
      <c r="E581" s="76" t="n"/>
    </row>
    <row r="582" ht="14.25" customHeight="1" s="84">
      <c r="D582" s="76" t="n"/>
      <c r="E582" s="76" t="n"/>
    </row>
    <row r="583" ht="14.25" customHeight="1" s="84">
      <c r="D583" s="76" t="n"/>
      <c r="E583" s="76" t="n"/>
    </row>
    <row r="584" ht="14.25" customHeight="1" s="84">
      <c r="D584" s="76" t="n"/>
      <c r="E584" s="76" t="n"/>
    </row>
    <row r="585" ht="14.25" customHeight="1" s="84">
      <c r="D585" s="76" t="n"/>
      <c r="E585" s="76" t="n"/>
    </row>
    <row r="586" ht="14.25" customHeight="1" s="84">
      <c r="D586" s="76" t="n"/>
      <c r="E586" s="76" t="n"/>
    </row>
    <row r="587" ht="14.25" customHeight="1" s="84">
      <c r="D587" s="76" t="n"/>
      <c r="E587" s="76" t="n"/>
    </row>
    <row r="588" ht="14.25" customHeight="1" s="84">
      <c r="D588" s="76" t="n"/>
      <c r="E588" s="76" t="n"/>
    </row>
    <row r="589" ht="14.25" customHeight="1" s="84">
      <c r="D589" s="76" t="n"/>
      <c r="E589" s="76" t="n"/>
    </row>
    <row r="590" ht="14.25" customHeight="1" s="84">
      <c r="D590" s="76" t="n"/>
      <c r="E590" s="76" t="n"/>
    </row>
    <row r="591" ht="14.25" customHeight="1" s="84">
      <c r="D591" s="76" t="n"/>
      <c r="E591" s="76" t="n"/>
    </row>
    <row r="592" ht="14.25" customHeight="1" s="84">
      <c r="D592" s="76" t="n"/>
      <c r="E592" s="76" t="n"/>
    </row>
    <row r="593" ht="14.25" customHeight="1" s="84">
      <c r="D593" s="76" t="n"/>
      <c r="E593" s="76" t="n"/>
    </row>
    <row r="594" ht="14.25" customHeight="1" s="84">
      <c r="D594" s="76" t="n"/>
      <c r="E594" s="76" t="n"/>
    </row>
    <row r="595" ht="14.25" customHeight="1" s="84">
      <c r="D595" s="76" t="n"/>
      <c r="E595" s="76" t="n"/>
    </row>
    <row r="596" ht="14.25" customHeight="1" s="84">
      <c r="D596" s="76" t="n"/>
      <c r="E596" s="76" t="n"/>
    </row>
    <row r="597" ht="14.25" customHeight="1" s="84">
      <c r="D597" s="76" t="n"/>
      <c r="E597" s="76" t="n"/>
    </row>
    <row r="598" ht="14.25" customHeight="1" s="84">
      <c r="D598" s="76" t="n"/>
      <c r="E598" s="76" t="n"/>
    </row>
    <row r="599" ht="14.25" customHeight="1" s="84">
      <c r="D599" s="76" t="n"/>
      <c r="E599" s="76" t="n"/>
    </row>
    <row r="600" ht="14.25" customHeight="1" s="84">
      <c r="D600" s="76" t="n"/>
      <c r="E600" s="76" t="n"/>
    </row>
    <row r="601" ht="14.25" customHeight="1" s="84">
      <c r="D601" s="76" t="n"/>
      <c r="E601" s="76" t="n"/>
    </row>
    <row r="602" ht="14.25" customHeight="1" s="84">
      <c r="D602" s="76" t="n"/>
      <c r="E602" s="76" t="n"/>
    </row>
    <row r="603" ht="14.25" customHeight="1" s="84">
      <c r="D603" s="76" t="n"/>
      <c r="E603" s="76" t="n"/>
    </row>
    <row r="604" ht="14.25" customHeight="1" s="84">
      <c r="D604" s="76" t="n"/>
      <c r="E604" s="76" t="n"/>
    </row>
    <row r="605" ht="14.25" customHeight="1" s="84">
      <c r="D605" s="76" t="n"/>
      <c r="E605" s="76" t="n"/>
    </row>
    <row r="606" ht="14.25" customHeight="1" s="84">
      <c r="D606" s="76" t="n"/>
      <c r="E606" s="76" t="n"/>
    </row>
    <row r="607" ht="14.25" customHeight="1" s="84">
      <c r="D607" s="76" t="n"/>
      <c r="E607" s="76" t="n"/>
    </row>
    <row r="608" ht="14.25" customHeight="1" s="84">
      <c r="D608" s="76" t="n"/>
      <c r="E608" s="76" t="n"/>
    </row>
    <row r="609" ht="14.25" customHeight="1" s="84">
      <c r="D609" s="76" t="n"/>
      <c r="E609" s="76" t="n"/>
    </row>
    <row r="610" ht="14.25" customHeight="1" s="84">
      <c r="D610" s="76" t="n"/>
      <c r="E610" s="76" t="n"/>
    </row>
    <row r="611" ht="14.25" customHeight="1" s="84">
      <c r="D611" s="76" t="n"/>
      <c r="E611" s="76" t="n"/>
    </row>
    <row r="612" ht="14.25" customHeight="1" s="84">
      <c r="D612" s="76" t="n"/>
      <c r="E612" s="76" t="n"/>
    </row>
    <row r="613" ht="14.25" customHeight="1" s="84">
      <c r="D613" s="76" t="n"/>
      <c r="E613" s="76" t="n"/>
    </row>
    <row r="614" ht="14.25" customHeight="1" s="84">
      <c r="D614" s="76" t="n"/>
      <c r="E614" s="76" t="n"/>
    </row>
    <row r="615" ht="14.25" customHeight="1" s="84">
      <c r="D615" s="76" t="n"/>
      <c r="E615" s="76" t="n"/>
    </row>
    <row r="616" ht="14.25" customHeight="1" s="84">
      <c r="D616" s="76" t="n"/>
      <c r="E616" s="76" t="n"/>
    </row>
    <row r="617" ht="14.25" customHeight="1" s="84">
      <c r="D617" s="76" t="n"/>
      <c r="E617" s="76" t="n"/>
    </row>
    <row r="618" ht="14.25" customHeight="1" s="84">
      <c r="D618" s="76" t="n"/>
      <c r="E618" s="76" t="n"/>
    </row>
    <row r="619" ht="14.25" customHeight="1" s="84">
      <c r="D619" s="76" t="n"/>
      <c r="E619" s="76" t="n"/>
    </row>
    <row r="620" ht="14.25" customHeight="1" s="84">
      <c r="D620" s="76" t="n"/>
      <c r="E620" s="76" t="n"/>
    </row>
    <row r="621" ht="14.25" customHeight="1" s="84">
      <c r="D621" s="76" t="n"/>
      <c r="E621" s="76" t="n"/>
    </row>
    <row r="622" ht="14.25" customHeight="1" s="84">
      <c r="D622" s="76" t="n"/>
      <c r="E622" s="76" t="n"/>
    </row>
    <row r="623" ht="14.25" customHeight="1" s="84">
      <c r="D623" s="76" t="n"/>
      <c r="E623" s="76" t="n"/>
    </row>
    <row r="624" ht="14.25" customHeight="1" s="84">
      <c r="D624" s="76" t="n"/>
      <c r="E624" s="76" t="n"/>
    </row>
    <row r="625" ht="14.25" customHeight="1" s="84">
      <c r="D625" s="76" t="n"/>
      <c r="E625" s="76" t="n"/>
    </row>
    <row r="626" ht="14.25" customHeight="1" s="84">
      <c r="D626" s="76" t="n"/>
      <c r="E626" s="76" t="n"/>
    </row>
    <row r="627" ht="14.25" customHeight="1" s="84">
      <c r="D627" s="76" t="n"/>
      <c r="E627" s="76" t="n"/>
    </row>
    <row r="628" ht="14.25" customHeight="1" s="84">
      <c r="D628" s="76" t="n"/>
      <c r="E628" s="76" t="n"/>
    </row>
    <row r="629" ht="14.25" customHeight="1" s="84">
      <c r="D629" s="76" t="n"/>
      <c r="E629" s="76" t="n"/>
    </row>
    <row r="630" ht="14.25" customHeight="1" s="84">
      <c r="D630" s="76" t="n"/>
      <c r="E630" s="76" t="n"/>
    </row>
    <row r="631" ht="14.25" customHeight="1" s="84">
      <c r="D631" s="76" t="n"/>
      <c r="E631" s="76" t="n"/>
    </row>
    <row r="632" ht="14.25" customHeight="1" s="84">
      <c r="D632" s="76" t="n"/>
      <c r="E632" s="76" t="n"/>
    </row>
    <row r="633" ht="14.25" customHeight="1" s="84">
      <c r="D633" s="76" t="n"/>
      <c r="E633" s="76" t="n"/>
    </row>
    <row r="634" ht="14.25" customHeight="1" s="84">
      <c r="D634" s="76" t="n"/>
      <c r="E634" s="76" t="n"/>
    </row>
    <row r="635" ht="14.25" customHeight="1" s="84">
      <c r="D635" s="76" t="n"/>
      <c r="E635" s="76" t="n"/>
    </row>
    <row r="636" ht="14.25" customHeight="1" s="84">
      <c r="D636" s="76" t="n"/>
      <c r="E636" s="76" t="n"/>
    </row>
    <row r="637" ht="14.25" customHeight="1" s="84">
      <c r="D637" s="76" t="n"/>
      <c r="E637" s="76" t="n"/>
    </row>
    <row r="638" ht="14.25" customHeight="1" s="84">
      <c r="D638" s="76" t="n"/>
      <c r="E638" s="76" t="n"/>
    </row>
    <row r="639" ht="14.25" customHeight="1" s="84">
      <c r="D639" s="76" t="n"/>
      <c r="E639" s="76" t="n"/>
    </row>
    <row r="640" ht="14.25" customHeight="1" s="84">
      <c r="D640" s="76" t="n"/>
      <c r="E640" s="76" t="n"/>
    </row>
    <row r="641" ht="14.25" customHeight="1" s="84">
      <c r="D641" s="76" t="n"/>
      <c r="E641" s="76" t="n"/>
    </row>
    <row r="642" ht="14.25" customHeight="1" s="84">
      <c r="D642" s="76" t="n"/>
      <c r="E642" s="76" t="n"/>
    </row>
    <row r="643" ht="14.25" customHeight="1" s="84">
      <c r="D643" s="76" t="n"/>
      <c r="E643" s="76" t="n"/>
    </row>
    <row r="644" ht="14.25" customHeight="1" s="84">
      <c r="D644" s="76" t="n"/>
      <c r="E644" s="76" t="n"/>
    </row>
    <row r="645" ht="14.25" customHeight="1" s="84">
      <c r="D645" s="76" t="n"/>
      <c r="E645" s="76" t="n"/>
    </row>
    <row r="646" ht="14.25" customHeight="1" s="84">
      <c r="D646" s="76" t="n"/>
      <c r="E646" s="76" t="n"/>
    </row>
    <row r="647" ht="14.25" customHeight="1" s="84">
      <c r="D647" s="76" t="n"/>
      <c r="E647" s="76" t="n"/>
    </row>
    <row r="648" ht="14.25" customHeight="1" s="84">
      <c r="D648" s="76" t="n"/>
      <c r="E648" s="76" t="n"/>
    </row>
    <row r="649" ht="14.25" customHeight="1" s="84">
      <c r="D649" s="76" t="n"/>
      <c r="E649" s="76" t="n"/>
    </row>
    <row r="650" ht="14.25" customHeight="1" s="84">
      <c r="D650" s="76" t="n"/>
      <c r="E650" s="76" t="n"/>
    </row>
    <row r="651" ht="14.25" customHeight="1" s="84">
      <c r="D651" s="76" t="n"/>
      <c r="E651" s="76" t="n"/>
    </row>
    <row r="652" ht="14.25" customHeight="1" s="84">
      <c r="D652" s="76" t="n"/>
      <c r="E652" s="76" t="n"/>
    </row>
    <row r="653" ht="14.25" customHeight="1" s="84">
      <c r="D653" s="76" t="n"/>
      <c r="E653" s="76" t="n"/>
    </row>
    <row r="654" ht="14.25" customHeight="1" s="84">
      <c r="D654" s="76" t="n"/>
      <c r="E654" s="76" t="n"/>
    </row>
    <row r="655" ht="14.25" customHeight="1" s="84">
      <c r="D655" s="76" t="n"/>
      <c r="E655" s="76" t="n"/>
    </row>
    <row r="656" ht="14.25" customHeight="1" s="84">
      <c r="D656" s="76" t="n"/>
      <c r="E656" s="76" t="n"/>
    </row>
    <row r="657" ht="14.25" customHeight="1" s="84">
      <c r="D657" s="76" t="n"/>
      <c r="E657" s="76" t="n"/>
    </row>
    <row r="658" ht="14.25" customHeight="1" s="84">
      <c r="D658" s="76" t="n"/>
      <c r="E658" s="76" t="n"/>
    </row>
    <row r="659" ht="14.25" customHeight="1" s="84">
      <c r="D659" s="76" t="n"/>
      <c r="E659" s="76" t="n"/>
    </row>
    <row r="660" ht="14.25" customHeight="1" s="84">
      <c r="D660" s="76" t="n"/>
      <c r="E660" s="76" t="n"/>
    </row>
    <row r="661" ht="14.25" customHeight="1" s="84">
      <c r="D661" s="76" t="n"/>
      <c r="E661" s="76" t="n"/>
    </row>
    <row r="662" ht="14.25" customHeight="1" s="84">
      <c r="D662" s="76" t="n"/>
      <c r="E662" s="76" t="n"/>
    </row>
    <row r="663" ht="14.25" customHeight="1" s="84">
      <c r="D663" s="76" t="n"/>
      <c r="E663" s="76" t="n"/>
    </row>
    <row r="664" ht="14.25" customHeight="1" s="84">
      <c r="D664" s="76" t="n"/>
      <c r="E664" s="76" t="n"/>
    </row>
    <row r="665" ht="14.25" customHeight="1" s="84">
      <c r="D665" s="76" t="n"/>
      <c r="E665" s="76" t="n"/>
    </row>
    <row r="666" ht="14.25" customHeight="1" s="84">
      <c r="D666" s="76" t="n"/>
      <c r="E666" s="76" t="n"/>
    </row>
    <row r="667" ht="14.25" customHeight="1" s="84">
      <c r="D667" s="76" t="n"/>
      <c r="E667" s="76" t="n"/>
    </row>
    <row r="668" ht="14.25" customHeight="1" s="84">
      <c r="D668" s="76" t="n"/>
      <c r="E668" s="76" t="n"/>
    </row>
    <row r="669" ht="14.25" customHeight="1" s="84">
      <c r="D669" s="76" t="n"/>
      <c r="E669" s="76" t="n"/>
    </row>
    <row r="670" ht="14.25" customHeight="1" s="84">
      <c r="D670" s="76" t="n"/>
      <c r="E670" s="76" t="n"/>
    </row>
    <row r="671" ht="14.25" customHeight="1" s="84">
      <c r="D671" s="76" t="n"/>
      <c r="E671" s="76" t="n"/>
    </row>
    <row r="672" ht="14.25" customHeight="1" s="84">
      <c r="D672" s="76" t="n"/>
      <c r="E672" s="76" t="n"/>
    </row>
    <row r="673" ht="14.25" customHeight="1" s="84">
      <c r="D673" s="76" t="n"/>
      <c r="E673" s="76" t="n"/>
    </row>
    <row r="674" ht="14.25" customHeight="1" s="84">
      <c r="D674" s="76" t="n"/>
      <c r="E674" s="76" t="n"/>
    </row>
    <row r="675" ht="14.25" customHeight="1" s="84">
      <c r="D675" s="76" t="n"/>
      <c r="E675" s="76" t="n"/>
    </row>
    <row r="676" ht="14.25" customHeight="1" s="84">
      <c r="D676" s="76" t="n"/>
      <c r="E676" s="76" t="n"/>
    </row>
    <row r="677" ht="14.25" customHeight="1" s="84">
      <c r="D677" s="76" t="n"/>
      <c r="E677" s="76" t="n"/>
    </row>
    <row r="678" ht="14.25" customHeight="1" s="84">
      <c r="D678" s="76" t="n"/>
      <c r="E678" s="76" t="n"/>
    </row>
    <row r="679" ht="14.25" customHeight="1" s="84">
      <c r="D679" s="76" t="n"/>
      <c r="E679" s="76" t="n"/>
    </row>
    <row r="680" ht="14.25" customHeight="1" s="84">
      <c r="D680" s="76" t="n"/>
      <c r="E680" s="76" t="n"/>
    </row>
    <row r="681" ht="14.25" customHeight="1" s="84">
      <c r="D681" s="76" t="n"/>
      <c r="E681" s="76" t="n"/>
    </row>
    <row r="682" ht="14.25" customHeight="1" s="84">
      <c r="D682" s="76" t="n"/>
      <c r="E682" s="76" t="n"/>
    </row>
    <row r="683" ht="14.25" customHeight="1" s="84">
      <c r="D683" s="76" t="n"/>
      <c r="E683" s="76" t="n"/>
    </row>
    <row r="684" ht="14.25" customHeight="1" s="84">
      <c r="D684" s="76" t="n"/>
      <c r="E684" s="76" t="n"/>
    </row>
    <row r="685" ht="14.25" customHeight="1" s="84">
      <c r="D685" s="76" t="n"/>
      <c r="E685" s="76" t="n"/>
    </row>
    <row r="686" ht="14.25" customHeight="1" s="84">
      <c r="D686" s="76" t="n"/>
      <c r="E686" s="76" t="n"/>
    </row>
    <row r="687" ht="14.25" customHeight="1" s="84">
      <c r="D687" s="76" t="n"/>
      <c r="E687" s="76" t="n"/>
    </row>
    <row r="688" ht="14.25" customHeight="1" s="84">
      <c r="D688" s="76" t="n"/>
      <c r="E688" s="76" t="n"/>
    </row>
    <row r="689" ht="14.25" customHeight="1" s="84">
      <c r="D689" s="76" t="n"/>
      <c r="E689" s="76" t="n"/>
    </row>
    <row r="690" ht="14.25" customHeight="1" s="84">
      <c r="D690" s="76" t="n"/>
      <c r="E690" s="76" t="n"/>
    </row>
    <row r="691" ht="14.25" customHeight="1" s="84">
      <c r="D691" s="76" t="n"/>
      <c r="E691" s="76" t="n"/>
    </row>
    <row r="692" ht="14.25" customHeight="1" s="84">
      <c r="D692" s="76" t="n"/>
      <c r="E692" s="76" t="n"/>
    </row>
    <row r="693" ht="14.25" customHeight="1" s="84">
      <c r="D693" s="76" t="n"/>
      <c r="E693" s="76" t="n"/>
    </row>
    <row r="694" ht="14.25" customHeight="1" s="84">
      <c r="D694" s="76" t="n"/>
      <c r="E694" s="76" t="n"/>
    </row>
    <row r="695" ht="14.25" customHeight="1" s="84">
      <c r="D695" s="76" t="n"/>
      <c r="E695" s="76" t="n"/>
    </row>
    <row r="696" ht="14.25" customHeight="1" s="84">
      <c r="D696" s="76" t="n"/>
      <c r="E696" s="76" t="n"/>
    </row>
    <row r="697" ht="14.25" customHeight="1" s="84">
      <c r="D697" s="76" t="n"/>
      <c r="E697" s="76" t="n"/>
    </row>
    <row r="698" ht="14.25" customHeight="1" s="84">
      <c r="D698" s="76" t="n"/>
      <c r="E698" s="76" t="n"/>
    </row>
    <row r="699" ht="14.25" customHeight="1" s="84">
      <c r="D699" s="76" t="n"/>
      <c r="E699" s="76" t="n"/>
    </row>
    <row r="700" ht="14.25" customHeight="1" s="84">
      <c r="D700" s="76" t="n"/>
      <c r="E700" s="76" t="n"/>
    </row>
    <row r="701" ht="14.25" customHeight="1" s="84">
      <c r="D701" s="76" t="n"/>
      <c r="E701" s="76" t="n"/>
    </row>
    <row r="702" ht="14.25" customHeight="1" s="84">
      <c r="D702" s="76" t="n"/>
      <c r="E702" s="76" t="n"/>
    </row>
    <row r="703" ht="14.25" customHeight="1" s="84">
      <c r="D703" s="76" t="n"/>
      <c r="E703" s="76" t="n"/>
    </row>
    <row r="704" ht="14.25" customHeight="1" s="84">
      <c r="D704" s="76" t="n"/>
      <c r="E704" s="76" t="n"/>
    </row>
    <row r="705" ht="14.25" customHeight="1" s="84">
      <c r="D705" s="76" t="n"/>
      <c r="E705" s="76" t="n"/>
    </row>
    <row r="706" ht="14.25" customHeight="1" s="84">
      <c r="D706" s="76" t="n"/>
      <c r="E706" s="76" t="n"/>
    </row>
    <row r="707" ht="14.25" customHeight="1" s="84">
      <c r="D707" s="76" t="n"/>
      <c r="E707" s="76" t="n"/>
    </row>
    <row r="708" ht="14.25" customHeight="1" s="84">
      <c r="D708" s="76" t="n"/>
      <c r="E708" s="76" t="n"/>
    </row>
    <row r="709" ht="14.25" customHeight="1" s="84">
      <c r="D709" s="76" t="n"/>
      <c r="E709" s="76" t="n"/>
    </row>
    <row r="710" ht="14.25" customHeight="1" s="84">
      <c r="D710" s="76" t="n"/>
      <c r="E710" s="76" t="n"/>
    </row>
    <row r="711" ht="14.25" customHeight="1" s="84">
      <c r="D711" s="76" t="n"/>
      <c r="E711" s="76" t="n"/>
    </row>
    <row r="712" ht="14.25" customHeight="1" s="84">
      <c r="D712" s="76" t="n"/>
      <c r="E712" s="76" t="n"/>
    </row>
    <row r="713" ht="14.25" customHeight="1" s="84">
      <c r="D713" s="76" t="n"/>
      <c r="E713" s="76" t="n"/>
    </row>
    <row r="714" ht="14.25" customHeight="1" s="84">
      <c r="D714" s="76" t="n"/>
      <c r="E714" s="76" t="n"/>
    </row>
    <row r="715" ht="14.25" customHeight="1" s="84">
      <c r="D715" s="76" t="n"/>
      <c r="E715" s="76" t="n"/>
    </row>
    <row r="716" ht="14.25" customHeight="1" s="84">
      <c r="D716" s="76" t="n"/>
      <c r="E716" s="76" t="n"/>
    </row>
    <row r="717" ht="14.25" customHeight="1" s="84">
      <c r="D717" s="76" t="n"/>
      <c r="E717" s="76" t="n"/>
    </row>
    <row r="718" ht="14.25" customHeight="1" s="84">
      <c r="D718" s="76" t="n"/>
      <c r="E718" s="76" t="n"/>
    </row>
    <row r="719" ht="14.25" customHeight="1" s="84">
      <c r="D719" s="76" t="n"/>
      <c r="E719" s="76" t="n"/>
    </row>
    <row r="720" ht="14.25" customHeight="1" s="84">
      <c r="D720" s="76" t="n"/>
      <c r="E720" s="76" t="n"/>
    </row>
    <row r="721" ht="14.25" customHeight="1" s="84">
      <c r="D721" s="76" t="n"/>
      <c r="E721" s="76" t="n"/>
    </row>
    <row r="722" ht="14.25" customHeight="1" s="84">
      <c r="D722" s="76" t="n"/>
      <c r="E722" s="76" t="n"/>
    </row>
    <row r="723" ht="14.25" customHeight="1" s="84">
      <c r="D723" s="76" t="n"/>
      <c r="E723" s="76" t="n"/>
    </row>
    <row r="724" ht="14.25" customHeight="1" s="84">
      <c r="D724" s="76" t="n"/>
      <c r="E724" s="76" t="n"/>
    </row>
    <row r="725" ht="14.25" customHeight="1" s="84">
      <c r="D725" s="76" t="n"/>
      <c r="E725" s="76" t="n"/>
    </row>
    <row r="726" ht="14.25" customHeight="1" s="84">
      <c r="D726" s="76" t="n"/>
      <c r="E726" s="76" t="n"/>
    </row>
    <row r="727" ht="14.25" customHeight="1" s="84">
      <c r="D727" s="76" t="n"/>
      <c r="E727" s="76" t="n"/>
    </row>
    <row r="728" ht="14.25" customHeight="1" s="84">
      <c r="D728" s="76" t="n"/>
      <c r="E728" s="76" t="n"/>
    </row>
    <row r="729" ht="14.25" customHeight="1" s="84">
      <c r="D729" s="76" t="n"/>
      <c r="E729" s="76" t="n"/>
    </row>
    <row r="730" ht="14.25" customHeight="1" s="84">
      <c r="D730" s="76" t="n"/>
      <c r="E730" s="76" t="n"/>
    </row>
    <row r="731" ht="14.25" customHeight="1" s="84">
      <c r="D731" s="76" t="n"/>
      <c r="E731" s="76" t="n"/>
    </row>
    <row r="732" ht="14.25" customHeight="1" s="84">
      <c r="D732" s="76" t="n"/>
      <c r="E732" s="76" t="n"/>
    </row>
    <row r="733" ht="14.25" customHeight="1" s="84">
      <c r="D733" s="76" t="n"/>
      <c r="E733" s="76" t="n"/>
    </row>
    <row r="734" ht="14.25" customHeight="1" s="84">
      <c r="D734" s="76" t="n"/>
      <c r="E734" s="76" t="n"/>
    </row>
    <row r="735" ht="14.25" customHeight="1" s="84">
      <c r="D735" s="76" t="n"/>
      <c r="E735" s="76" t="n"/>
    </row>
    <row r="736" ht="14.25" customHeight="1" s="84">
      <c r="D736" s="76" t="n"/>
      <c r="E736" s="76" t="n"/>
    </row>
    <row r="737" ht="14.25" customHeight="1" s="84">
      <c r="D737" s="76" t="n"/>
      <c r="E737" s="76" t="n"/>
    </row>
    <row r="738" ht="14.25" customHeight="1" s="84">
      <c r="D738" s="76" t="n"/>
      <c r="E738" s="76" t="n"/>
    </row>
    <row r="739" ht="14.25" customHeight="1" s="84">
      <c r="D739" s="76" t="n"/>
      <c r="E739" s="76" t="n"/>
    </row>
    <row r="740" ht="14.25" customHeight="1" s="84">
      <c r="D740" s="76" t="n"/>
      <c r="E740" s="76" t="n"/>
    </row>
    <row r="741" ht="14.25" customHeight="1" s="84">
      <c r="D741" s="76" t="n"/>
      <c r="E741" s="76" t="n"/>
    </row>
    <row r="742" ht="14.25" customHeight="1" s="84">
      <c r="D742" s="76" t="n"/>
      <c r="E742" s="76" t="n"/>
    </row>
    <row r="743" ht="14.25" customHeight="1" s="84">
      <c r="D743" s="76" t="n"/>
      <c r="E743" s="76" t="n"/>
    </row>
    <row r="744" ht="14.25" customHeight="1" s="84">
      <c r="D744" s="76" t="n"/>
      <c r="E744" s="76" t="n"/>
    </row>
    <row r="745" ht="14.25" customHeight="1" s="84">
      <c r="D745" s="76" t="n"/>
      <c r="E745" s="76" t="n"/>
    </row>
    <row r="746" ht="14.25" customHeight="1" s="84">
      <c r="D746" s="76" t="n"/>
      <c r="E746" s="76" t="n"/>
    </row>
    <row r="747" ht="14.25" customHeight="1" s="84">
      <c r="D747" s="76" t="n"/>
      <c r="E747" s="76" t="n"/>
    </row>
    <row r="748" ht="14.25" customHeight="1" s="84">
      <c r="D748" s="76" t="n"/>
      <c r="E748" s="76" t="n"/>
    </row>
    <row r="749" ht="14.25" customHeight="1" s="84">
      <c r="D749" s="76" t="n"/>
      <c r="E749" s="76" t="n"/>
    </row>
    <row r="750" ht="14.25" customHeight="1" s="84">
      <c r="D750" s="76" t="n"/>
      <c r="E750" s="76" t="n"/>
    </row>
    <row r="751" ht="14.25" customHeight="1" s="84">
      <c r="D751" s="76" t="n"/>
      <c r="E751" s="76" t="n"/>
    </row>
    <row r="752" ht="14.25" customHeight="1" s="84">
      <c r="D752" s="76" t="n"/>
      <c r="E752" s="76" t="n"/>
    </row>
    <row r="753" ht="14.25" customHeight="1" s="84">
      <c r="D753" s="76" t="n"/>
      <c r="E753" s="76" t="n"/>
    </row>
    <row r="754" ht="14.25" customHeight="1" s="84">
      <c r="D754" s="76" t="n"/>
      <c r="E754" s="76" t="n"/>
    </row>
    <row r="755" ht="14.25" customHeight="1" s="84">
      <c r="D755" s="76" t="n"/>
      <c r="E755" s="76" t="n"/>
    </row>
    <row r="756" ht="14.25" customHeight="1" s="84">
      <c r="D756" s="76" t="n"/>
      <c r="E756" s="76" t="n"/>
    </row>
    <row r="757" ht="14.25" customHeight="1" s="84">
      <c r="D757" s="76" t="n"/>
      <c r="E757" s="76" t="n"/>
    </row>
    <row r="758" ht="14.25" customHeight="1" s="84">
      <c r="D758" s="76" t="n"/>
      <c r="E758" s="76" t="n"/>
    </row>
    <row r="759" ht="14.25" customHeight="1" s="84">
      <c r="D759" s="76" t="n"/>
      <c r="E759" s="76" t="n"/>
    </row>
    <row r="760" ht="14.25" customHeight="1" s="84">
      <c r="D760" s="76" t="n"/>
      <c r="E760" s="76" t="n"/>
    </row>
    <row r="761" ht="14.25" customHeight="1" s="84">
      <c r="D761" s="76" t="n"/>
      <c r="E761" s="76" t="n"/>
    </row>
    <row r="762" ht="14.25" customHeight="1" s="84">
      <c r="D762" s="76" t="n"/>
      <c r="E762" s="76" t="n"/>
    </row>
    <row r="763" ht="14.25" customHeight="1" s="84">
      <c r="D763" s="76" t="n"/>
      <c r="E763" s="76" t="n"/>
    </row>
    <row r="764" ht="14.25" customHeight="1" s="84">
      <c r="D764" s="76" t="n"/>
      <c r="E764" s="76" t="n"/>
    </row>
    <row r="765" ht="14.25" customHeight="1" s="84">
      <c r="D765" s="76" t="n"/>
      <c r="E765" s="76" t="n"/>
    </row>
    <row r="766" ht="14.25" customHeight="1" s="84">
      <c r="D766" s="76" t="n"/>
      <c r="E766" s="76" t="n"/>
    </row>
    <row r="767" ht="14.25" customHeight="1" s="84">
      <c r="D767" s="76" t="n"/>
      <c r="E767" s="76" t="n"/>
    </row>
    <row r="768" ht="14.25" customHeight="1" s="84">
      <c r="D768" s="76" t="n"/>
      <c r="E768" s="76" t="n"/>
    </row>
    <row r="769" ht="14.25" customHeight="1" s="84">
      <c r="D769" s="76" t="n"/>
      <c r="E769" s="76" t="n"/>
    </row>
    <row r="770" ht="14.25" customHeight="1" s="84">
      <c r="D770" s="76" t="n"/>
      <c r="E770" s="76" t="n"/>
    </row>
    <row r="771" ht="14.25" customHeight="1" s="84">
      <c r="D771" s="76" t="n"/>
      <c r="E771" s="76" t="n"/>
    </row>
    <row r="772" ht="14.25" customHeight="1" s="84">
      <c r="D772" s="76" t="n"/>
      <c r="E772" s="76" t="n"/>
    </row>
    <row r="773" ht="14.25" customHeight="1" s="84">
      <c r="D773" s="76" t="n"/>
      <c r="E773" s="76" t="n"/>
    </row>
    <row r="774" ht="14.25" customHeight="1" s="84">
      <c r="D774" s="76" t="n"/>
      <c r="E774" s="76" t="n"/>
    </row>
    <row r="775" ht="14.25" customHeight="1" s="84">
      <c r="D775" s="76" t="n"/>
      <c r="E775" s="76" t="n"/>
    </row>
    <row r="776" ht="14.25" customHeight="1" s="84">
      <c r="D776" s="76" t="n"/>
      <c r="E776" s="76" t="n"/>
    </row>
    <row r="777" ht="14.25" customHeight="1" s="84">
      <c r="D777" s="76" t="n"/>
      <c r="E777" s="76" t="n"/>
    </row>
    <row r="778" ht="14.25" customHeight="1" s="84">
      <c r="D778" s="76" t="n"/>
      <c r="E778" s="76" t="n"/>
    </row>
    <row r="779" ht="14.25" customHeight="1" s="84">
      <c r="D779" s="76" t="n"/>
      <c r="E779" s="76" t="n"/>
    </row>
    <row r="780" ht="14.25" customHeight="1" s="84">
      <c r="D780" s="76" t="n"/>
      <c r="E780" s="76" t="n"/>
    </row>
    <row r="781" ht="14.25" customHeight="1" s="84">
      <c r="D781" s="76" t="n"/>
      <c r="E781" s="76" t="n"/>
    </row>
    <row r="782" ht="14.25" customHeight="1" s="84">
      <c r="D782" s="76" t="n"/>
      <c r="E782" s="76" t="n"/>
    </row>
    <row r="783" ht="14.25" customHeight="1" s="84">
      <c r="D783" s="76" t="n"/>
      <c r="E783" s="76" t="n"/>
    </row>
    <row r="784" ht="14.25" customHeight="1" s="84">
      <c r="D784" s="76" t="n"/>
      <c r="E784" s="76" t="n"/>
    </row>
    <row r="785" ht="14.25" customHeight="1" s="84">
      <c r="D785" s="76" t="n"/>
      <c r="E785" s="76" t="n"/>
    </row>
    <row r="786" ht="14.25" customHeight="1" s="84">
      <c r="D786" s="76" t="n"/>
      <c r="E786" s="76" t="n"/>
    </row>
    <row r="787" ht="14.25" customHeight="1" s="84">
      <c r="D787" s="76" t="n"/>
      <c r="E787" s="76" t="n"/>
    </row>
    <row r="788" ht="14.25" customHeight="1" s="84">
      <c r="D788" s="76" t="n"/>
      <c r="E788" s="76" t="n"/>
    </row>
    <row r="789" ht="14.25" customHeight="1" s="84">
      <c r="D789" s="76" t="n"/>
      <c r="E789" s="76" t="n"/>
    </row>
    <row r="790" ht="14.25" customHeight="1" s="84">
      <c r="D790" s="76" t="n"/>
      <c r="E790" s="76" t="n"/>
    </row>
    <row r="791" ht="14.25" customHeight="1" s="84">
      <c r="D791" s="76" t="n"/>
      <c r="E791" s="76" t="n"/>
    </row>
    <row r="792" ht="14.25" customHeight="1" s="84">
      <c r="D792" s="76" t="n"/>
      <c r="E792" s="76" t="n"/>
    </row>
    <row r="793" ht="14.25" customHeight="1" s="84">
      <c r="D793" s="76" t="n"/>
      <c r="E793" s="76" t="n"/>
    </row>
    <row r="794" ht="14.25" customHeight="1" s="84">
      <c r="D794" s="76" t="n"/>
      <c r="E794" s="76" t="n"/>
    </row>
    <row r="795" ht="14.25" customHeight="1" s="84">
      <c r="D795" s="76" t="n"/>
      <c r="E795" s="76" t="n"/>
    </row>
    <row r="796" ht="14.25" customHeight="1" s="84">
      <c r="D796" s="76" t="n"/>
      <c r="E796" s="76" t="n"/>
    </row>
    <row r="797" ht="14.25" customHeight="1" s="84">
      <c r="D797" s="76" t="n"/>
      <c r="E797" s="76" t="n"/>
    </row>
    <row r="798" ht="14.25" customHeight="1" s="84">
      <c r="D798" s="76" t="n"/>
      <c r="E798" s="76" t="n"/>
    </row>
    <row r="799" ht="14.25" customHeight="1" s="84">
      <c r="D799" s="76" t="n"/>
      <c r="E799" s="76" t="n"/>
    </row>
    <row r="800" ht="14.25" customHeight="1" s="84">
      <c r="D800" s="76" t="n"/>
      <c r="E800" s="76" t="n"/>
    </row>
    <row r="801" ht="14.25" customHeight="1" s="84">
      <c r="D801" s="76" t="n"/>
      <c r="E801" s="76" t="n"/>
    </row>
    <row r="802" ht="14.25" customHeight="1" s="84">
      <c r="D802" s="76" t="n"/>
      <c r="E802" s="76" t="n"/>
    </row>
    <row r="803" ht="14.25" customHeight="1" s="84">
      <c r="D803" s="76" t="n"/>
      <c r="E803" s="76" t="n"/>
    </row>
    <row r="804" ht="14.25" customHeight="1" s="84">
      <c r="D804" s="76" t="n"/>
      <c r="E804" s="76" t="n"/>
    </row>
    <row r="805" ht="14.25" customHeight="1" s="84">
      <c r="D805" s="76" t="n"/>
      <c r="E805" s="76" t="n"/>
    </row>
    <row r="806" ht="14.25" customHeight="1" s="84">
      <c r="D806" s="76" t="n"/>
      <c r="E806" s="76" t="n"/>
    </row>
    <row r="807" ht="14.25" customHeight="1" s="84">
      <c r="D807" s="76" t="n"/>
      <c r="E807" s="76" t="n"/>
    </row>
    <row r="808" ht="14.25" customHeight="1" s="84">
      <c r="D808" s="76" t="n"/>
      <c r="E808" s="76" t="n"/>
    </row>
    <row r="809" ht="14.25" customHeight="1" s="84">
      <c r="D809" s="76" t="n"/>
      <c r="E809" s="76" t="n"/>
    </row>
    <row r="810" ht="14.25" customHeight="1" s="84">
      <c r="D810" s="76" t="n"/>
      <c r="E810" s="76" t="n"/>
    </row>
    <row r="811" ht="14.25" customHeight="1" s="84">
      <c r="D811" s="76" t="n"/>
      <c r="E811" s="76" t="n"/>
    </row>
    <row r="812" ht="14.25" customHeight="1" s="84">
      <c r="D812" s="76" t="n"/>
      <c r="E812" s="76" t="n"/>
    </row>
    <row r="813" ht="14.25" customHeight="1" s="84">
      <c r="D813" s="76" t="n"/>
      <c r="E813" s="76" t="n"/>
    </row>
    <row r="814" ht="14.25" customHeight="1" s="84">
      <c r="D814" s="76" t="n"/>
      <c r="E814" s="76" t="n"/>
    </row>
    <row r="815" ht="14.25" customHeight="1" s="84">
      <c r="D815" s="76" t="n"/>
      <c r="E815" s="76" t="n"/>
    </row>
    <row r="816" ht="14.25" customHeight="1" s="84">
      <c r="D816" s="76" t="n"/>
      <c r="E816" s="76" t="n"/>
    </row>
    <row r="817" ht="14.25" customHeight="1" s="84">
      <c r="D817" s="76" t="n"/>
      <c r="E817" s="76" t="n"/>
    </row>
    <row r="818" ht="14.25" customHeight="1" s="84">
      <c r="D818" s="76" t="n"/>
      <c r="E818" s="76" t="n"/>
    </row>
    <row r="819" ht="14.25" customHeight="1" s="84">
      <c r="D819" s="76" t="n"/>
      <c r="E819" s="76" t="n"/>
    </row>
    <row r="820" ht="14.25" customHeight="1" s="84">
      <c r="D820" s="76" t="n"/>
      <c r="E820" s="76" t="n"/>
    </row>
    <row r="821" ht="14.25" customHeight="1" s="84">
      <c r="D821" s="76" t="n"/>
      <c r="E821" s="76" t="n"/>
    </row>
    <row r="822" ht="14.25" customHeight="1" s="84">
      <c r="D822" s="76" t="n"/>
      <c r="E822" s="76" t="n"/>
    </row>
    <row r="823" ht="14.25" customHeight="1" s="84">
      <c r="D823" s="76" t="n"/>
      <c r="E823" s="76" t="n"/>
    </row>
    <row r="824" ht="14.25" customHeight="1" s="84">
      <c r="D824" s="76" t="n"/>
      <c r="E824" s="76" t="n"/>
    </row>
    <row r="825" ht="14.25" customHeight="1" s="84">
      <c r="D825" s="76" t="n"/>
      <c r="E825" s="76" t="n"/>
    </row>
    <row r="826" ht="14.25" customHeight="1" s="84">
      <c r="D826" s="76" t="n"/>
      <c r="E826" s="76" t="n"/>
    </row>
    <row r="827" ht="14.25" customHeight="1" s="84">
      <c r="D827" s="76" t="n"/>
      <c r="E827" s="76" t="n"/>
    </row>
    <row r="828" ht="14.25" customHeight="1" s="84">
      <c r="D828" s="76" t="n"/>
      <c r="E828" s="76" t="n"/>
    </row>
    <row r="829" ht="14.25" customHeight="1" s="84">
      <c r="D829" s="76" t="n"/>
      <c r="E829" s="76" t="n"/>
    </row>
    <row r="830" ht="14.25" customHeight="1" s="84">
      <c r="D830" s="76" t="n"/>
      <c r="E830" s="76" t="n"/>
    </row>
    <row r="831" ht="14.25" customHeight="1" s="84">
      <c r="D831" s="76" t="n"/>
      <c r="E831" s="76" t="n"/>
    </row>
    <row r="832" ht="14.25" customHeight="1" s="84">
      <c r="D832" s="76" t="n"/>
      <c r="E832" s="76" t="n"/>
    </row>
    <row r="833" ht="14.25" customHeight="1" s="84">
      <c r="D833" s="76" t="n"/>
      <c r="E833" s="76" t="n"/>
    </row>
    <row r="834" ht="14.25" customHeight="1" s="84">
      <c r="D834" s="76" t="n"/>
      <c r="E834" s="76" t="n"/>
    </row>
    <row r="835" ht="14.25" customHeight="1" s="84">
      <c r="D835" s="76" t="n"/>
      <c r="E835" s="76" t="n"/>
    </row>
    <row r="836" ht="14.25" customHeight="1" s="84">
      <c r="D836" s="76" t="n"/>
      <c r="E836" s="76" t="n"/>
    </row>
    <row r="837" ht="14.25" customHeight="1" s="84">
      <c r="D837" s="76" t="n"/>
      <c r="E837" s="76" t="n"/>
    </row>
    <row r="838" ht="14.25" customHeight="1" s="84">
      <c r="D838" s="76" t="n"/>
      <c r="E838" s="76" t="n"/>
    </row>
    <row r="839" ht="14.25" customHeight="1" s="84">
      <c r="D839" s="76" t="n"/>
      <c r="E839" s="76" t="n"/>
    </row>
    <row r="840" ht="14.25" customHeight="1" s="84">
      <c r="D840" s="76" t="n"/>
      <c r="E840" s="76" t="n"/>
    </row>
    <row r="841" ht="14.25" customHeight="1" s="84">
      <c r="D841" s="76" t="n"/>
      <c r="E841" s="76" t="n"/>
    </row>
    <row r="842" ht="14.25" customHeight="1" s="84">
      <c r="D842" s="76" t="n"/>
      <c r="E842" s="76" t="n"/>
    </row>
    <row r="843" ht="14.25" customHeight="1" s="84">
      <c r="D843" s="76" t="n"/>
      <c r="E843" s="76" t="n"/>
    </row>
    <row r="844" ht="14.25" customHeight="1" s="84">
      <c r="D844" s="76" t="n"/>
      <c r="E844" s="76" t="n"/>
    </row>
    <row r="845" ht="14.25" customHeight="1" s="84">
      <c r="D845" s="76" t="n"/>
      <c r="E845" s="76" t="n"/>
    </row>
    <row r="846" ht="14.25" customHeight="1" s="84">
      <c r="D846" s="76" t="n"/>
      <c r="E846" s="76" t="n"/>
    </row>
    <row r="847" ht="14.25" customHeight="1" s="84">
      <c r="D847" s="76" t="n"/>
      <c r="E847" s="76" t="n"/>
    </row>
    <row r="848" ht="14.25" customHeight="1" s="84">
      <c r="D848" s="76" t="n"/>
      <c r="E848" s="76" t="n"/>
    </row>
    <row r="849" ht="14.25" customHeight="1" s="84">
      <c r="D849" s="76" t="n"/>
      <c r="E849" s="76" t="n"/>
    </row>
    <row r="850" ht="14.25" customHeight="1" s="84">
      <c r="D850" s="76" t="n"/>
      <c r="E850" s="76" t="n"/>
    </row>
    <row r="851" ht="14.25" customHeight="1" s="84">
      <c r="D851" s="76" t="n"/>
      <c r="E851" s="76" t="n"/>
    </row>
    <row r="852" ht="14.25" customHeight="1" s="84">
      <c r="D852" s="76" t="n"/>
      <c r="E852" s="76" t="n"/>
    </row>
    <row r="853" ht="14.25" customHeight="1" s="84">
      <c r="D853" s="76" t="n"/>
      <c r="E853" s="76" t="n"/>
    </row>
    <row r="854" ht="14.25" customHeight="1" s="84">
      <c r="D854" s="76" t="n"/>
      <c r="E854" s="76" t="n"/>
    </row>
    <row r="855" ht="14.25" customHeight="1" s="84">
      <c r="D855" s="76" t="n"/>
      <c r="E855" s="76" t="n"/>
    </row>
    <row r="856" ht="14.25" customHeight="1" s="84">
      <c r="D856" s="76" t="n"/>
      <c r="E856" s="76" t="n"/>
    </row>
    <row r="857" ht="14.25" customHeight="1" s="84">
      <c r="D857" s="76" t="n"/>
      <c r="E857" s="76" t="n"/>
    </row>
    <row r="858" ht="14.25" customHeight="1" s="84">
      <c r="D858" s="76" t="n"/>
      <c r="E858" s="76" t="n"/>
    </row>
    <row r="859" ht="14.25" customHeight="1" s="84">
      <c r="D859" s="76" t="n"/>
      <c r="E859" s="76" t="n"/>
    </row>
    <row r="860" ht="14.25" customHeight="1" s="84">
      <c r="D860" s="76" t="n"/>
      <c r="E860" s="76" t="n"/>
    </row>
    <row r="861" ht="14.25" customHeight="1" s="84">
      <c r="D861" s="76" t="n"/>
      <c r="E861" s="76" t="n"/>
    </row>
    <row r="862" ht="14.25" customHeight="1" s="84">
      <c r="D862" s="76" t="n"/>
      <c r="E862" s="76" t="n"/>
    </row>
    <row r="863" ht="14.25" customHeight="1" s="84">
      <c r="D863" s="76" t="n"/>
      <c r="E863" s="76" t="n"/>
    </row>
    <row r="864" ht="14.25" customHeight="1" s="84">
      <c r="D864" s="76" t="n"/>
      <c r="E864" s="76" t="n"/>
    </row>
    <row r="865" ht="14.25" customHeight="1" s="84">
      <c r="D865" s="76" t="n"/>
      <c r="E865" s="76" t="n"/>
    </row>
    <row r="866" ht="14.25" customHeight="1" s="84">
      <c r="D866" s="76" t="n"/>
      <c r="E866" s="76" t="n"/>
    </row>
    <row r="867" ht="14.25" customHeight="1" s="84">
      <c r="D867" s="76" t="n"/>
      <c r="E867" s="76" t="n"/>
    </row>
    <row r="868" ht="14.25" customHeight="1" s="84">
      <c r="D868" s="76" t="n"/>
      <c r="E868" s="76" t="n"/>
    </row>
    <row r="869" ht="14.25" customHeight="1" s="84">
      <c r="D869" s="76" t="n"/>
      <c r="E869" s="76" t="n"/>
    </row>
    <row r="870" ht="14.25" customHeight="1" s="84">
      <c r="D870" s="76" t="n"/>
      <c r="E870" s="76" t="n"/>
    </row>
    <row r="871" ht="14.25" customHeight="1" s="84">
      <c r="D871" s="76" t="n"/>
      <c r="E871" s="76" t="n"/>
    </row>
    <row r="872" ht="14.25" customHeight="1" s="84">
      <c r="D872" s="76" t="n"/>
      <c r="E872" s="76" t="n"/>
    </row>
    <row r="873" ht="14.25" customHeight="1" s="84">
      <c r="D873" s="76" t="n"/>
      <c r="E873" s="76" t="n"/>
    </row>
    <row r="874" ht="14.25" customHeight="1" s="84">
      <c r="D874" s="76" t="n"/>
      <c r="E874" s="76" t="n"/>
    </row>
    <row r="875" ht="14.25" customHeight="1" s="84">
      <c r="D875" s="76" t="n"/>
      <c r="E875" s="76" t="n"/>
    </row>
    <row r="876" ht="14.25" customHeight="1" s="84">
      <c r="D876" s="76" t="n"/>
      <c r="E876" s="76" t="n"/>
    </row>
    <row r="877" ht="14.25" customHeight="1" s="84">
      <c r="D877" s="76" t="n"/>
      <c r="E877" s="76" t="n"/>
    </row>
    <row r="878" ht="14.25" customHeight="1" s="84">
      <c r="D878" s="76" t="n"/>
      <c r="E878" s="76" t="n"/>
    </row>
    <row r="879" ht="14.25" customHeight="1" s="84">
      <c r="D879" s="76" t="n"/>
      <c r="E879" s="76" t="n"/>
    </row>
    <row r="880" ht="14.25" customHeight="1" s="84">
      <c r="D880" s="76" t="n"/>
      <c r="E880" s="76" t="n"/>
    </row>
    <row r="881" ht="14.25" customHeight="1" s="84">
      <c r="D881" s="76" t="n"/>
      <c r="E881" s="76" t="n"/>
    </row>
    <row r="882" ht="14.25" customHeight="1" s="84">
      <c r="D882" s="76" t="n"/>
      <c r="E882" s="76" t="n"/>
    </row>
    <row r="883" ht="14.25" customHeight="1" s="84">
      <c r="D883" s="76" t="n"/>
      <c r="E883" s="76" t="n"/>
    </row>
    <row r="884" ht="14.25" customHeight="1" s="84">
      <c r="D884" s="76" t="n"/>
      <c r="E884" s="76" t="n"/>
    </row>
    <row r="885" ht="14.25" customHeight="1" s="84">
      <c r="D885" s="76" t="n"/>
      <c r="E885" s="76" t="n"/>
    </row>
    <row r="886" ht="14.25" customHeight="1" s="84">
      <c r="D886" s="76" t="n"/>
      <c r="E886" s="76" t="n"/>
    </row>
    <row r="887" ht="14.25" customHeight="1" s="84">
      <c r="D887" s="76" t="n"/>
      <c r="E887" s="76" t="n"/>
    </row>
    <row r="888" ht="14.25" customHeight="1" s="84">
      <c r="D888" s="76" t="n"/>
      <c r="E888" s="76" t="n"/>
    </row>
    <row r="889" ht="14.25" customHeight="1" s="84">
      <c r="D889" s="76" t="n"/>
      <c r="E889" s="76" t="n"/>
    </row>
    <row r="890" ht="14.25" customHeight="1" s="84">
      <c r="D890" s="76" t="n"/>
      <c r="E890" s="76" t="n"/>
    </row>
    <row r="891" ht="14.25" customHeight="1" s="84">
      <c r="D891" s="76" t="n"/>
      <c r="E891" s="76" t="n"/>
    </row>
    <row r="892" ht="14.25" customHeight="1" s="84">
      <c r="D892" s="76" t="n"/>
      <c r="E892" s="76" t="n"/>
    </row>
    <row r="893" ht="14.25" customHeight="1" s="84">
      <c r="D893" s="76" t="n"/>
      <c r="E893" s="76" t="n"/>
    </row>
    <row r="894" ht="14.25" customHeight="1" s="84">
      <c r="D894" s="76" t="n"/>
      <c r="E894" s="76" t="n"/>
    </row>
    <row r="895" ht="14.25" customHeight="1" s="84">
      <c r="D895" s="76" t="n"/>
      <c r="E895" s="76" t="n"/>
    </row>
    <row r="896" ht="14.25" customHeight="1" s="84">
      <c r="D896" s="76" t="n"/>
      <c r="E896" s="76" t="n"/>
    </row>
    <row r="897" ht="14.25" customHeight="1" s="84">
      <c r="D897" s="76" t="n"/>
      <c r="E897" s="76" t="n"/>
    </row>
    <row r="898" ht="14.25" customHeight="1" s="84">
      <c r="D898" s="76" t="n"/>
      <c r="E898" s="76" t="n"/>
    </row>
    <row r="899" ht="14.25" customHeight="1" s="84">
      <c r="D899" s="76" t="n"/>
      <c r="E899" s="76" t="n"/>
    </row>
    <row r="900" ht="14.25" customHeight="1" s="84">
      <c r="D900" s="76" t="n"/>
      <c r="E900" s="76" t="n"/>
    </row>
    <row r="901" ht="14.25" customHeight="1" s="84">
      <c r="D901" s="76" t="n"/>
      <c r="E901" s="76" t="n"/>
    </row>
    <row r="902" ht="14.25" customHeight="1" s="84">
      <c r="D902" s="76" t="n"/>
      <c r="E902" s="76" t="n"/>
    </row>
    <row r="903" ht="14.25" customHeight="1" s="84">
      <c r="D903" s="76" t="n"/>
      <c r="E903" s="76" t="n"/>
    </row>
    <row r="904" ht="14.25" customHeight="1" s="84">
      <c r="D904" s="76" t="n"/>
      <c r="E904" s="76" t="n"/>
    </row>
    <row r="905" ht="14.25" customHeight="1" s="84">
      <c r="D905" s="76" t="n"/>
      <c r="E905" s="76" t="n"/>
    </row>
    <row r="906" ht="14.25" customHeight="1" s="84">
      <c r="D906" s="76" t="n"/>
      <c r="E906" s="76" t="n"/>
    </row>
    <row r="907" ht="14.25" customHeight="1" s="84">
      <c r="D907" s="76" t="n"/>
      <c r="E907" s="76" t="n"/>
    </row>
    <row r="908" ht="14.25" customHeight="1" s="84">
      <c r="D908" s="76" t="n"/>
      <c r="E908" s="76" t="n"/>
    </row>
    <row r="909" ht="14.25" customHeight="1" s="84">
      <c r="D909" s="76" t="n"/>
      <c r="E909" s="76" t="n"/>
    </row>
    <row r="910" ht="14.25" customHeight="1" s="84">
      <c r="D910" s="76" t="n"/>
      <c r="E910" s="76" t="n"/>
    </row>
    <row r="911" ht="14.25" customHeight="1" s="84">
      <c r="D911" s="76" t="n"/>
      <c r="E911" s="76" t="n"/>
    </row>
    <row r="912" ht="14.25" customHeight="1" s="84">
      <c r="D912" s="76" t="n"/>
      <c r="E912" s="76" t="n"/>
    </row>
    <row r="913" ht="14.25" customHeight="1" s="84">
      <c r="D913" s="76" t="n"/>
      <c r="E913" s="76" t="n"/>
    </row>
    <row r="914" ht="14.25" customHeight="1" s="84">
      <c r="D914" s="76" t="n"/>
      <c r="E914" s="76" t="n"/>
    </row>
    <row r="915" ht="14.25" customHeight="1" s="84">
      <c r="D915" s="76" t="n"/>
      <c r="E915" s="76" t="n"/>
    </row>
    <row r="916" ht="14.25" customHeight="1" s="84">
      <c r="D916" s="76" t="n"/>
      <c r="E916" s="76" t="n"/>
    </row>
    <row r="917" ht="14.25" customHeight="1" s="84">
      <c r="D917" s="76" t="n"/>
      <c r="E917" s="76" t="n"/>
    </row>
    <row r="918" ht="14.25" customHeight="1" s="84">
      <c r="D918" s="76" t="n"/>
      <c r="E918" s="76" t="n"/>
    </row>
    <row r="919" ht="14.25" customHeight="1" s="84">
      <c r="D919" s="76" t="n"/>
      <c r="E919" s="76" t="n"/>
    </row>
    <row r="920" ht="14.25" customHeight="1" s="84">
      <c r="D920" s="76" t="n"/>
      <c r="E920" s="76" t="n"/>
    </row>
    <row r="921" ht="14.25" customHeight="1" s="84">
      <c r="D921" s="76" t="n"/>
      <c r="E921" s="76" t="n"/>
    </row>
    <row r="922" ht="14.25" customHeight="1" s="84">
      <c r="D922" s="76" t="n"/>
      <c r="E922" s="76" t="n"/>
    </row>
    <row r="923" ht="14.25" customHeight="1" s="84">
      <c r="D923" s="76" t="n"/>
      <c r="E923" s="76" t="n"/>
    </row>
    <row r="924" ht="14.25" customHeight="1" s="84">
      <c r="D924" s="76" t="n"/>
      <c r="E924" s="76" t="n"/>
    </row>
    <row r="925" ht="14.25" customHeight="1" s="84">
      <c r="D925" s="76" t="n"/>
      <c r="E925" s="76" t="n"/>
    </row>
    <row r="926" ht="14.25" customHeight="1" s="84">
      <c r="D926" s="76" t="n"/>
      <c r="E926" s="76" t="n"/>
    </row>
    <row r="927" ht="14.25" customHeight="1" s="84">
      <c r="D927" s="76" t="n"/>
      <c r="E927" s="76" t="n"/>
    </row>
    <row r="928" ht="14.25" customHeight="1" s="84">
      <c r="D928" s="76" t="n"/>
      <c r="E928" s="76" t="n"/>
    </row>
    <row r="929" ht="14.25" customHeight="1" s="84">
      <c r="D929" s="76" t="n"/>
      <c r="E929" s="76" t="n"/>
    </row>
    <row r="930" ht="14.25" customHeight="1" s="84">
      <c r="D930" s="76" t="n"/>
      <c r="E930" s="76" t="n"/>
    </row>
    <row r="931" ht="14.25" customHeight="1" s="84">
      <c r="D931" s="76" t="n"/>
      <c r="E931" s="76" t="n"/>
    </row>
    <row r="932" ht="14.25" customHeight="1" s="84">
      <c r="D932" s="76" t="n"/>
      <c r="E932" s="76" t="n"/>
    </row>
    <row r="933" ht="14.25" customHeight="1" s="84">
      <c r="D933" s="76" t="n"/>
      <c r="E933" s="76" t="n"/>
    </row>
    <row r="934" ht="14.25" customHeight="1" s="84">
      <c r="D934" s="76" t="n"/>
      <c r="E934" s="76" t="n"/>
    </row>
    <row r="935" ht="14.25" customHeight="1" s="84">
      <c r="D935" s="76" t="n"/>
      <c r="E935" s="76" t="n"/>
    </row>
    <row r="936" ht="14.25" customHeight="1" s="84">
      <c r="D936" s="76" t="n"/>
      <c r="E936" s="76" t="n"/>
    </row>
    <row r="937" ht="14.25" customHeight="1" s="84">
      <c r="D937" s="76" t="n"/>
      <c r="E937" s="76" t="n"/>
    </row>
    <row r="938" ht="14.25" customHeight="1" s="84">
      <c r="D938" s="76" t="n"/>
      <c r="E938" s="76" t="n"/>
    </row>
    <row r="939" ht="14.25" customHeight="1" s="84">
      <c r="D939" s="76" t="n"/>
      <c r="E939" s="76" t="n"/>
    </row>
    <row r="940" ht="14.25" customHeight="1" s="84">
      <c r="D940" s="76" t="n"/>
      <c r="E940" s="76" t="n"/>
    </row>
    <row r="941" ht="14.25" customHeight="1" s="84">
      <c r="D941" s="76" t="n"/>
      <c r="E941" s="76" t="n"/>
    </row>
    <row r="942" ht="14.25" customHeight="1" s="84">
      <c r="D942" s="76" t="n"/>
      <c r="E942" s="76" t="n"/>
    </row>
    <row r="943" ht="14.25" customHeight="1" s="84">
      <c r="D943" s="76" t="n"/>
      <c r="E943" s="76" t="n"/>
    </row>
    <row r="944" ht="14.25" customHeight="1" s="84">
      <c r="D944" s="76" t="n"/>
      <c r="E944" s="76" t="n"/>
    </row>
    <row r="945" ht="14.25" customHeight="1" s="84">
      <c r="D945" s="76" t="n"/>
      <c r="E945" s="76" t="n"/>
    </row>
    <row r="946" ht="14.25" customHeight="1" s="84">
      <c r="D946" s="76" t="n"/>
      <c r="E946" s="76" t="n"/>
    </row>
    <row r="947" ht="14.25" customHeight="1" s="84">
      <c r="D947" s="76" t="n"/>
      <c r="E947" s="76" t="n"/>
    </row>
    <row r="948" ht="14.25" customHeight="1" s="84">
      <c r="D948" s="76" t="n"/>
      <c r="E948" s="76" t="n"/>
    </row>
    <row r="949" ht="14.25" customHeight="1" s="84">
      <c r="D949" s="76" t="n"/>
      <c r="E949" s="76" t="n"/>
    </row>
    <row r="950" ht="14.25" customHeight="1" s="84">
      <c r="D950" s="76" t="n"/>
      <c r="E950" s="76" t="n"/>
    </row>
    <row r="951" ht="14.25" customHeight="1" s="84">
      <c r="D951" s="76" t="n"/>
      <c r="E951" s="76" t="n"/>
    </row>
    <row r="952" ht="14.25" customHeight="1" s="84">
      <c r="D952" s="76" t="n"/>
      <c r="E952" s="76" t="n"/>
    </row>
    <row r="953" ht="14.25" customHeight="1" s="84">
      <c r="D953" s="76" t="n"/>
      <c r="E953" s="76" t="n"/>
    </row>
    <row r="954" ht="14.25" customHeight="1" s="84">
      <c r="D954" s="76" t="n"/>
      <c r="E954" s="76" t="n"/>
    </row>
    <row r="955" ht="14.25" customHeight="1" s="84">
      <c r="D955" s="76" t="n"/>
      <c r="E955" s="76" t="n"/>
    </row>
    <row r="956" ht="14.25" customHeight="1" s="84">
      <c r="D956" s="76" t="n"/>
      <c r="E956" s="76" t="n"/>
    </row>
    <row r="957" ht="14.25" customHeight="1" s="84">
      <c r="D957" s="76" t="n"/>
      <c r="E957" s="76" t="n"/>
    </row>
    <row r="958" ht="14.25" customHeight="1" s="84">
      <c r="D958" s="76" t="n"/>
      <c r="E958" s="76" t="n"/>
    </row>
    <row r="959" ht="14.25" customHeight="1" s="84">
      <c r="D959" s="76" t="n"/>
      <c r="E959" s="76" t="n"/>
    </row>
    <row r="960" ht="14.25" customHeight="1" s="84">
      <c r="D960" s="76" t="n"/>
      <c r="E960" s="76" t="n"/>
    </row>
    <row r="961" ht="14.25" customHeight="1" s="84">
      <c r="D961" s="76" t="n"/>
      <c r="E961" s="76" t="n"/>
    </row>
    <row r="962" ht="14.25" customHeight="1" s="84">
      <c r="D962" s="76" t="n"/>
      <c r="E962" s="76" t="n"/>
    </row>
    <row r="963" ht="14.25" customHeight="1" s="84">
      <c r="D963" s="76" t="n"/>
      <c r="E963" s="76" t="n"/>
    </row>
    <row r="964" ht="14.25" customHeight="1" s="84">
      <c r="D964" s="76" t="n"/>
      <c r="E964" s="76" t="n"/>
    </row>
    <row r="965" ht="14.25" customHeight="1" s="84">
      <c r="D965" s="76" t="n"/>
      <c r="E965" s="76" t="n"/>
    </row>
    <row r="966" ht="14.25" customHeight="1" s="84">
      <c r="D966" s="76" t="n"/>
      <c r="E966" s="76" t="n"/>
    </row>
    <row r="967" ht="14.25" customHeight="1" s="84">
      <c r="D967" s="76" t="n"/>
      <c r="E967" s="76" t="n"/>
    </row>
    <row r="968" ht="14.25" customHeight="1" s="84">
      <c r="D968" s="76" t="n"/>
      <c r="E968" s="76" t="n"/>
    </row>
    <row r="969" ht="14.25" customHeight="1" s="84">
      <c r="D969" s="76" t="n"/>
      <c r="E969" s="76" t="n"/>
    </row>
    <row r="970" ht="14.25" customHeight="1" s="84">
      <c r="D970" s="76" t="n"/>
      <c r="E970" s="76" t="n"/>
    </row>
    <row r="971" ht="14.25" customHeight="1" s="84">
      <c r="D971" s="76" t="n"/>
      <c r="E971" s="76" t="n"/>
    </row>
    <row r="972" ht="14.25" customHeight="1" s="84">
      <c r="D972" s="76" t="n"/>
      <c r="E972" s="76" t="n"/>
    </row>
    <row r="973" ht="14.25" customHeight="1" s="84">
      <c r="D973" s="76" t="n"/>
      <c r="E973" s="76" t="n"/>
    </row>
    <row r="974" ht="14.25" customHeight="1" s="84">
      <c r="D974" s="76" t="n"/>
      <c r="E974" s="76" t="n"/>
    </row>
    <row r="975" ht="14.25" customHeight="1" s="84">
      <c r="D975" s="76" t="n"/>
      <c r="E975" s="76" t="n"/>
    </row>
    <row r="976" ht="14.25" customHeight="1" s="84">
      <c r="D976" s="76" t="n"/>
      <c r="E976" s="76" t="n"/>
    </row>
    <row r="977" ht="14.25" customHeight="1" s="84">
      <c r="D977" s="76" t="n"/>
      <c r="E977" s="76" t="n"/>
    </row>
    <row r="978" ht="14.25" customHeight="1" s="84">
      <c r="D978" s="76" t="n"/>
      <c r="E978" s="76" t="n"/>
    </row>
    <row r="979" ht="14.25" customHeight="1" s="84">
      <c r="D979" s="76" t="n"/>
      <c r="E979" s="76" t="n"/>
    </row>
    <row r="980" ht="14.25" customHeight="1" s="84">
      <c r="D980" s="76" t="n"/>
      <c r="E980" s="76" t="n"/>
    </row>
    <row r="981" ht="14.25" customHeight="1" s="84">
      <c r="D981" s="76" t="n"/>
      <c r="E981" s="76" t="n"/>
    </row>
    <row r="982" ht="14.25" customHeight="1" s="84">
      <c r="D982" s="76" t="n"/>
      <c r="E982" s="76" t="n"/>
    </row>
    <row r="983" ht="14.25" customHeight="1" s="84">
      <c r="D983" s="76" t="n"/>
      <c r="E983" s="76" t="n"/>
    </row>
    <row r="984" ht="14.25" customHeight="1" s="84">
      <c r="D984" s="76" t="n"/>
      <c r="E984" s="76" t="n"/>
    </row>
    <row r="985" ht="14.25" customHeight="1" s="84">
      <c r="D985" s="76" t="n"/>
      <c r="E985" s="76" t="n"/>
    </row>
    <row r="986" ht="14.25" customHeight="1" s="84">
      <c r="D986" s="76" t="n"/>
      <c r="E986" s="76" t="n"/>
    </row>
    <row r="987" ht="14.25" customHeight="1" s="84">
      <c r="D987" s="76" t="n"/>
      <c r="E987" s="76" t="n"/>
    </row>
    <row r="988" ht="14.25" customHeight="1" s="84">
      <c r="D988" s="76" t="n"/>
      <c r="E988" s="76" t="n"/>
    </row>
    <row r="989" ht="14.25" customHeight="1" s="84">
      <c r="D989" s="76" t="n"/>
      <c r="E989" s="76" t="n"/>
    </row>
    <row r="990" ht="14.25" customHeight="1" s="84">
      <c r="D990" s="76" t="n"/>
      <c r="E990" s="76" t="n"/>
    </row>
    <row r="991" ht="14.25" customHeight="1" s="84">
      <c r="D991" s="76" t="n"/>
      <c r="E991" s="76" t="n"/>
    </row>
    <row r="992" ht="14.25" customHeight="1" s="84">
      <c r="D992" s="76" t="n"/>
      <c r="E992" s="76" t="n"/>
    </row>
    <row r="993" ht="14.25" customHeight="1" s="84">
      <c r="D993" s="76" t="n"/>
      <c r="E993" s="76" t="n"/>
    </row>
    <row r="994" ht="14.25" customHeight="1" s="84">
      <c r="D994" s="76" t="n"/>
      <c r="E994" s="76" t="n"/>
    </row>
    <row r="995" ht="14.25" customHeight="1" s="84">
      <c r="D995" s="76" t="n"/>
      <c r="E995" s="76" t="n"/>
    </row>
    <row r="996" ht="14.25" customHeight="1" s="84">
      <c r="D996" s="76" t="n"/>
      <c r="E996" s="76" t="n"/>
    </row>
    <row r="997" ht="14.25" customHeight="1" s="84">
      <c r="D997" s="76" t="n"/>
      <c r="E997" s="76" t="n"/>
    </row>
    <row r="998" ht="14.25" customHeight="1" s="84">
      <c r="D998" s="76" t="n"/>
      <c r="E998" s="76" t="n"/>
    </row>
    <row r="999" ht="14.25" customHeight="1" s="84">
      <c r="D999" s="76" t="n"/>
      <c r="E999" s="76" t="n"/>
    </row>
    <row r="1000" ht="14.25" customHeight="1" s="84">
      <c r="D1000" s="76" t="n"/>
      <c r="E1000" s="76"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B3" sqref="B3"/>
    </sheetView>
  </sheetViews>
  <sheetFormatPr baseColWidth="8" defaultColWidth="14.43" defaultRowHeight="15" customHeight="1"/>
  <cols>
    <col width="17.29" customWidth="1" style="84" min="1" max="1"/>
    <col width="10" customWidth="1" style="84" min="2" max="2"/>
    <col width="14" customWidth="1" style="84" min="3" max="3"/>
    <col width="8" customWidth="1" style="84" min="4" max="4"/>
    <col width="14" customWidth="1" style="84" min="5" max="5"/>
    <col width="7" customWidth="1" style="84" min="6" max="6"/>
    <col width="8.710000000000001" customWidth="1" style="84" min="7" max="26"/>
  </cols>
  <sheetData>
    <row r="1" ht="14.25" customHeight="1" s="84">
      <c r="A1" s="1" t="inlineStr">
        <is>
          <t>Date</t>
        </is>
      </c>
      <c r="B1" s="1" t="inlineStr">
        <is>
          <t>Category</t>
        </is>
      </c>
      <c r="C1" s="1" t="inlineStr">
        <is>
          <t>Sub Category</t>
        </is>
      </c>
      <c r="D1" s="1" t="inlineStr">
        <is>
          <t>Amount</t>
        </is>
      </c>
      <c r="E1" s="1" t="inlineStr">
        <is>
          <t>Payment Mode</t>
        </is>
      </c>
      <c r="F1" s="1" t="inlineStr">
        <is>
          <t>Notes</t>
        </is>
      </c>
    </row>
    <row r="2" ht="14.25" customHeight="1" s="84">
      <c r="A2" s="66" t="n">
        <v>45992</v>
      </c>
      <c r="B2" s="51" t="inlineStr">
        <is>
          <t>Printing</t>
        </is>
      </c>
      <c r="C2" s="51" t="inlineStr">
        <is>
          <t>Book</t>
        </is>
      </c>
      <c r="D2" s="51" t="n">
        <v>21283</v>
      </c>
      <c r="E2" s="51" t="inlineStr">
        <is>
          <t>Online</t>
        </is>
      </c>
    </row>
    <row r="3" ht="14.25" customHeight="1" s="84">
      <c r="A3" s="66" t="n">
        <v>45992</v>
      </c>
      <c r="B3" s="51" t="inlineStr">
        <is>
          <t>Rent</t>
        </is>
      </c>
      <c r="C3" s="51" t="inlineStr">
        <is>
          <t>jan - Dec 2025</t>
        </is>
      </c>
      <c r="D3" s="51" t="n">
        <v>55200</v>
      </c>
      <c r="E3" s="51" t="inlineStr">
        <is>
          <t>Online</t>
        </is>
      </c>
    </row>
    <row r="4" ht="14.25" customHeight="1" s="84">
      <c r="A4" s="66" t="n">
        <v>45992</v>
      </c>
      <c r="B4" s="51" t="inlineStr">
        <is>
          <t>Marketing</t>
        </is>
      </c>
      <c r="C4" s="51" t="inlineStr">
        <is>
          <t>Flex Boad</t>
        </is>
      </c>
      <c r="D4" s="51" t="n">
        <v>5200</v>
      </c>
      <c r="E4" s="51" t="inlineStr">
        <is>
          <t>Online</t>
        </is>
      </c>
    </row>
    <row r="5" ht="14.25" customHeight="1" s="84">
      <c r="A5" s="66" t="n">
        <v>45992</v>
      </c>
      <c r="B5" s="51" t="inlineStr">
        <is>
          <t>Salary</t>
        </is>
      </c>
      <c r="C5" s="51" t="inlineStr">
        <is>
          <t>Salary</t>
        </is>
      </c>
      <c r="D5" s="51" t="n">
        <v>16000</v>
      </c>
    </row>
    <row r="6" ht="14.25" customHeight="1" s="84">
      <c r="A6" s="66" t="n">
        <v>45992</v>
      </c>
      <c r="B6" s="51" t="inlineStr">
        <is>
          <t>Salary</t>
        </is>
      </c>
      <c r="C6" s="51" t="inlineStr">
        <is>
          <t>Office Boy</t>
        </is>
      </c>
      <c r="D6" s="51" t="n">
        <v>6000</v>
      </c>
    </row>
    <row r="7" ht="14.25" customHeight="1" s="84">
      <c r="A7" s="66" t="n">
        <v>46037</v>
      </c>
      <c r="B7" s="51" t="inlineStr">
        <is>
          <t>Rent</t>
        </is>
      </c>
      <c r="D7" s="51" t="n">
        <v>5000</v>
      </c>
    </row>
    <row r="8" ht="14.25" customHeight="1" s="84">
      <c r="A8" s="66" t="n">
        <v>46037</v>
      </c>
      <c r="B8" s="51" t="inlineStr">
        <is>
          <t>Printing</t>
        </is>
      </c>
      <c r="D8" s="51" t="n">
        <v>1050</v>
      </c>
    </row>
    <row r="9" ht="14.25" customHeight="1" s="84">
      <c r="A9" s="66" t="n">
        <v>46037</v>
      </c>
      <c r="B9" s="51" t="inlineStr">
        <is>
          <t>Salary</t>
        </is>
      </c>
      <c r="C9" s="51" t="inlineStr">
        <is>
          <t>salary</t>
        </is>
      </c>
      <c r="D9" s="51" t="n">
        <v>7000</v>
      </c>
    </row>
    <row r="10" ht="14.25" customHeight="1" s="84">
      <c r="A10" s="66" t="n">
        <v>46037</v>
      </c>
      <c r="B10" s="51" t="inlineStr">
        <is>
          <t>Salary</t>
        </is>
      </c>
      <c r="C10" s="51" t="inlineStr">
        <is>
          <t>Office Boy</t>
        </is>
      </c>
      <c r="D10" s="51" t="n">
        <v>500</v>
      </c>
    </row>
    <row r="11" ht="14.25" customHeight="1" s="84">
      <c r="A11" s="66" t="n">
        <v>46063</v>
      </c>
      <c r="B11" s="51" t="inlineStr">
        <is>
          <t>Printing</t>
        </is>
      </c>
      <c r="D11" s="51" t="n">
        <v>1865</v>
      </c>
    </row>
    <row r="12" ht="14.25" customHeight="1" s="84">
      <c r="A12" s="66" t="n">
        <v>46063</v>
      </c>
      <c r="B12" s="51" t="inlineStr">
        <is>
          <t>Rent</t>
        </is>
      </c>
      <c r="D12" s="51" t="n">
        <v>5000</v>
      </c>
    </row>
    <row r="13" ht="14.25" customHeight="1" s="84">
      <c r="A13" s="66" t="n">
        <v>46063</v>
      </c>
      <c r="B13" s="51" t="inlineStr">
        <is>
          <t>Salary</t>
        </is>
      </c>
      <c r="D13" s="51" t="n">
        <v>500</v>
      </c>
    </row>
    <row r="14" ht="14.25" customHeight="1" s="84">
      <c r="A14" s="66" t="n">
        <v>46063</v>
      </c>
      <c r="B14" s="51" t="inlineStr">
        <is>
          <t>Salary</t>
        </is>
      </c>
      <c r="D14" s="51" t="n">
        <v>7000</v>
      </c>
    </row>
    <row r="15" ht="14.25" customHeight="1" s="84">
      <c r="A15" s="66" t="n">
        <v>46083</v>
      </c>
      <c r="B15" s="51" t="inlineStr">
        <is>
          <t>Printing</t>
        </is>
      </c>
      <c r="D15" s="51" t="n">
        <v>7650</v>
      </c>
    </row>
    <row r="16" ht="14.25" customHeight="1" s="84">
      <c r="A16" s="66" t="n">
        <v>46083</v>
      </c>
      <c r="B16" s="51" t="inlineStr">
        <is>
          <t>Internet</t>
        </is>
      </c>
      <c r="C16" s="51" t="inlineStr">
        <is>
          <t>Website</t>
        </is>
      </c>
      <c r="D16" s="51" t="n">
        <v>3000</v>
      </c>
    </row>
    <row r="17" ht="14.25" customHeight="1" s="84">
      <c r="A17" s="66" t="n">
        <v>46083</v>
      </c>
      <c r="B17" s="51" t="inlineStr">
        <is>
          <t>Salary</t>
        </is>
      </c>
      <c r="D17" s="51" t="n">
        <v>0</v>
      </c>
    </row>
    <row r="18" ht="14.25" customHeight="1" s="84">
      <c r="A18" s="66" t="n">
        <v>46083</v>
      </c>
      <c r="B18" s="51" t="inlineStr">
        <is>
          <t>Events</t>
        </is>
      </c>
      <c r="C18" s="51" t="inlineStr">
        <is>
          <t>Chocolate</t>
        </is>
      </c>
      <c r="D18" s="51" t="n">
        <v>1000</v>
      </c>
    </row>
    <row r="19" ht="14.25" customHeight="1" s="84">
      <c r="A19" s="66" t="n">
        <v>46083</v>
      </c>
      <c r="B19" s="51" t="inlineStr">
        <is>
          <t>Miscellanious</t>
        </is>
      </c>
      <c r="C19" s="51" t="inlineStr">
        <is>
          <t>Petrol</t>
        </is>
      </c>
      <c r="D19" s="51" t="n">
        <v>1000</v>
      </c>
    </row>
    <row r="20" ht="14.25" customHeight="1" s="84">
      <c r="B20" s="51" t="n"/>
    </row>
    <row r="21" ht="14.25" customHeight="1" s="84">
      <c r="B21" s="51" t="n"/>
    </row>
    <row r="22" ht="14.25" customHeight="1" s="84">
      <c r="B22" s="51" t="n"/>
    </row>
    <row r="23" ht="14.25" customHeight="1" s="84">
      <c r="B23" s="51" t="n"/>
    </row>
    <row r="24" ht="14.25" customHeight="1" s="84">
      <c r="B24" s="51" t="n"/>
    </row>
    <row r="25" ht="14.25" customHeight="1" s="84">
      <c r="B25" s="51" t="n"/>
    </row>
    <row r="26" ht="14.25" customHeight="1" s="84">
      <c r="B26" s="51" t="n"/>
    </row>
    <row r="27" ht="14.25" customHeight="1" s="84">
      <c r="B27" s="51" t="n"/>
    </row>
    <row r="28" ht="14.25" customHeight="1" s="84">
      <c r="B28" s="51" t="n"/>
    </row>
    <row r="29" ht="14.25" customHeight="1" s="84">
      <c r="B29" s="51" t="n"/>
    </row>
    <row r="30" ht="14.25" customHeight="1" s="84">
      <c r="B30" s="51" t="n"/>
    </row>
    <row r="31" ht="14.25" customHeight="1" s="84">
      <c r="B31" s="51" t="n"/>
    </row>
    <row r="32" ht="14.25" customHeight="1" s="84">
      <c r="B32" s="51" t="n"/>
    </row>
    <row r="33" ht="14.25" customHeight="1" s="84">
      <c r="B33" s="51" t="n"/>
    </row>
    <row r="34" ht="14.25" customHeight="1" s="84">
      <c r="B34" s="51" t="n"/>
    </row>
    <row r="35" ht="14.25" customHeight="1" s="84">
      <c r="B35" s="51" t="n"/>
    </row>
    <row r="36" ht="14.25" customHeight="1" s="84">
      <c r="B36" s="51" t="n"/>
    </row>
    <row r="37" ht="14.25" customHeight="1" s="84">
      <c r="B37" s="51" t="n"/>
    </row>
    <row r="38" ht="14.25" customHeight="1" s="84">
      <c r="B38" s="51" t="n"/>
    </row>
    <row r="39" ht="14.25" customHeight="1" s="84">
      <c r="B39" s="51" t="n"/>
    </row>
    <row r="40" ht="14.25" customHeight="1" s="84">
      <c r="B40" s="51" t="n"/>
    </row>
    <row r="41" ht="14.25" customHeight="1" s="84">
      <c r="B41" s="51" t="n"/>
    </row>
    <row r="42" ht="14.25" customHeight="1" s="84">
      <c r="B42" s="51" t="n"/>
    </row>
    <row r="43" ht="14.25" customHeight="1" s="84">
      <c r="B43" s="51" t="n"/>
    </row>
    <row r="44" ht="14.25" customHeight="1" s="84">
      <c r="B44" s="51" t="n"/>
    </row>
    <row r="45" ht="14.25" customHeight="1" s="84">
      <c r="B45" s="51" t="n"/>
    </row>
    <row r="46" ht="14.25" customHeight="1" s="84">
      <c r="B46" s="51" t="n"/>
    </row>
    <row r="47" ht="14.25" customHeight="1" s="84">
      <c r="B47" s="51" t="n"/>
    </row>
    <row r="48" ht="14.25" customHeight="1" s="84">
      <c r="B48" s="51" t="n"/>
    </row>
    <row r="49" ht="14.25" customHeight="1" s="84">
      <c r="B49" s="51" t="n"/>
    </row>
    <row r="50" ht="14.25" customHeight="1" s="84">
      <c r="B50" s="51" t="n"/>
    </row>
    <row r="51" ht="14.25" customHeight="1" s="84">
      <c r="B51" s="51" t="n"/>
    </row>
    <row r="52" ht="14.25" customHeight="1" s="84">
      <c r="B52" s="51" t="n"/>
    </row>
    <row r="53" ht="14.25" customHeight="1" s="84">
      <c r="B53" s="51" t="n"/>
    </row>
    <row r="54" ht="14.25" customHeight="1" s="84">
      <c r="B54" s="51" t="n"/>
    </row>
    <row r="55" ht="14.25" customHeight="1" s="84">
      <c r="B55" s="51" t="n"/>
    </row>
    <row r="56" ht="14.25" customHeight="1" s="84">
      <c r="B56" s="51" t="n"/>
    </row>
    <row r="57" ht="14.25" customHeight="1" s="84">
      <c r="B57" s="51" t="n"/>
    </row>
    <row r="58" ht="14.25" customHeight="1" s="84">
      <c r="B58" s="51" t="n"/>
    </row>
    <row r="59" ht="14.25" customHeight="1" s="84">
      <c r="B59" s="51" t="n"/>
    </row>
    <row r="60" ht="14.25" customHeight="1" s="84">
      <c r="B60" s="51" t="n"/>
    </row>
    <row r="61" ht="14.25" customHeight="1" s="84">
      <c r="B61" s="51" t="n"/>
    </row>
    <row r="62" ht="14.25" customHeight="1" s="84">
      <c r="B62" s="51" t="n"/>
    </row>
    <row r="63" ht="14.25" customHeight="1" s="84">
      <c r="B63" s="51" t="n"/>
    </row>
    <row r="64" ht="14.25" customHeight="1" s="84">
      <c r="B64" s="51" t="n"/>
    </row>
    <row r="65" ht="14.25" customHeight="1" s="84">
      <c r="B65" s="51" t="n"/>
    </row>
    <row r="66" ht="14.25" customHeight="1" s="84">
      <c r="B66" s="51" t="n"/>
    </row>
    <row r="67" ht="14.25" customHeight="1" s="84">
      <c r="B67" s="51" t="n"/>
    </row>
    <row r="68" ht="14.25" customHeight="1" s="84">
      <c r="B68" s="51" t="n"/>
    </row>
    <row r="69" ht="14.25" customHeight="1" s="84">
      <c r="B69" s="51" t="n"/>
    </row>
    <row r="70" ht="14.25" customHeight="1" s="84">
      <c r="B70" s="51" t="n"/>
    </row>
    <row r="71" ht="14.25" customHeight="1" s="84">
      <c r="B71" s="51" t="n"/>
    </row>
    <row r="72" ht="14.25" customHeight="1" s="84">
      <c r="B72" s="51" t="n"/>
    </row>
    <row r="73" ht="14.25" customHeight="1" s="84">
      <c r="B73" s="51" t="n"/>
    </row>
    <row r="74" ht="14.25" customHeight="1" s="84">
      <c r="B74" s="51" t="n"/>
    </row>
    <row r="75" ht="14.25" customHeight="1" s="84">
      <c r="B75" s="51" t="n"/>
    </row>
    <row r="76" ht="14.25" customHeight="1" s="84">
      <c r="B76" s="51" t="n"/>
    </row>
    <row r="77" ht="14.25" customHeight="1" s="84">
      <c r="B77" s="51" t="n"/>
    </row>
    <row r="78" ht="14.25" customHeight="1" s="84">
      <c r="B78" s="51" t="n"/>
    </row>
    <row r="79" ht="14.25" customHeight="1" s="84">
      <c r="B79" s="51" t="n"/>
    </row>
    <row r="80" ht="14.25" customHeight="1" s="84">
      <c r="B80" s="51" t="n"/>
    </row>
    <row r="81" ht="14.25" customHeight="1" s="84">
      <c r="B81" s="51" t="n"/>
    </row>
    <row r="82" ht="14.25" customHeight="1" s="84">
      <c r="B82" s="51" t="n"/>
    </row>
    <row r="83" ht="14.25" customHeight="1" s="84">
      <c r="B83" s="51" t="n"/>
    </row>
    <row r="84" ht="14.25" customHeight="1" s="84">
      <c r="B84" s="51" t="n"/>
    </row>
    <row r="85" ht="14.25" customHeight="1" s="84">
      <c r="B85" s="51" t="n"/>
    </row>
    <row r="86" ht="14.25" customHeight="1" s="84">
      <c r="B86" s="51" t="n"/>
    </row>
    <row r="87" ht="14.25" customHeight="1" s="84">
      <c r="B87" s="51" t="n"/>
    </row>
    <row r="88" ht="14.25" customHeight="1" s="84">
      <c r="B88" s="51" t="n"/>
    </row>
    <row r="89" ht="14.25" customHeight="1" s="84">
      <c r="B89" s="51" t="n"/>
    </row>
    <row r="90" ht="14.25" customHeight="1" s="84">
      <c r="B90" s="51" t="n"/>
    </row>
    <row r="91" ht="14.25" customHeight="1" s="84">
      <c r="B91" s="51" t="n"/>
    </row>
    <row r="92" ht="14.25" customHeight="1" s="84">
      <c r="B92" s="51" t="n"/>
    </row>
    <row r="93" ht="14.25" customHeight="1" s="84">
      <c r="B93" s="51" t="n"/>
    </row>
    <row r="94" ht="14.25" customHeight="1" s="84">
      <c r="B94" s="51" t="n"/>
    </row>
    <row r="95" ht="14.25" customHeight="1" s="84">
      <c r="B95" s="51" t="n"/>
    </row>
    <row r="96" ht="14.25" customHeight="1" s="84">
      <c r="B96" s="51" t="n"/>
    </row>
    <row r="97" ht="14.25" customHeight="1" s="84">
      <c r="B97" s="51" t="n"/>
    </row>
    <row r="98" ht="14.25" customHeight="1" s="84">
      <c r="B98" s="51" t="n"/>
    </row>
    <row r="99" ht="14.25" customHeight="1" s="84">
      <c r="B99" s="51" t="n"/>
    </row>
    <row r="100" ht="14.25" customHeight="1" s="84">
      <c r="B100" s="51" t="n"/>
    </row>
    <row r="101" ht="14.25" customHeight="1" s="84">
      <c r="B101" s="51" t="n"/>
    </row>
    <row r="102" ht="14.25" customHeight="1" s="84">
      <c r="B102" s="51" t="n"/>
    </row>
    <row r="103" ht="14.25" customHeight="1" s="84">
      <c r="B103" s="51" t="n"/>
    </row>
    <row r="104" ht="14.25" customHeight="1" s="84">
      <c r="B104" s="51" t="n"/>
    </row>
    <row r="105" ht="14.25" customHeight="1" s="84">
      <c r="B105" s="51" t="n"/>
    </row>
    <row r="106" ht="14.25" customHeight="1" s="84">
      <c r="B106" s="51" t="n"/>
    </row>
    <row r="107" ht="14.25" customHeight="1" s="84">
      <c r="B107" s="51" t="n"/>
    </row>
    <row r="108" ht="14.25" customHeight="1" s="84">
      <c r="B108" s="51" t="n"/>
    </row>
    <row r="109" ht="14.25" customHeight="1" s="84">
      <c r="B109" s="51" t="n"/>
    </row>
    <row r="110" ht="14.25" customHeight="1" s="84">
      <c r="B110" s="51" t="n"/>
    </row>
    <row r="111" ht="14.25" customHeight="1" s="84">
      <c r="B111" s="51" t="n"/>
    </row>
    <row r="112" ht="14.25" customHeight="1" s="84">
      <c r="B112" s="51" t="n"/>
    </row>
    <row r="113" ht="14.25" customHeight="1" s="84">
      <c r="B113" s="51" t="n"/>
    </row>
    <row r="114" ht="14.25" customHeight="1" s="84">
      <c r="B114" s="51" t="n"/>
    </row>
    <row r="115" ht="14.25" customHeight="1" s="84">
      <c r="B115" s="51" t="n"/>
    </row>
    <row r="116" ht="14.25" customHeight="1" s="84">
      <c r="B116" s="51" t="n"/>
    </row>
    <row r="117" ht="14.25" customHeight="1" s="84">
      <c r="B117" s="51" t="n"/>
    </row>
    <row r="118" ht="14.25" customHeight="1" s="84">
      <c r="B118" s="51" t="n"/>
    </row>
    <row r="119" ht="14.25" customHeight="1" s="84">
      <c r="B119" s="51" t="n"/>
    </row>
    <row r="120" ht="14.25" customHeight="1" s="84">
      <c r="B120" s="51" t="n"/>
    </row>
    <row r="121" ht="14.25" customHeight="1" s="84">
      <c r="B121" s="51" t="n"/>
    </row>
    <row r="122" ht="14.25" customHeight="1" s="84">
      <c r="B122" s="51" t="n"/>
    </row>
    <row r="123" ht="14.25" customHeight="1" s="84">
      <c r="B123" s="51" t="n"/>
    </row>
    <row r="124" ht="14.25" customHeight="1" s="84">
      <c r="B124" s="51" t="n"/>
    </row>
    <row r="125" ht="14.25" customHeight="1" s="84">
      <c r="B125" s="51" t="n"/>
    </row>
    <row r="126" ht="14.25" customHeight="1" s="84">
      <c r="B126" s="51" t="n"/>
    </row>
    <row r="127" ht="14.25" customHeight="1" s="84">
      <c r="B127" s="51" t="n"/>
    </row>
    <row r="128" ht="14.25" customHeight="1" s="84">
      <c r="B128" s="51" t="n"/>
    </row>
    <row r="129" ht="14.25" customHeight="1" s="84">
      <c r="B129" s="51" t="n"/>
    </row>
    <row r="130" ht="14.25" customHeight="1" s="84">
      <c r="B130" s="51" t="n"/>
    </row>
    <row r="131" ht="14.25" customHeight="1" s="84">
      <c r="B131" s="51" t="n"/>
    </row>
    <row r="132" ht="14.25" customHeight="1" s="84">
      <c r="B132" s="51" t="n"/>
    </row>
    <row r="133" ht="14.25" customHeight="1" s="84">
      <c r="B133" s="51" t="n"/>
    </row>
    <row r="134" ht="14.25" customHeight="1" s="84">
      <c r="B134" s="51" t="n"/>
    </row>
    <row r="135" ht="14.25" customHeight="1" s="84">
      <c r="B135" s="51" t="n"/>
    </row>
    <row r="136" ht="14.25" customHeight="1" s="84">
      <c r="B136" s="51" t="n"/>
    </row>
    <row r="137" ht="14.25" customHeight="1" s="84">
      <c r="B137" s="51" t="n"/>
    </row>
    <row r="138" ht="14.25" customHeight="1" s="84">
      <c r="B138" s="51" t="n"/>
    </row>
    <row r="139" ht="14.25" customHeight="1" s="84">
      <c r="B139" s="51" t="n"/>
    </row>
    <row r="140" ht="14.25" customHeight="1" s="84">
      <c r="B140" s="51" t="n"/>
    </row>
    <row r="141" ht="14.25" customHeight="1" s="84">
      <c r="B141" s="51" t="n"/>
    </row>
    <row r="142" ht="14.25" customHeight="1" s="84">
      <c r="B142" s="51" t="n"/>
    </row>
    <row r="143" ht="14.25" customHeight="1" s="84">
      <c r="B143" s="51" t="n"/>
    </row>
    <row r="144" ht="14.25" customHeight="1" s="84">
      <c r="B144" s="51" t="n"/>
    </row>
    <row r="145" ht="14.25" customHeight="1" s="84">
      <c r="B145" s="51" t="n"/>
    </row>
    <row r="146" ht="14.25" customHeight="1" s="84">
      <c r="B146" s="51" t="n"/>
    </row>
    <row r="147" ht="14.25" customHeight="1" s="84">
      <c r="B147" s="51" t="n"/>
    </row>
    <row r="148" ht="14.25" customHeight="1" s="84">
      <c r="B148" s="51" t="n"/>
    </row>
    <row r="149" ht="14.25" customHeight="1" s="84">
      <c r="B149" s="51" t="n"/>
    </row>
    <row r="150" ht="14.25" customHeight="1" s="84">
      <c r="B150" s="51" t="n"/>
    </row>
    <row r="151" ht="14.25" customHeight="1" s="84">
      <c r="B151" s="51" t="n"/>
    </row>
    <row r="152" ht="14.25" customHeight="1" s="84">
      <c r="B152" s="51" t="n"/>
    </row>
    <row r="153" ht="14.25" customHeight="1" s="84">
      <c r="B153" s="51" t="n"/>
    </row>
    <row r="154" ht="14.25" customHeight="1" s="84">
      <c r="B154" s="51" t="n"/>
    </row>
    <row r="155" ht="14.25" customHeight="1" s="84">
      <c r="B155" s="51" t="n"/>
    </row>
    <row r="156" ht="14.25" customHeight="1" s="84">
      <c r="B156" s="51" t="n"/>
    </row>
    <row r="157" ht="14.25" customHeight="1" s="84">
      <c r="B157" s="51" t="n"/>
    </row>
    <row r="158" ht="14.25" customHeight="1" s="84">
      <c r="B158" s="51" t="n"/>
    </row>
    <row r="159" ht="14.25" customHeight="1" s="84">
      <c r="B159" s="51" t="n"/>
    </row>
    <row r="160" ht="14.25" customHeight="1" s="84">
      <c r="B160" s="51" t="n"/>
    </row>
    <row r="161" ht="14.25" customHeight="1" s="84">
      <c r="B161" s="51" t="n"/>
    </row>
    <row r="162" ht="14.25" customHeight="1" s="84">
      <c r="B162" s="51" t="n"/>
    </row>
    <row r="163" ht="14.25" customHeight="1" s="84">
      <c r="B163" s="51" t="n"/>
    </row>
    <row r="164" ht="14.25" customHeight="1" s="84">
      <c r="B164" s="51" t="n"/>
    </row>
    <row r="165" ht="14.25" customHeight="1" s="84">
      <c r="B165" s="51" t="n"/>
    </row>
    <row r="166" ht="14.25" customHeight="1" s="84">
      <c r="B166" s="51" t="n"/>
    </row>
    <row r="167" ht="14.25" customHeight="1" s="84">
      <c r="B167" s="51" t="n"/>
    </row>
    <row r="168" ht="14.25" customHeight="1" s="84">
      <c r="B168" s="51" t="n"/>
    </row>
    <row r="169" ht="14.25" customHeight="1" s="84">
      <c r="B169" s="51" t="n"/>
    </row>
    <row r="170" ht="14.25" customHeight="1" s="84">
      <c r="B170" s="51" t="n"/>
    </row>
    <row r="171" ht="14.25" customHeight="1" s="84">
      <c r="B171" s="51" t="n"/>
    </row>
    <row r="172" ht="14.25" customHeight="1" s="84">
      <c r="B172" s="51" t="n"/>
    </row>
    <row r="173" ht="14.25" customHeight="1" s="84">
      <c r="B173" s="51" t="n"/>
    </row>
    <row r="174" ht="14.25" customHeight="1" s="84">
      <c r="B174" s="51" t="n"/>
    </row>
    <row r="175" ht="14.25" customHeight="1" s="84">
      <c r="B175" s="51" t="n"/>
    </row>
    <row r="176" ht="14.25" customHeight="1" s="84">
      <c r="B176" s="51" t="n"/>
    </row>
    <row r="177" ht="14.25" customHeight="1" s="84">
      <c r="B177" s="51" t="n"/>
    </row>
    <row r="178" ht="14.25" customHeight="1" s="84">
      <c r="B178" s="51" t="n"/>
    </row>
    <row r="179" ht="14.25" customHeight="1" s="84">
      <c r="B179" s="51" t="n"/>
    </row>
    <row r="180" ht="14.25" customHeight="1" s="84">
      <c r="B180" s="51" t="n"/>
    </row>
    <row r="181" ht="14.25" customHeight="1" s="84">
      <c r="B181" s="51" t="n"/>
    </row>
    <row r="182" ht="14.25" customHeight="1" s="84">
      <c r="B182" s="51" t="n"/>
    </row>
    <row r="183" ht="14.25" customHeight="1" s="84">
      <c r="B183" s="51" t="n"/>
    </row>
    <row r="184" ht="14.25" customHeight="1" s="84">
      <c r="B184" s="51" t="n"/>
    </row>
    <row r="185" ht="14.25" customHeight="1" s="84">
      <c r="B185" s="51" t="n"/>
    </row>
    <row r="186" ht="14.25" customHeight="1" s="84">
      <c r="B186" s="51" t="n"/>
    </row>
    <row r="187" ht="14.25" customHeight="1" s="84">
      <c r="B187" s="51" t="n"/>
    </row>
    <row r="188" ht="14.25" customHeight="1" s="84">
      <c r="B188" s="51" t="n"/>
    </row>
    <row r="189" ht="14.25" customHeight="1" s="84">
      <c r="B189" s="51" t="n"/>
    </row>
    <row r="190" ht="14.25" customHeight="1" s="84">
      <c r="B190" s="51" t="n"/>
    </row>
    <row r="191" ht="14.25" customHeight="1" s="84">
      <c r="B191" s="51" t="n"/>
    </row>
    <row r="192" ht="14.25" customHeight="1" s="84">
      <c r="B192" s="51" t="n"/>
    </row>
    <row r="193" ht="14.25" customHeight="1" s="84">
      <c r="B193" s="51" t="n"/>
    </row>
    <row r="194" ht="14.25" customHeight="1" s="84">
      <c r="B194" s="51" t="n"/>
    </row>
    <row r="195" ht="14.25" customHeight="1" s="84">
      <c r="B195" s="51" t="n"/>
    </row>
    <row r="196" ht="14.25" customHeight="1" s="84">
      <c r="B196" s="51" t="n"/>
    </row>
    <row r="197" ht="14.25" customHeight="1" s="84">
      <c r="B197" s="51" t="n"/>
    </row>
    <row r="198" ht="14.25" customHeight="1" s="84">
      <c r="B198" s="51" t="n"/>
    </row>
    <row r="199" ht="14.25" customHeight="1" s="84">
      <c r="B199" s="51" t="n"/>
    </row>
    <row r="200" ht="14.25" customHeight="1" s="84">
      <c r="B200" s="51" t="n"/>
    </row>
    <row r="201" ht="14.25" customHeight="1" s="84">
      <c r="B201" s="51" t="n"/>
    </row>
    <row r="202" ht="14.25" customHeight="1" s="84">
      <c r="B202" s="51" t="n"/>
    </row>
    <row r="203" ht="14.25" customHeight="1" s="84">
      <c r="B203" s="51" t="n"/>
    </row>
    <row r="204" ht="14.25" customHeight="1" s="84">
      <c r="B204" s="51" t="n"/>
    </row>
    <row r="205" ht="14.25" customHeight="1" s="84">
      <c r="B205" s="51" t="n"/>
    </row>
    <row r="206" ht="14.25" customHeight="1" s="84">
      <c r="B206" s="51" t="n"/>
    </row>
    <row r="207" ht="14.25" customHeight="1" s="84">
      <c r="B207" s="51" t="n"/>
    </row>
    <row r="208" ht="14.25" customHeight="1" s="84">
      <c r="B208" s="51" t="n"/>
    </row>
    <row r="209" ht="14.25" customHeight="1" s="84">
      <c r="B209" s="51" t="n"/>
    </row>
    <row r="210" ht="14.25" customHeight="1" s="84">
      <c r="B210" s="51" t="n"/>
    </row>
    <row r="211" ht="14.25" customHeight="1" s="84">
      <c r="B211" s="51" t="n"/>
    </row>
    <row r="212" ht="14.25" customHeight="1" s="84">
      <c r="B212" s="51" t="n"/>
    </row>
    <row r="213" ht="14.25" customHeight="1" s="84">
      <c r="B213" s="51" t="n"/>
    </row>
    <row r="214" ht="14.25" customHeight="1" s="84">
      <c r="B214" s="51" t="n"/>
    </row>
    <row r="215" ht="14.25" customHeight="1" s="84">
      <c r="B215" s="51" t="n"/>
    </row>
    <row r="216" ht="14.25" customHeight="1" s="84">
      <c r="B216" s="51" t="n"/>
    </row>
    <row r="217" ht="14.25" customHeight="1" s="84">
      <c r="B217" s="51" t="n"/>
    </row>
    <row r="218" ht="14.25" customHeight="1" s="84">
      <c r="B218" s="51" t="n"/>
    </row>
    <row r="219" ht="14.25" customHeight="1" s="84">
      <c r="B219" s="51" t="n"/>
    </row>
    <row r="220" ht="14.25" customHeight="1" s="84">
      <c r="B220" s="51" t="n"/>
    </row>
    <row r="221" ht="14.25" customHeight="1" s="84">
      <c r="B221" s="51" t="n"/>
    </row>
    <row r="222" ht="14.25" customHeight="1" s="84">
      <c r="B222" s="51" t="n"/>
    </row>
    <row r="223" ht="14.25" customHeight="1" s="84">
      <c r="B223" s="51" t="n"/>
    </row>
    <row r="224" ht="14.25" customHeight="1" s="84">
      <c r="B224" s="51" t="n"/>
    </row>
    <row r="225" ht="14.25" customHeight="1" s="84">
      <c r="B225" s="51" t="n"/>
    </row>
    <row r="226" ht="14.25" customHeight="1" s="84">
      <c r="B226" s="51" t="n"/>
    </row>
    <row r="227" ht="14.25" customHeight="1" s="84">
      <c r="B227" s="51" t="n"/>
    </row>
    <row r="228" ht="14.25" customHeight="1" s="84">
      <c r="B228" s="51" t="n"/>
    </row>
    <row r="229" ht="14.25" customHeight="1" s="84">
      <c r="B229" s="51" t="n"/>
    </row>
    <row r="230" ht="14.25" customHeight="1" s="84">
      <c r="B230" s="51" t="n"/>
    </row>
    <row r="231" ht="14.25" customHeight="1" s="84">
      <c r="B231" s="51" t="n"/>
    </row>
    <row r="232" ht="14.25" customHeight="1" s="84">
      <c r="B232" s="51" t="n"/>
    </row>
    <row r="233" ht="14.25" customHeight="1" s="84">
      <c r="B233" s="51" t="n"/>
    </row>
    <row r="234" ht="14.25" customHeight="1" s="84">
      <c r="B234" s="51" t="n"/>
    </row>
    <row r="235" ht="14.25" customHeight="1" s="84">
      <c r="B235" s="51" t="n"/>
    </row>
    <row r="236" ht="14.25" customHeight="1" s="84">
      <c r="B236" s="51" t="n"/>
    </row>
    <row r="237" ht="14.25" customHeight="1" s="84">
      <c r="B237" s="51" t="n"/>
    </row>
    <row r="238" ht="14.25" customHeight="1" s="84">
      <c r="B238" s="51" t="n"/>
    </row>
    <row r="239" ht="14.25" customHeight="1" s="84">
      <c r="B239" s="51" t="n"/>
    </row>
    <row r="240" ht="14.25" customHeight="1" s="84">
      <c r="B240" s="51" t="n"/>
    </row>
    <row r="241" ht="14.25" customHeight="1" s="84">
      <c r="B241" s="51" t="n"/>
    </row>
    <row r="242" ht="14.25" customHeight="1" s="84">
      <c r="B242" s="51" t="n"/>
    </row>
    <row r="243" ht="14.25" customHeight="1" s="84">
      <c r="B243" s="51" t="n"/>
    </row>
    <row r="244" ht="14.25" customHeight="1" s="84">
      <c r="B244" s="51" t="n"/>
    </row>
    <row r="245" ht="14.25" customHeight="1" s="84">
      <c r="B245" s="51" t="n"/>
    </row>
    <row r="246" ht="14.25" customHeight="1" s="84">
      <c r="B246" s="51" t="n"/>
    </row>
    <row r="247" ht="14.25" customHeight="1" s="84">
      <c r="B247" s="51" t="n"/>
    </row>
    <row r="248" ht="14.25" customHeight="1" s="84">
      <c r="B248" s="51" t="n"/>
    </row>
    <row r="249" ht="14.25" customHeight="1" s="84">
      <c r="B249" s="51" t="n"/>
    </row>
    <row r="250" ht="14.25" customHeight="1" s="84">
      <c r="B250" s="51" t="n"/>
    </row>
    <row r="251" ht="14.25" customHeight="1" s="84">
      <c r="B251" s="51" t="n"/>
    </row>
    <row r="252" ht="14.25" customHeight="1" s="84">
      <c r="B252" s="51" t="n"/>
    </row>
    <row r="253" ht="14.25" customHeight="1" s="84">
      <c r="B253" s="51" t="n"/>
    </row>
    <row r="254" ht="14.25" customHeight="1" s="84">
      <c r="B254" s="51" t="n"/>
    </row>
    <row r="255" ht="14.25" customHeight="1" s="84">
      <c r="B255" s="51" t="n"/>
    </row>
    <row r="256" ht="14.25" customHeight="1" s="84">
      <c r="B256" s="51" t="n"/>
    </row>
    <row r="257" ht="14.25" customHeight="1" s="84">
      <c r="B257" s="51" t="n"/>
    </row>
    <row r="258" ht="14.25" customHeight="1" s="84">
      <c r="B258" s="51" t="n"/>
    </row>
    <row r="259" ht="14.25" customHeight="1" s="84">
      <c r="B259" s="51" t="n"/>
    </row>
    <row r="260" ht="14.25" customHeight="1" s="84">
      <c r="B260" s="51" t="n"/>
    </row>
    <row r="261" ht="14.25" customHeight="1" s="84">
      <c r="B261" s="51" t="n"/>
    </row>
    <row r="262" ht="14.25" customHeight="1" s="84">
      <c r="B262" s="51" t="n"/>
    </row>
    <row r="263" ht="14.25" customHeight="1" s="84">
      <c r="B263" s="51" t="n"/>
    </row>
    <row r="264" ht="14.25" customHeight="1" s="84">
      <c r="B264" s="51" t="n"/>
    </row>
    <row r="265" ht="14.25" customHeight="1" s="84">
      <c r="B265" s="51" t="n"/>
    </row>
    <row r="266" ht="14.25" customHeight="1" s="84">
      <c r="B266" s="51" t="n"/>
    </row>
    <row r="267" ht="14.25" customHeight="1" s="84">
      <c r="B267" s="51" t="n"/>
    </row>
    <row r="268" ht="14.25" customHeight="1" s="84">
      <c r="B268" s="51" t="n"/>
    </row>
    <row r="269" ht="14.25" customHeight="1" s="84">
      <c r="B269" s="51" t="n"/>
    </row>
    <row r="270" ht="14.25" customHeight="1" s="84">
      <c r="B270" s="51" t="n"/>
    </row>
    <row r="271" ht="14.25" customHeight="1" s="84">
      <c r="B271" s="51" t="n"/>
    </row>
    <row r="272" ht="14.25" customHeight="1" s="84">
      <c r="B272" s="51" t="n"/>
    </row>
    <row r="273" ht="14.25" customHeight="1" s="84">
      <c r="B273" s="51" t="n"/>
    </row>
    <row r="274" ht="14.25" customHeight="1" s="84">
      <c r="B274" s="51" t="n"/>
    </row>
    <row r="275" ht="14.25" customHeight="1" s="84">
      <c r="B275" s="51" t="n"/>
    </row>
    <row r="276" ht="14.25" customHeight="1" s="84">
      <c r="B276" s="51" t="n"/>
    </row>
    <row r="277" ht="14.25" customHeight="1" s="84">
      <c r="B277" s="51" t="n"/>
    </row>
    <row r="278" ht="14.25" customHeight="1" s="84">
      <c r="B278" s="51" t="n"/>
    </row>
    <row r="279" ht="14.25" customHeight="1" s="84">
      <c r="B279" s="51" t="n"/>
    </row>
    <row r="280" ht="14.25" customHeight="1" s="84">
      <c r="B280" s="51" t="n"/>
    </row>
    <row r="281" ht="14.25" customHeight="1" s="84">
      <c r="B281" s="51" t="n"/>
    </row>
    <row r="282" ht="14.25" customHeight="1" s="84">
      <c r="B282" s="51" t="n"/>
    </row>
    <row r="283" ht="14.25" customHeight="1" s="84">
      <c r="B283" s="51" t="n"/>
    </row>
    <row r="284" ht="14.25" customHeight="1" s="84">
      <c r="B284" s="51" t="n"/>
    </row>
    <row r="285" ht="14.25" customHeight="1" s="84">
      <c r="B285" s="51" t="n"/>
    </row>
    <row r="286" ht="14.25" customHeight="1" s="84">
      <c r="B286" s="51" t="n"/>
    </row>
    <row r="287" ht="14.25" customHeight="1" s="84">
      <c r="B287" s="51" t="n"/>
    </row>
    <row r="288" ht="14.25" customHeight="1" s="84">
      <c r="B288" s="51" t="n"/>
    </row>
    <row r="289" ht="14.25" customHeight="1" s="84">
      <c r="B289" s="51" t="n"/>
    </row>
    <row r="290" ht="14.25" customHeight="1" s="84">
      <c r="B290" s="51" t="n"/>
    </row>
    <row r="291" ht="14.25" customHeight="1" s="84">
      <c r="B291" s="51" t="n"/>
    </row>
    <row r="292" ht="14.25" customHeight="1" s="84">
      <c r="B292" s="51" t="n"/>
    </row>
    <row r="293" ht="14.25" customHeight="1" s="84">
      <c r="B293" s="51" t="n"/>
    </row>
    <row r="294" ht="14.25" customHeight="1" s="84">
      <c r="B294" s="51" t="n"/>
    </row>
    <row r="295" ht="14.25" customHeight="1" s="84">
      <c r="B295" s="51" t="n"/>
    </row>
    <row r="296" ht="14.25" customHeight="1" s="84">
      <c r="B296" s="51" t="n"/>
    </row>
    <row r="297" ht="14.25" customHeight="1" s="84">
      <c r="B297" s="51" t="n"/>
    </row>
    <row r="298" ht="14.25" customHeight="1" s="84">
      <c r="B298" s="51" t="n"/>
    </row>
    <row r="299" ht="14.25" customHeight="1" s="84">
      <c r="B299" s="51" t="n"/>
    </row>
    <row r="300" ht="14.25" customHeight="1" s="84">
      <c r="B300" s="51" t="n"/>
    </row>
    <row r="301" ht="14.25" customHeight="1" s="84">
      <c r="B301" s="51" t="n"/>
    </row>
    <row r="302" ht="14.25" customHeight="1" s="84">
      <c r="B302" s="51" t="n"/>
    </row>
    <row r="303" ht="14.25" customHeight="1" s="84">
      <c r="B303" s="51" t="n"/>
    </row>
    <row r="304" ht="14.25" customHeight="1" s="84">
      <c r="B304" s="51" t="n"/>
    </row>
    <row r="305" ht="14.25" customHeight="1" s="84">
      <c r="B305" s="51" t="n"/>
    </row>
    <row r="306" ht="14.25" customHeight="1" s="84">
      <c r="B306" s="51" t="n"/>
    </row>
    <row r="307" ht="14.25" customHeight="1" s="84">
      <c r="B307" s="51" t="n"/>
    </row>
    <row r="308" ht="14.25" customHeight="1" s="84">
      <c r="B308" s="51" t="n"/>
    </row>
    <row r="309" ht="14.25" customHeight="1" s="84">
      <c r="B309" s="51" t="n"/>
    </row>
    <row r="310" ht="14.25" customHeight="1" s="84">
      <c r="B310" s="51" t="n"/>
    </row>
    <row r="311" ht="14.25" customHeight="1" s="84">
      <c r="B311" s="51" t="n"/>
    </row>
    <row r="312" ht="14.25" customHeight="1" s="84">
      <c r="B312" s="51" t="n"/>
    </row>
    <row r="313" ht="14.25" customHeight="1" s="84">
      <c r="B313" s="51" t="n"/>
    </row>
    <row r="314" ht="14.25" customHeight="1" s="84">
      <c r="B314" s="51" t="n"/>
    </row>
    <row r="315" ht="14.25" customHeight="1" s="84">
      <c r="B315" s="51" t="n"/>
    </row>
    <row r="316" ht="14.25" customHeight="1" s="84">
      <c r="B316" s="51" t="n"/>
    </row>
    <row r="317" ht="14.25" customHeight="1" s="84">
      <c r="B317" s="51" t="n"/>
    </row>
    <row r="318" ht="14.25" customHeight="1" s="84">
      <c r="B318" s="51" t="n"/>
    </row>
    <row r="319" ht="14.25" customHeight="1" s="84">
      <c r="B319" s="51" t="n"/>
    </row>
    <row r="320" ht="14.25" customHeight="1" s="84">
      <c r="B320" s="51" t="n"/>
    </row>
    <row r="321" ht="14.25" customHeight="1" s="84">
      <c r="B321" s="51" t="n"/>
    </row>
    <row r="322" ht="14.25" customHeight="1" s="84">
      <c r="B322" s="51" t="n"/>
    </row>
    <row r="323" ht="14.25" customHeight="1" s="84">
      <c r="B323" s="51" t="n"/>
    </row>
    <row r="324" ht="14.25" customHeight="1" s="84">
      <c r="B324" s="51" t="n"/>
    </row>
    <row r="325" ht="14.25" customHeight="1" s="84">
      <c r="B325" s="51" t="n"/>
    </row>
    <row r="326" ht="14.25" customHeight="1" s="84">
      <c r="B326" s="51" t="n"/>
    </row>
    <row r="327" ht="14.25" customHeight="1" s="84">
      <c r="B327" s="51" t="n"/>
    </row>
    <row r="328" ht="14.25" customHeight="1" s="84">
      <c r="B328" s="51" t="n"/>
    </row>
    <row r="329" ht="14.25" customHeight="1" s="84">
      <c r="B329" s="51" t="n"/>
    </row>
    <row r="330" ht="14.25" customHeight="1" s="84">
      <c r="B330" s="51" t="n"/>
    </row>
    <row r="331" ht="14.25" customHeight="1" s="84">
      <c r="B331" s="51" t="n"/>
    </row>
    <row r="332" ht="14.25" customHeight="1" s="84">
      <c r="B332" s="51" t="n"/>
    </row>
    <row r="333" ht="14.25" customHeight="1" s="84">
      <c r="B333" s="51" t="n"/>
    </row>
    <row r="334" ht="14.25" customHeight="1" s="84">
      <c r="B334" s="51" t="n"/>
    </row>
    <row r="335" ht="14.25" customHeight="1" s="84">
      <c r="B335" s="51" t="n"/>
    </row>
    <row r="336" ht="14.25" customHeight="1" s="84">
      <c r="B336" s="51" t="n"/>
    </row>
    <row r="337" ht="14.25" customHeight="1" s="84">
      <c r="B337" s="51" t="n"/>
    </row>
    <row r="338" ht="14.25" customHeight="1" s="84">
      <c r="B338" s="51" t="n"/>
    </row>
    <row r="339" ht="14.25" customHeight="1" s="84">
      <c r="B339" s="51" t="n"/>
    </row>
    <row r="340" ht="14.25" customHeight="1" s="84">
      <c r="B340" s="51" t="n"/>
    </row>
    <row r="341" ht="14.25" customHeight="1" s="84">
      <c r="B341" s="51" t="n"/>
    </row>
    <row r="342" ht="14.25" customHeight="1" s="84">
      <c r="B342" s="51" t="n"/>
    </row>
    <row r="343" ht="14.25" customHeight="1" s="84">
      <c r="B343" s="51" t="n"/>
    </row>
    <row r="344" ht="14.25" customHeight="1" s="84">
      <c r="B344" s="51" t="n"/>
    </row>
    <row r="345" ht="14.25" customHeight="1" s="84">
      <c r="B345" s="51" t="n"/>
    </row>
    <row r="346" ht="14.25" customHeight="1" s="84">
      <c r="B346" s="51" t="n"/>
    </row>
    <row r="347" ht="14.25" customHeight="1" s="84">
      <c r="B347" s="51" t="n"/>
    </row>
    <row r="348" ht="14.25" customHeight="1" s="84">
      <c r="B348" s="51" t="n"/>
    </row>
    <row r="349" ht="14.25" customHeight="1" s="84">
      <c r="B349" s="51" t="n"/>
    </row>
    <row r="350" ht="14.25" customHeight="1" s="84">
      <c r="B350" s="51" t="n"/>
    </row>
    <row r="351" ht="14.25" customHeight="1" s="84">
      <c r="B351" s="51" t="n"/>
    </row>
    <row r="352" ht="14.25" customHeight="1" s="84">
      <c r="B352" s="51" t="n"/>
    </row>
    <row r="353" ht="14.25" customHeight="1" s="84">
      <c r="B353" s="51" t="n"/>
    </row>
    <row r="354" ht="14.25" customHeight="1" s="84">
      <c r="B354" s="51" t="n"/>
    </row>
    <row r="355" ht="14.25" customHeight="1" s="84">
      <c r="B355" s="51" t="n"/>
    </row>
    <row r="356" ht="14.25" customHeight="1" s="84">
      <c r="B356" s="51" t="n"/>
    </row>
    <row r="357" ht="14.25" customHeight="1" s="84">
      <c r="B357" s="51" t="n"/>
    </row>
    <row r="358" ht="14.25" customHeight="1" s="84">
      <c r="B358" s="51" t="n"/>
    </row>
    <row r="359" ht="14.25" customHeight="1" s="84">
      <c r="B359" s="51" t="n"/>
    </row>
    <row r="360" ht="14.25" customHeight="1" s="84">
      <c r="B360" s="51" t="n"/>
    </row>
    <row r="361" ht="14.25" customHeight="1" s="84">
      <c r="B361" s="51" t="n"/>
    </row>
    <row r="362" ht="14.25" customHeight="1" s="84">
      <c r="B362" s="51" t="n"/>
    </row>
    <row r="363" ht="14.25" customHeight="1" s="84">
      <c r="B363" s="51" t="n"/>
    </row>
    <row r="364" ht="14.25" customHeight="1" s="84">
      <c r="B364" s="51" t="n"/>
    </row>
    <row r="365" ht="14.25" customHeight="1" s="84">
      <c r="B365" s="51" t="n"/>
    </row>
    <row r="366" ht="14.25" customHeight="1" s="84">
      <c r="B366" s="51" t="n"/>
    </row>
    <row r="367" ht="14.25" customHeight="1" s="84">
      <c r="B367" s="51" t="n"/>
    </row>
    <row r="368" ht="14.25" customHeight="1" s="84">
      <c r="B368" s="51" t="n"/>
    </row>
    <row r="369" ht="14.25" customHeight="1" s="84">
      <c r="B369" s="51" t="n"/>
    </row>
    <row r="370" ht="14.25" customHeight="1" s="84">
      <c r="B370" s="51" t="n"/>
    </row>
    <row r="371" ht="14.25" customHeight="1" s="84">
      <c r="B371" s="51" t="n"/>
    </row>
    <row r="372" ht="14.25" customHeight="1" s="84">
      <c r="B372" s="51" t="n"/>
    </row>
    <row r="373" ht="14.25" customHeight="1" s="84">
      <c r="B373" s="51" t="n"/>
    </row>
    <row r="374" ht="14.25" customHeight="1" s="84">
      <c r="B374" s="51" t="n"/>
    </row>
    <row r="375" ht="14.25" customHeight="1" s="84">
      <c r="B375" s="51" t="n"/>
    </row>
    <row r="376" ht="14.25" customHeight="1" s="84">
      <c r="B376" s="51" t="n"/>
    </row>
    <row r="377" ht="14.25" customHeight="1" s="84">
      <c r="B377" s="51" t="n"/>
    </row>
    <row r="378" ht="14.25" customHeight="1" s="84">
      <c r="B378" s="51" t="n"/>
    </row>
    <row r="379" ht="14.25" customHeight="1" s="84">
      <c r="B379" s="51" t="n"/>
    </row>
    <row r="380" ht="14.25" customHeight="1" s="84">
      <c r="B380" s="51" t="n"/>
    </row>
    <row r="381" ht="14.25" customHeight="1" s="84">
      <c r="B381" s="51" t="n"/>
    </row>
    <row r="382" ht="14.25" customHeight="1" s="84">
      <c r="B382" s="51" t="n"/>
    </row>
    <row r="383" ht="14.25" customHeight="1" s="84">
      <c r="B383" s="51" t="n"/>
    </row>
    <row r="384" ht="14.25" customHeight="1" s="84">
      <c r="B384" s="51" t="n"/>
    </row>
    <row r="385" ht="14.25" customHeight="1" s="84">
      <c r="B385" s="51" t="n"/>
    </row>
    <row r="386" ht="14.25" customHeight="1" s="84">
      <c r="B386" s="51" t="n"/>
    </row>
    <row r="387" ht="14.25" customHeight="1" s="84">
      <c r="B387" s="51" t="n"/>
    </row>
    <row r="388" ht="14.25" customHeight="1" s="84">
      <c r="B388" s="51" t="n"/>
    </row>
    <row r="389" ht="14.25" customHeight="1" s="84">
      <c r="B389" s="51" t="n"/>
    </row>
    <row r="390" ht="14.25" customHeight="1" s="84">
      <c r="B390" s="51" t="n"/>
    </row>
    <row r="391" ht="14.25" customHeight="1" s="84">
      <c r="B391" s="51" t="n"/>
    </row>
    <row r="392" ht="14.25" customHeight="1" s="84">
      <c r="B392" s="51" t="n"/>
    </row>
    <row r="393" ht="14.25" customHeight="1" s="84">
      <c r="B393" s="51" t="n"/>
    </row>
    <row r="394" ht="14.25" customHeight="1" s="84">
      <c r="B394" s="51" t="n"/>
    </row>
    <row r="395" ht="14.25" customHeight="1" s="84">
      <c r="B395" s="51" t="n"/>
    </row>
    <row r="396" ht="14.25" customHeight="1" s="84">
      <c r="B396" s="51" t="n"/>
    </row>
    <row r="397" ht="14.25" customHeight="1" s="84">
      <c r="B397" s="51" t="n"/>
    </row>
    <row r="398" ht="14.25" customHeight="1" s="84">
      <c r="B398" s="51" t="n"/>
    </row>
    <row r="399" ht="14.25" customHeight="1" s="84">
      <c r="B399" s="51" t="n"/>
    </row>
    <row r="400" ht="14.25" customHeight="1" s="84">
      <c r="B400" s="51" t="n"/>
    </row>
    <row r="401" ht="14.25" customHeight="1" s="84">
      <c r="B401" s="51" t="n"/>
    </row>
    <row r="402" ht="14.25" customHeight="1" s="84">
      <c r="B402" s="51" t="n"/>
    </row>
    <row r="403" ht="14.25" customHeight="1" s="84">
      <c r="B403" s="51" t="n"/>
    </row>
    <row r="404" ht="14.25" customHeight="1" s="84">
      <c r="B404" s="51" t="n"/>
    </row>
    <row r="405" ht="14.25" customHeight="1" s="84">
      <c r="B405" s="51" t="n"/>
    </row>
    <row r="406" ht="14.25" customHeight="1" s="84">
      <c r="B406" s="51" t="n"/>
    </row>
    <row r="407" ht="14.25" customHeight="1" s="84">
      <c r="B407" s="51" t="n"/>
    </row>
    <row r="408" ht="14.25" customHeight="1" s="84">
      <c r="B408" s="51" t="n"/>
    </row>
    <row r="409" ht="14.25" customHeight="1" s="84">
      <c r="B409" s="51" t="n"/>
    </row>
    <row r="410" ht="14.25" customHeight="1" s="84">
      <c r="B410" s="51" t="n"/>
    </row>
    <row r="411" ht="14.25" customHeight="1" s="84">
      <c r="B411" s="51" t="n"/>
    </row>
    <row r="412" ht="14.25" customHeight="1" s="84">
      <c r="B412" s="51" t="n"/>
    </row>
    <row r="413" ht="14.25" customHeight="1" s="84">
      <c r="B413" s="51" t="n"/>
    </row>
    <row r="414" ht="14.25" customHeight="1" s="84">
      <c r="B414" s="51" t="n"/>
    </row>
    <row r="415" ht="14.25" customHeight="1" s="84">
      <c r="B415" s="51" t="n"/>
    </row>
    <row r="416" ht="14.25" customHeight="1" s="84">
      <c r="B416" s="51" t="n"/>
    </row>
    <row r="417" ht="14.25" customHeight="1" s="84">
      <c r="B417" s="51" t="n"/>
    </row>
    <row r="418" ht="14.25" customHeight="1" s="84">
      <c r="B418" s="51" t="n"/>
    </row>
    <row r="419" ht="14.25" customHeight="1" s="84">
      <c r="B419" s="51" t="n"/>
    </row>
    <row r="420" ht="14.25" customHeight="1" s="84">
      <c r="B420" s="51" t="n"/>
    </row>
    <row r="421" ht="14.25" customHeight="1" s="84">
      <c r="B421" s="51" t="n"/>
    </row>
    <row r="422" ht="14.25" customHeight="1" s="84">
      <c r="B422" s="51" t="n"/>
    </row>
    <row r="423" ht="14.25" customHeight="1" s="84">
      <c r="B423" s="51" t="n"/>
    </row>
    <row r="424" ht="14.25" customHeight="1" s="84">
      <c r="B424" s="51" t="n"/>
    </row>
    <row r="425" ht="14.25" customHeight="1" s="84">
      <c r="B425" s="51" t="n"/>
    </row>
    <row r="426" ht="14.25" customHeight="1" s="84">
      <c r="B426" s="51" t="n"/>
    </row>
    <row r="427" ht="14.25" customHeight="1" s="84">
      <c r="B427" s="51" t="n"/>
    </row>
    <row r="428" ht="14.25" customHeight="1" s="84">
      <c r="B428" s="51" t="n"/>
    </row>
    <row r="429" ht="14.25" customHeight="1" s="84">
      <c r="B429" s="51" t="n"/>
    </row>
    <row r="430" ht="14.25" customHeight="1" s="84">
      <c r="B430" s="51" t="n"/>
    </row>
    <row r="431" ht="14.25" customHeight="1" s="84">
      <c r="B431" s="51" t="n"/>
    </row>
    <row r="432" ht="14.25" customHeight="1" s="84">
      <c r="B432" s="51" t="n"/>
    </row>
    <row r="433" ht="14.25" customHeight="1" s="84">
      <c r="B433" s="51" t="n"/>
    </row>
    <row r="434" ht="14.25" customHeight="1" s="84">
      <c r="B434" s="51" t="n"/>
    </row>
    <row r="435" ht="14.25" customHeight="1" s="84">
      <c r="B435" s="51" t="n"/>
    </row>
    <row r="436" ht="14.25" customHeight="1" s="84">
      <c r="B436" s="51" t="n"/>
    </row>
    <row r="437" ht="14.25" customHeight="1" s="84">
      <c r="B437" s="51" t="n"/>
    </row>
    <row r="438" ht="14.25" customHeight="1" s="84">
      <c r="B438" s="51" t="n"/>
    </row>
    <row r="439" ht="14.25" customHeight="1" s="84">
      <c r="B439" s="51" t="n"/>
    </row>
    <row r="440" ht="14.25" customHeight="1" s="84">
      <c r="B440" s="51" t="n"/>
    </row>
    <row r="441" ht="14.25" customHeight="1" s="84">
      <c r="B441" s="51" t="n"/>
    </row>
    <row r="442" ht="14.25" customHeight="1" s="84">
      <c r="B442" s="51" t="n"/>
    </row>
    <row r="443" ht="14.25" customHeight="1" s="84">
      <c r="B443" s="51" t="n"/>
    </row>
    <row r="444" ht="14.25" customHeight="1" s="84">
      <c r="B444" s="51" t="n"/>
    </row>
    <row r="445" ht="14.25" customHeight="1" s="84">
      <c r="B445" s="51" t="n"/>
    </row>
    <row r="446" ht="14.25" customHeight="1" s="84">
      <c r="B446" s="51" t="n"/>
    </row>
    <row r="447" ht="14.25" customHeight="1" s="84">
      <c r="B447" s="51" t="n"/>
    </row>
    <row r="448" ht="14.25" customHeight="1" s="84">
      <c r="B448" s="51" t="n"/>
    </row>
    <row r="449" ht="14.25" customHeight="1" s="84">
      <c r="B449" s="51" t="n"/>
    </row>
    <row r="450" ht="14.25" customHeight="1" s="84">
      <c r="B450" s="51" t="n"/>
    </row>
    <row r="451" ht="14.25" customHeight="1" s="84">
      <c r="B451" s="51" t="n"/>
    </row>
    <row r="452" ht="14.25" customHeight="1" s="84">
      <c r="B452" s="51" t="n"/>
    </row>
    <row r="453" ht="14.25" customHeight="1" s="84">
      <c r="B453" s="51" t="n"/>
    </row>
    <row r="454" ht="14.25" customHeight="1" s="84">
      <c r="B454" s="51" t="n"/>
    </row>
    <row r="455" ht="14.25" customHeight="1" s="84">
      <c r="B455" s="51" t="n"/>
    </row>
    <row r="456" ht="14.25" customHeight="1" s="84">
      <c r="B456" s="51" t="n"/>
    </row>
    <row r="457" ht="14.25" customHeight="1" s="84">
      <c r="B457" s="51" t="n"/>
    </row>
    <row r="458" ht="14.25" customHeight="1" s="84">
      <c r="B458" s="51" t="n"/>
    </row>
    <row r="459" ht="14.25" customHeight="1" s="84">
      <c r="B459" s="51" t="n"/>
    </row>
    <row r="460" ht="14.25" customHeight="1" s="84">
      <c r="B460" s="51" t="n"/>
    </row>
    <row r="461" ht="14.25" customHeight="1" s="84">
      <c r="B461" s="51" t="n"/>
    </row>
    <row r="462" ht="14.25" customHeight="1" s="84">
      <c r="B462" s="51" t="n"/>
    </row>
    <row r="463" ht="14.25" customHeight="1" s="84">
      <c r="B463" s="51" t="n"/>
    </row>
    <row r="464" ht="14.25" customHeight="1" s="84">
      <c r="B464" s="51" t="n"/>
    </row>
    <row r="465" ht="14.25" customHeight="1" s="84">
      <c r="B465" s="51" t="n"/>
    </row>
    <row r="466" ht="14.25" customHeight="1" s="84">
      <c r="B466" s="51" t="n"/>
    </row>
    <row r="467" ht="14.25" customHeight="1" s="84">
      <c r="B467" s="51" t="n"/>
    </row>
    <row r="468" ht="14.25" customHeight="1" s="84">
      <c r="B468" s="51" t="n"/>
    </row>
    <row r="469" ht="14.25" customHeight="1" s="84">
      <c r="B469" s="51" t="n"/>
    </row>
    <row r="470" ht="14.25" customHeight="1" s="84">
      <c r="B470" s="51" t="n"/>
    </row>
    <row r="471" ht="14.25" customHeight="1" s="84">
      <c r="B471" s="51" t="n"/>
    </row>
    <row r="472" ht="14.25" customHeight="1" s="84">
      <c r="B472" s="51" t="n"/>
    </row>
    <row r="473" ht="14.25" customHeight="1" s="84">
      <c r="B473" s="51" t="n"/>
    </row>
    <row r="474" ht="14.25" customHeight="1" s="84">
      <c r="B474" s="51" t="n"/>
    </row>
    <row r="475" ht="14.25" customHeight="1" s="84">
      <c r="B475" s="51" t="n"/>
    </row>
    <row r="476" ht="14.25" customHeight="1" s="84">
      <c r="B476" s="51" t="n"/>
    </row>
    <row r="477" ht="14.25" customHeight="1" s="84">
      <c r="B477" s="51" t="n"/>
    </row>
    <row r="478" ht="14.25" customHeight="1" s="84">
      <c r="B478" s="51" t="n"/>
    </row>
    <row r="479" ht="14.25" customHeight="1" s="84">
      <c r="B479" s="51" t="n"/>
    </row>
    <row r="480" ht="14.25" customHeight="1" s="84">
      <c r="B480" s="51" t="n"/>
    </row>
    <row r="481" ht="14.25" customHeight="1" s="84">
      <c r="B481" s="51" t="n"/>
    </row>
    <row r="482" ht="14.25" customHeight="1" s="84">
      <c r="B482" s="51" t="n"/>
    </row>
    <row r="483" ht="14.25" customHeight="1" s="84">
      <c r="B483" s="51" t="n"/>
    </row>
    <row r="484" ht="14.25" customHeight="1" s="84">
      <c r="B484" s="51" t="n"/>
    </row>
    <row r="485" ht="14.25" customHeight="1" s="84">
      <c r="B485" s="51" t="n"/>
    </row>
    <row r="486" ht="14.25" customHeight="1" s="84">
      <c r="B486" s="51" t="n"/>
    </row>
    <row r="487" ht="14.25" customHeight="1" s="84">
      <c r="B487" s="51" t="n"/>
    </row>
    <row r="488" ht="14.25" customHeight="1" s="84">
      <c r="B488" s="51" t="n"/>
    </row>
    <row r="489" ht="14.25" customHeight="1" s="84">
      <c r="B489" s="51" t="n"/>
    </row>
    <row r="490" ht="14.25" customHeight="1" s="84">
      <c r="B490" s="51" t="n"/>
    </row>
    <row r="491" ht="14.25" customHeight="1" s="84">
      <c r="B491" s="51" t="n"/>
    </row>
    <row r="492" ht="14.25" customHeight="1" s="84">
      <c r="B492" s="51" t="n"/>
    </row>
    <row r="493" ht="14.25" customHeight="1" s="84">
      <c r="B493" s="51" t="n"/>
    </row>
    <row r="494" ht="14.25" customHeight="1" s="84">
      <c r="B494" s="51" t="n"/>
    </row>
    <row r="495" ht="14.25" customHeight="1" s="84">
      <c r="B495" s="51" t="n"/>
    </row>
    <row r="496" ht="14.25" customHeight="1" s="84">
      <c r="B496" s="51" t="n"/>
    </row>
    <row r="497" ht="14.25" customHeight="1" s="84">
      <c r="B497" s="51" t="n"/>
    </row>
    <row r="498" ht="14.25" customHeight="1" s="84">
      <c r="B498" s="51" t="n"/>
    </row>
    <row r="499" ht="14.25" customHeight="1" s="84">
      <c r="B499" s="51" t="n"/>
    </row>
    <row r="500" ht="14.25" customHeight="1" s="84">
      <c r="B500" s="51" t="n"/>
    </row>
    <row r="501" ht="14.25" customHeight="1" s="84">
      <c r="B501" s="51" t="n"/>
    </row>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dataValidations count="1">
    <dataValidation sqref="B2:B501" showDropDown="0" showInputMessage="0" showErrorMessage="0" allowBlank="1" type="list">
      <formula1>"Salary,Marketing,Advertisement,Printing,Stationary,Rent,Utilities,Software,Miscellaneous"</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B3" sqref="B3"/>
    </sheetView>
  </sheetViews>
  <sheetFormatPr baseColWidth="8" defaultColWidth="14.43" defaultRowHeight="15" customHeight="1"/>
  <cols>
    <col width="9" customWidth="1" style="84" min="1" max="1"/>
    <col width="28" customWidth="1" style="84" min="2" max="5"/>
    <col width="15.57" customWidth="1" style="84" min="6" max="6"/>
    <col width="28" customWidth="1" style="84" min="7" max="12"/>
    <col width="22" customWidth="1" style="84" min="13" max="13"/>
    <col width="8.710000000000001" customWidth="1" style="84" min="14" max="26"/>
  </cols>
  <sheetData>
    <row r="1" ht="14.25" customHeight="1" s="84">
      <c r="A1" s="1" t="inlineStr">
        <is>
          <t>Month</t>
        </is>
      </c>
      <c r="B1" s="1" t="inlineStr">
        <is>
          <t>Admission Count</t>
        </is>
      </c>
      <c r="C1" s="1" t="inlineStr">
        <is>
          <t>New Admissions Value</t>
        </is>
      </c>
      <c r="D1" s="1" t="inlineStr">
        <is>
          <t>Collections This Month</t>
        </is>
      </c>
      <c r="E1" s="1" t="inlineStr">
        <is>
          <t>Total Expense</t>
        </is>
      </c>
      <c r="F1" s="1" t="inlineStr">
        <is>
          <t>Profit</t>
        </is>
      </c>
      <c r="G1" s="1" t="inlineStr">
        <is>
          <t>Closing Pending</t>
        </is>
      </c>
      <c r="H1" s="1" t="inlineStr">
        <is>
          <t>Outstanding Admissions</t>
        </is>
      </c>
      <c r="I1" s="1" t="inlineStr">
        <is>
          <t>Salary Expense</t>
        </is>
      </c>
      <c r="J1" s="1" t="inlineStr">
        <is>
          <t>Marketing Expense</t>
        </is>
      </c>
      <c r="K1" s="1" t="inlineStr">
        <is>
          <t>Rent Expense</t>
        </is>
      </c>
      <c r="L1" s="1" t="inlineStr">
        <is>
          <t>Software Expense</t>
        </is>
      </c>
      <c r="M1" s="1" t="inlineStr">
        <is>
          <t>Other Expense</t>
        </is>
      </c>
    </row>
    <row r="2" ht="14.25" customHeight="1" s="84">
      <c r="A2" s="13" t="inlineStr">
        <is>
          <t>2026-01</t>
        </is>
      </c>
      <c r="B2" s="13" t="n"/>
      <c r="C2" s="23">
        <f>SUMPRODUCT((TEXT(admissions!$AB$2:$AB$78,"yyyy-mm")=$A2)*(admissions!$U$2:$U$78))</f>
        <v/>
      </c>
      <c r="D2" s="23">
        <f>SUMPRODUCT((TEXT(payments!$C$2:$C$501,"yyyy-mm")=$A2)*(payments!$D$2:$D$501))</f>
        <v/>
      </c>
      <c r="E2" s="23">
        <f>SUMPRODUCT((TEXT(expenses!$A$2:$A$501,"yyyy-mm")=$A2)*(expenses!$D$2:$D$501))</f>
        <v/>
      </c>
      <c r="F2" s="23">
        <f>D2-E2</f>
        <v/>
      </c>
      <c r="G2" s="23">
        <f>SUMPRODUCT((TEXT(admissions!$AB$2:$AB$78,"yyyy-mm")&lt;=$A2)*(admissions!$W$2:$W$78))</f>
        <v/>
      </c>
      <c r="H2" s="13">
        <f>SUMPRODUCT((admissions!$W$2:$W$78&gt;0)*(TEXT(admissions!$AB$2:$AB$78,"yyyy-mm")&lt;=$A2))</f>
        <v/>
      </c>
      <c r="I2" s="23">
        <f>SUMPRODUCT((TEXT(expenses!$A$2:$A$501,"yyyy-mm")=$A2)*(expenses!$B$2:$B$501="Salary")*(expenses!$D$2:$D$501))</f>
        <v/>
      </c>
      <c r="J2" s="23">
        <f>SUMPRODUCT(((TEXT(expenses!$A$2:$A$501,"yyyy-mm")=$A2)*((expenses!$B$2:$B$501="Marketing")+(expenses!$B$2:$B$501="Advertisement")))*(expenses!$D$2:$D$501))</f>
        <v/>
      </c>
      <c r="K2" s="23">
        <f>SUMPRODUCT((TEXT(expenses!$A$2:$A$501,"yyyy-mm")=$A2)*(expenses!$B$2:$B$501="Rent")*(expenses!$D$2:$D$501))</f>
        <v/>
      </c>
      <c r="L2" s="23">
        <f>SUMPRODUCT((TEXT(expenses!$A$2:$A$501,"yyyy-mm")=$A2)*(expenses!$B$2:$B$501="Software")*(expenses!$D$2:$D$501))</f>
        <v/>
      </c>
      <c r="M2" s="23">
        <f>E2-I2-J2-K2-L2</f>
        <v/>
      </c>
    </row>
    <row r="3" ht="14.25" customHeight="1" s="84">
      <c r="A3" s="13" t="inlineStr">
        <is>
          <t>2026-02</t>
        </is>
      </c>
      <c r="B3" s="13" t="n"/>
      <c r="C3" s="23">
        <f>SUMPRODUCT((TEXT(admissions!$AB$2:$AB$78,"yyyy-mm")=$A3)*(admissions!$U$2:$U$78))</f>
        <v/>
      </c>
      <c r="D3" s="23">
        <f>SUMPRODUCT((TEXT(payments!$C$2:$C$501,"yyyy-mm")=$A3)*(payments!$D$2:$D$501))</f>
        <v/>
      </c>
      <c r="E3" s="23">
        <f>SUMPRODUCT((TEXT(expenses!$A$2:$A$501,"yyyy-mm")=$A3)*(expenses!$D$2:$D$501))</f>
        <v/>
      </c>
      <c r="F3" s="23">
        <f>D3-E3</f>
        <v/>
      </c>
      <c r="G3" s="23">
        <f>SUMPRODUCT((TEXT(admissions!$AB$2:$AB$78,"yyyy-mm")&lt;=$A3)*(admissions!$W$2:$W$78))</f>
        <v/>
      </c>
      <c r="H3" s="13">
        <f>SUMPRODUCT((admissions!$W$2:$W$78&gt;0)*(TEXT(admissions!$AB$2:$AB$78,"yyyy-mm")&lt;=$A3))</f>
        <v/>
      </c>
      <c r="I3" s="23">
        <f>SUMPRODUCT((TEXT(expenses!$A$2:$A$501,"yyyy-mm")=$A3)*(expenses!$B$2:$B$501="Salary")*(expenses!$D$2:$D$501))</f>
        <v/>
      </c>
      <c r="J3" s="23">
        <f>SUMPRODUCT(((TEXT(expenses!$A$2:$A$501,"yyyy-mm")=$A3)*((expenses!$B$2:$B$501="Marketing")+(expenses!$B$2:$B$501="Advertisement")))*(expenses!$D$2:$D$501))</f>
        <v/>
      </c>
      <c r="K3" s="23">
        <f>SUMPRODUCT((TEXT(expenses!$A$2:$A$501,"yyyy-mm")=$A3)*(expenses!$B$2:$B$501="Rent")*(expenses!$D$2:$D$501))</f>
        <v/>
      </c>
      <c r="L3" s="23">
        <f>SUMPRODUCT((TEXT(expenses!$A$2:$A$501,"yyyy-mm")=$A3)*(expenses!$B$2:$B$501="Software")*(expenses!$D$2:$D$501))</f>
        <v/>
      </c>
      <c r="M3" s="23">
        <f>E3-I3-J3-K3-L3</f>
        <v/>
      </c>
    </row>
    <row r="4" ht="14.25" customHeight="1" s="84">
      <c r="A4" s="13" t="inlineStr">
        <is>
          <t>2026-03</t>
        </is>
      </c>
      <c r="B4" s="13" t="n"/>
      <c r="C4" s="23">
        <f>SUMPRODUCT((TEXT(admissions!$AB$2:$AB$78,"yyyy-mm")=$A4)*(admissions!$U$2:$U$78))</f>
        <v/>
      </c>
      <c r="D4" s="23">
        <f>SUMPRODUCT((TEXT(payments!$C$2:$C$501,"yyyy-mm")=$A4)*(payments!$D$2:$D$501))</f>
        <v/>
      </c>
      <c r="E4" s="23">
        <f>SUMPRODUCT((TEXT(expenses!$A$2:$A$501,"yyyy-mm")=$A4)*(expenses!$D$2:$D$501))</f>
        <v/>
      </c>
      <c r="F4" s="23">
        <f>D4-E4</f>
        <v/>
      </c>
      <c r="G4" s="23">
        <f>SUMPRODUCT((TEXT(admissions!$AB$2:$AB$78,"yyyy-mm")&lt;=$A4)*(admissions!$W$2:$W$78))</f>
        <v/>
      </c>
      <c r="H4" s="13">
        <f>SUMPRODUCT((admissions!$W$2:$W$78&gt;0)*(TEXT(admissions!$AB$2:$AB$78,"yyyy-mm")&lt;=$A4))</f>
        <v/>
      </c>
      <c r="I4" s="23">
        <f>SUMPRODUCT((TEXT(expenses!$A$2:$A$501,"yyyy-mm")=$A4)*(expenses!$B$2:$B$501="Salary")*(expenses!$D$2:$D$501))</f>
        <v/>
      </c>
      <c r="J4" s="23">
        <f>SUMPRODUCT(((TEXT(expenses!$A$2:$A$501,"yyyy-mm")=$A4)*((expenses!$B$2:$B$501="Marketing")+(expenses!$B$2:$B$501="Advertisement")))*(expenses!$D$2:$D$501))</f>
        <v/>
      </c>
      <c r="K4" s="23">
        <f>SUMPRODUCT((TEXT(expenses!$A$2:$A$501,"yyyy-mm")=$A4)*(expenses!$B$2:$B$501="Rent")*(expenses!$D$2:$D$501))</f>
        <v/>
      </c>
      <c r="L4" s="23">
        <f>SUMPRODUCT((TEXT(expenses!$A$2:$A$501,"yyyy-mm")=$A4)*(expenses!$B$2:$B$501="Software")*(expenses!$D$2:$D$501))</f>
        <v/>
      </c>
      <c r="M4" s="23">
        <f>E4-I4-J4-K4-L4</f>
        <v/>
      </c>
    </row>
    <row r="5" ht="14.25" customHeight="1" s="84">
      <c r="A5" s="13" t="inlineStr">
        <is>
          <t>2026-04</t>
        </is>
      </c>
      <c r="B5" s="13" t="n"/>
      <c r="C5" s="23">
        <f>SUMPRODUCT((TEXT(admissions!$AB$2:$AB$78,"yyyy-mm")=$A5)*(admissions!$U$2:$U$78))</f>
        <v/>
      </c>
      <c r="D5" s="23">
        <f>SUMPRODUCT((TEXT(payments!$C$2:$C$501,"yyyy-mm")=$A5)*(payments!$D$2:$D$501))</f>
        <v/>
      </c>
      <c r="E5" s="23">
        <f>SUMPRODUCT((TEXT(expenses!$A$2:$A$501,"yyyy-mm")=$A5)*(expenses!$D$2:$D$501))</f>
        <v/>
      </c>
      <c r="F5" s="23">
        <f>D5-E5</f>
        <v/>
      </c>
      <c r="G5" s="23">
        <f>SUMPRODUCT((TEXT(admissions!$AB$2:$AB$78,"yyyy-mm")&lt;=$A5)*(admissions!$W$2:$W$78))</f>
        <v/>
      </c>
      <c r="H5" s="13">
        <f>SUMPRODUCT((admissions!$W$2:$W$78&gt;0)*(TEXT(admissions!$AB$2:$AB$78,"yyyy-mm")&lt;=$A5))</f>
        <v/>
      </c>
      <c r="I5" s="23">
        <f>SUMPRODUCT((TEXT(expenses!$A$2:$A$501,"yyyy-mm")=$A5)*(expenses!$B$2:$B$501="Salary")*(expenses!$D$2:$D$501))</f>
        <v/>
      </c>
      <c r="J5" s="23">
        <f>SUMPRODUCT(((TEXT(expenses!$A$2:$A$501,"yyyy-mm")=$A5)*((expenses!$B$2:$B$501="Marketing")+(expenses!$B$2:$B$501="Advertisement")))*(expenses!$D$2:$D$501))</f>
        <v/>
      </c>
      <c r="K5" s="23">
        <f>SUMPRODUCT((TEXT(expenses!$A$2:$A$501,"yyyy-mm")=$A5)*(expenses!$B$2:$B$501="Rent")*(expenses!$D$2:$D$501))</f>
        <v/>
      </c>
      <c r="L5" s="23">
        <f>SUMPRODUCT((TEXT(expenses!$A$2:$A$501,"yyyy-mm")=$A5)*(expenses!$B$2:$B$501="Software")*(expenses!$D$2:$D$501))</f>
        <v/>
      </c>
      <c r="M5" s="23">
        <f>E5-I5-J5-K5-L5</f>
        <v/>
      </c>
    </row>
    <row r="6" ht="14.25" customHeight="1" s="84">
      <c r="A6" s="13" t="inlineStr">
        <is>
          <t>2026-05</t>
        </is>
      </c>
      <c r="B6" s="13" t="n"/>
      <c r="C6" s="23">
        <f>SUMPRODUCT((TEXT(admissions!$AB$2:$AB$78,"yyyy-mm")=$A6)*(admissions!$U$2:$U$78))</f>
        <v/>
      </c>
      <c r="D6" s="23">
        <f>SUMPRODUCT((TEXT(payments!$C$2:$C$501,"yyyy-mm")=$A6)*(payments!$D$2:$D$501))</f>
        <v/>
      </c>
      <c r="E6" s="23">
        <f>SUMPRODUCT((TEXT(expenses!$A$2:$A$501,"yyyy-mm")=$A6)*(expenses!$D$2:$D$501))</f>
        <v/>
      </c>
      <c r="F6" s="23">
        <f>D6-E6</f>
        <v/>
      </c>
      <c r="G6" s="23">
        <f>SUMPRODUCT((TEXT(admissions!$AB$2:$AB$78,"yyyy-mm")&lt;=$A6)*(admissions!$W$2:$W$78))</f>
        <v/>
      </c>
      <c r="H6" s="13">
        <f>SUMPRODUCT((admissions!$W$2:$W$78&gt;0)*(TEXT(admissions!$AB$2:$AB$78,"yyyy-mm")&lt;=$A6))</f>
        <v/>
      </c>
      <c r="I6" s="23">
        <f>SUMPRODUCT((TEXT(expenses!$A$2:$A$501,"yyyy-mm")=$A6)*(expenses!$B$2:$B$501="Salary")*(expenses!$D$2:$D$501))</f>
        <v/>
      </c>
      <c r="J6" s="23">
        <f>SUMPRODUCT(((TEXT(expenses!$A$2:$A$501,"yyyy-mm")=$A6)*((expenses!$B$2:$B$501="Marketing")+(expenses!$B$2:$B$501="Advertisement")))*(expenses!$D$2:$D$501))</f>
        <v/>
      </c>
      <c r="K6" s="23">
        <f>SUMPRODUCT((TEXT(expenses!$A$2:$A$501,"yyyy-mm")=$A6)*(expenses!$B$2:$B$501="Rent")*(expenses!$D$2:$D$501))</f>
        <v/>
      </c>
      <c r="L6" s="23">
        <f>SUMPRODUCT((TEXT(expenses!$A$2:$A$501,"yyyy-mm")=$A6)*(expenses!$B$2:$B$501="Software")*(expenses!$D$2:$D$501))</f>
        <v/>
      </c>
      <c r="M6" s="23">
        <f>E6-I6-J6-K6-L6</f>
        <v/>
      </c>
    </row>
    <row r="7" ht="14.25" customHeight="1" s="84">
      <c r="A7" s="13" t="inlineStr">
        <is>
          <t>2026-06</t>
        </is>
      </c>
      <c r="B7" s="13" t="n"/>
      <c r="C7" s="23">
        <f>SUMPRODUCT((TEXT(admissions!$AB$2:$AB$78,"yyyy-mm")=$A7)*(admissions!$U$2:$U$78))</f>
        <v/>
      </c>
      <c r="D7" s="23">
        <f>SUMPRODUCT((TEXT(payments!$C$2:$C$501,"yyyy-mm")=$A7)*(payments!$D$2:$D$501))</f>
        <v/>
      </c>
      <c r="E7" s="23">
        <f>SUMPRODUCT((TEXT(expenses!$A$2:$A$501,"yyyy-mm")=$A7)*(expenses!$D$2:$D$501))</f>
        <v/>
      </c>
      <c r="F7" s="23">
        <f>D7-E7</f>
        <v/>
      </c>
      <c r="G7" s="23">
        <f>SUMPRODUCT((TEXT(admissions!$AB$2:$AB$78,"yyyy-mm")&lt;=$A7)*(admissions!$W$2:$W$78))</f>
        <v/>
      </c>
      <c r="H7" s="13">
        <f>SUMPRODUCT((admissions!$W$2:$W$78&gt;0)*(TEXT(admissions!$AB$2:$AB$78,"yyyy-mm")&lt;=$A7))</f>
        <v/>
      </c>
      <c r="I7" s="23">
        <f>SUMPRODUCT((TEXT(expenses!$A$2:$A$501,"yyyy-mm")=$A7)*(expenses!$B$2:$B$501="Salary")*(expenses!$D$2:$D$501))</f>
        <v/>
      </c>
      <c r="J7" s="23">
        <f>SUMPRODUCT(((TEXT(expenses!$A$2:$A$501,"yyyy-mm")=$A7)*((expenses!$B$2:$B$501="Marketing")+(expenses!$B$2:$B$501="Advertisement")))*(expenses!$D$2:$D$501))</f>
        <v/>
      </c>
      <c r="K7" s="23">
        <f>SUMPRODUCT((TEXT(expenses!$A$2:$A$501,"yyyy-mm")=$A7)*(expenses!$B$2:$B$501="Rent")*(expenses!$D$2:$D$501))</f>
        <v/>
      </c>
      <c r="L7" s="23">
        <f>SUMPRODUCT((TEXT(expenses!$A$2:$A$501,"yyyy-mm")=$A7)*(expenses!$B$2:$B$501="Software")*(expenses!$D$2:$D$501))</f>
        <v/>
      </c>
      <c r="M7" s="23">
        <f>E7-I7-J7-K7-L7</f>
        <v/>
      </c>
    </row>
    <row r="8" ht="14.25" customHeight="1" s="84">
      <c r="A8" s="13" t="inlineStr">
        <is>
          <t>2026-07</t>
        </is>
      </c>
      <c r="B8" s="13" t="n"/>
      <c r="C8" s="23">
        <f>SUMPRODUCT((TEXT(admissions!$AB$2:$AB$78,"yyyy-mm")=$A8)*(admissions!$U$2:$U$78))</f>
        <v/>
      </c>
      <c r="D8" s="23">
        <f>SUMPRODUCT((TEXT(payments!$C$2:$C$501,"yyyy-mm")=$A8)*(payments!$D$2:$D$501))</f>
        <v/>
      </c>
      <c r="E8" s="23">
        <f>SUMPRODUCT((TEXT(expenses!$A$2:$A$501,"yyyy-mm")=$A8)*(expenses!$D$2:$D$501))</f>
        <v/>
      </c>
      <c r="F8" s="23">
        <f>D8-E8</f>
        <v/>
      </c>
      <c r="G8" s="23">
        <f>SUMPRODUCT((TEXT(admissions!$AB$2:$AB$78,"yyyy-mm")&lt;=$A8)*(admissions!$W$2:$W$78))</f>
        <v/>
      </c>
      <c r="H8" s="13">
        <f>SUMPRODUCT((admissions!$W$2:$W$78&gt;0)*(TEXT(admissions!$AB$2:$AB$78,"yyyy-mm")&lt;=$A8))</f>
        <v/>
      </c>
      <c r="I8" s="23">
        <f>SUMPRODUCT((TEXT(expenses!$A$2:$A$501,"yyyy-mm")=$A8)*(expenses!$B$2:$B$501="Salary")*(expenses!$D$2:$D$501))</f>
        <v/>
      </c>
      <c r="J8" s="23">
        <f>SUMPRODUCT(((TEXT(expenses!$A$2:$A$501,"yyyy-mm")=$A8)*((expenses!$B$2:$B$501="Marketing")+(expenses!$B$2:$B$501="Advertisement")))*(expenses!$D$2:$D$501))</f>
        <v/>
      </c>
      <c r="K8" s="23">
        <f>SUMPRODUCT((TEXT(expenses!$A$2:$A$501,"yyyy-mm")=$A8)*(expenses!$B$2:$B$501="Rent")*(expenses!$D$2:$D$501))</f>
        <v/>
      </c>
      <c r="L8" s="23">
        <f>SUMPRODUCT((TEXT(expenses!$A$2:$A$501,"yyyy-mm")=$A8)*(expenses!$B$2:$B$501="Software")*(expenses!$D$2:$D$501))</f>
        <v/>
      </c>
      <c r="M8" s="23">
        <f>E8-I8-J8-K8-L8</f>
        <v/>
      </c>
    </row>
    <row r="9" ht="14.25" customHeight="1" s="84">
      <c r="A9" s="13" t="inlineStr">
        <is>
          <t>2026-08</t>
        </is>
      </c>
      <c r="B9" s="13" t="n"/>
      <c r="C9" s="23">
        <f>SUMPRODUCT((TEXT(admissions!$AB$2:$AB$78,"yyyy-mm")=$A9)*(admissions!$U$2:$U$78))</f>
        <v/>
      </c>
      <c r="D9" s="23">
        <f>SUMPRODUCT((TEXT(payments!$C$2:$C$501,"yyyy-mm")=$A9)*(payments!$D$2:$D$501))</f>
        <v/>
      </c>
      <c r="E9" s="23">
        <f>SUMPRODUCT((TEXT(expenses!$A$2:$A$501,"yyyy-mm")=$A9)*(expenses!$D$2:$D$501))</f>
        <v/>
      </c>
      <c r="F9" s="23">
        <f>D9-E9</f>
        <v/>
      </c>
      <c r="G9" s="23">
        <f>SUMPRODUCT((TEXT(admissions!$AB$2:$AB$78,"yyyy-mm")&lt;=$A9)*(admissions!$W$2:$W$78))</f>
        <v/>
      </c>
      <c r="H9" s="13">
        <f>SUMPRODUCT((admissions!$W$2:$W$78&gt;0)*(TEXT(admissions!$AB$2:$AB$78,"yyyy-mm")&lt;=$A9))</f>
        <v/>
      </c>
      <c r="I9" s="23">
        <f>SUMPRODUCT((TEXT(expenses!$A$2:$A$501,"yyyy-mm")=$A9)*(expenses!$B$2:$B$501="Salary")*(expenses!$D$2:$D$501))</f>
        <v/>
      </c>
      <c r="J9" s="23">
        <f>SUMPRODUCT(((TEXT(expenses!$A$2:$A$501,"yyyy-mm")=$A9)*((expenses!$B$2:$B$501="Marketing")+(expenses!$B$2:$B$501="Advertisement")))*(expenses!$D$2:$D$501))</f>
        <v/>
      </c>
      <c r="K9" s="23">
        <f>SUMPRODUCT((TEXT(expenses!$A$2:$A$501,"yyyy-mm")=$A9)*(expenses!$B$2:$B$501="Rent")*(expenses!$D$2:$D$501))</f>
        <v/>
      </c>
      <c r="L9" s="23">
        <f>SUMPRODUCT((TEXT(expenses!$A$2:$A$501,"yyyy-mm")=$A9)*(expenses!$B$2:$B$501="Software")*(expenses!$D$2:$D$501))</f>
        <v/>
      </c>
      <c r="M9" s="23">
        <f>E9-I9-J9-K9-L9</f>
        <v/>
      </c>
    </row>
    <row r="10" ht="14.25" customHeight="1" s="84">
      <c r="A10" s="13" t="inlineStr">
        <is>
          <t>2026-09</t>
        </is>
      </c>
      <c r="B10" s="13" t="n"/>
      <c r="C10" s="23">
        <f>SUMPRODUCT((TEXT(admissions!$AB$2:$AB$78,"yyyy-mm")=$A10)*(admissions!$U$2:$U$78))</f>
        <v/>
      </c>
      <c r="D10" s="23">
        <f>SUMPRODUCT((TEXT(payments!$C$2:$C$501,"yyyy-mm")=$A10)*(payments!$D$2:$D$501))</f>
        <v/>
      </c>
      <c r="E10" s="23">
        <f>SUMPRODUCT((TEXT(expenses!$A$2:$A$501,"yyyy-mm")=$A10)*(expenses!$D$2:$D$501))</f>
        <v/>
      </c>
      <c r="F10" s="23">
        <f>D10-E10</f>
        <v/>
      </c>
      <c r="G10" s="23">
        <f>SUMPRODUCT((TEXT(admissions!$AB$2:$AB$78,"yyyy-mm")&lt;=$A10)*(admissions!$W$2:$W$78))</f>
        <v/>
      </c>
      <c r="H10" s="13">
        <f>SUMPRODUCT((admissions!$W$2:$W$78&gt;0)*(TEXT(admissions!$AB$2:$AB$78,"yyyy-mm")&lt;=$A10))</f>
        <v/>
      </c>
      <c r="I10" s="23">
        <f>SUMPRODUCT((TEXT(expenses!$A$2:$A$501,"yyyy-mm")=$A10)*(expenses!$B$2:$B$501="Salary")*(expenses!$D$2:$D$501))</f>
        <v/>
      </c>
      <c r="J10" s="23">
        <f>SUMPRODUCT(((TEXT(expenses!$A$2:$A$501,"yyyy-mm")=$A10)*((expenses!$B$2:$B$501="Marketing")+(expenses!$B$2:$B$501="Advertisement")))*(expenses!$D$2:$D$501))</f>
        <v/>
      </c>
      <c r="K10" s="23">
        <f>SUMPRODUCT((TEXT(expenses!$A$2:$A$501,"yyyy-mm")=$A10)*(expenses!$B$2:$B$501="Rent")*(expenses!$D$2:$D$501))</f>
        <v/>
      </c>
      <c r="L10" s="23">
        <f>SUMPRODUCT((TEXT(expenses!$A$2:$A$501,"yyyy-mm")=$A10)*(expenses!$B$2:$B$501="Software")*(expenses!$D$2:$D$501))</f>
        <v/>
      </c>
      <c r="M10" s="23">
        <f>E10-I10-J10-K10-L10</f>
        <v/>
      </c>
    </row>
    <row r="11" ht="14.25" customHeight="1" s="84">
      <c r="A11" s="13" t="inlineStr">
        <is>
          <t>2026-10</t>
        </is>
      </c>
      <c r="B11" s="13" t="n"/>
      <c r="C11" s="23">
        <f>SUMPRODUCT((TEXT(admissions!$AB$2:$AB$78,"yyyy-mm")=$A11)*(admissions!$U$2:$U$78))</f>
        <v/>
      </c>
      <c r="D11" s="23">
        <f>SUMPRODUCT((TEXT(payments!$C$2:$C$501,"yyyy-mm")=$A11)*(payments!$D$2:$D$501))</f>
        <v/>
      </c>
      <c r="E11" s="23">
        <f>SUMPRODUCT((TEXT(expenses!$A$2:$A$501,"yyyy-mm")=$A11)*(expenses!$D$2:$D$501))</f>
        <v/>
      </c>
      <c r="F11" s="23">
        <f>D11-E11</f>
        <v/>
      </c>
      <c r="G11" s="23">
        <f>SUMPRODUCT((TEXT(admissions!$AB$2:$AB$78,"yyyy-mm")&lt;=$A11)*(admissions!$W$2:$W$78))</f>
        <v/>
      </c>
      <c r="H11" s="13">
        <f>SUMPRODUCT((admissions!$W$2:$W$78&gt;0)*(TEXT(admissions!$AB$2:$AB$78,"yyyy-mm")&lt;=$A11))</f>
        <v/>
      </c>
      <c r="I11" s="23">
        <f>SUMPRODUCT((TEXT(expenses!$A$2:$A$501,"yyyy-mm")=$A11)*(expenses!$B$2:$B$501="Salary")*(expenses!$D$2:$D$501))</f>
        <v/>
      </c>
      <c r="J11" s="23">
        <f>SUMPRODUCT(((TEXT(expenses!$A$2:$A$501,"yyyy-mm")=$A11)*((expenses!$B$2:$B$501="Marketing")+(expenses!$B$2:$B$501="Advertisement")))*(expenses!$D$2:$D$501))</f>
        <v/>
      </c>
      <c r="K11" s="23">
        <f>SUMPRODUCT((TEXT(expenses!$A$2:$A$501,"yyyy-mm")=$A11)*(expenses!$B$2:$B$501="Rent")*(expenses!$D$2:$D$501))</f>
        <v/>
      </c>
      <c r="L11" s="23">
        <f>SUMPRODUCT((TEXT(expenses!$A$2:$A$501,"yyyy-mm")=$A11)*(expenses!$B$2:$B$501="Software")*(expenses!$D$2:$D$501))</f>
        <v/>
      </c>
      <c r="M11" s="23">
        <f>E11-I11-J11-K11-L11</f>
        <v/>
      </c>
    </row>
    <row r="12" ht="14.25" customHeight="1" s="84">
      <c r="A12" s="13" t="inlineStr">
        <is>
          <t>2026-11</t>
        </is>
      </c>
      <c r="B12" s="13" t="n"/>
      <c r="C12" s="23">
        <f>SUMPRODUCT((TEXT(admissions!$AB$2:$AB$78,"yyyy-mm")=$A12)*(admissions!$U$2:$U$78))</f>
        <v/>
      </c>
      <c r="D12" s="23">
        <f>SUMPRODUCT((TEXT(payments!$C$2:$C$501,"yyyy-mm")=$A12)*(payments!$D$2:$D$501))</f>
        <v/>
      </c>
      <c r="E12" s="23">
        <f>SUMPRODUCT((TEXT(expenses!$A$2:$A$501,"yyyy-mm")=$A12)*(expenses!$D$2:$D$501))</f>
        <v/>
      </c>
      <c r="F12" s="23">
        <f>D12-E12</f>
        <v/>
      </c>
      <c r="G12" s="23">
        <f>SUMPRODUCT((TEXT(admissions!$AB$2:$AB$78,"yyyy-mm")&lt;=$A12)*(admissions!$W$2:$W$78))</f>
        <v/>
      </c>
      <c r="H12" s="13">
        <f>SUMPRODUCT((admissions!$W$2:$W$78&gt;0)*(TEXT(admissions!$AB$2:$AB$78,"yyyy-mm")&lt;=$A12))</f>
        <v/>
      </c>
      <c r="I12" s="23">
        <f>SUMPRODUCT((TEXT(expenses!$A$2:$A$501,"yyyy-mm")=$A12)*(expenses!$B$2:$B$501="Salary")*(expenses!$D$2:$D$501))</f>
        <v/>
      </c>
      <c r="J12" s="23">
        <f>SUMPRODUCT(((TEXT(expenses!$A$2:$A$501,"yyyy-mm")=$A12)*((expenses!$B$2:$B$501="Marketing")+(expenses!$B$2:$B$501="Advertisement")))*(expenses!$D$2:$D$501))</f>
        <v/>
      </c>
      <c r="K12" s="23">
        <f>SUMPRODUCT((TEXT(expenses!$A$2:$A$501,"yyyy-mm")=$A12)*(expenses!$B$2:$B$501="Rent")*(expenses!$D$2:$D$501))</f>
        <v/>
      </c>
      <c r="L12" s="23">
        <f>SUMPRODUCT((TEXT(expenses!$A$2:$A$501,"yyyy-mm")=$A12)*(expenses!$B$2:$B$501="Software")*(expenses!$D$2:$D$501))</f>
        <v/>
      </c>
      <c r="M12" s="23">
        <f>E12-I12-J12-K12-L12</f>
        <v/>
      </c>
    </row>
    <row r="13" ht="14.25" customHeight="1" s="84">
      <c r="A13" s="13" t="inlineStr">
        <is>
          <t>2026-12</t>
        </is>
      </c>
      <c r="B13" s="13" t="n"/>
      <c r="C13" s="23">
        <f>SUMPRODUCT((TEXT(admissions!$AB$2:$AB$78,"yyyy-mm")=$A13)*(admissions!$U$2:$U$78))</f>
        <v/>
      </c>
      <c r="D13" s="23">
        <f>SUMPRODUCT((TEXT(payments!$C$2:$C$501,"yyyy-mm")=$A13)*(payments!$D$2:$D$501))</f>
        <v/>
      </c>
      <c r="E13" s="23">
        <f>SUMPRODUCT((TEXT(expenses!$A$2:$A$501,"yyyy-mm")=$A13)*(expenses!$D$2:$D$501))</f>
        <v/>
      </c>
      <c r="F13" s="23">
        <f>D13-E13</f>
        <v/>
      </c>
      <c r="G13" s="23">
        <f>SUMPRODUCT((TEXT(admissions!$AB$2:$AB$78,"yyyy-mm")&lt;=$A13)*(admissions!$W$2:$W$78))</f>
        <v/>
      </c>
      <c r="H13" s="13">
        <f>SUMPRODUCT((admissions!$W$2:$W$78&gt;0)*(TEXT(admissions!$AB$2:$AB$78,"yyyy-mm")&lt;=$A13))</f>
        <v/>
      </c>
      <c r="I13" s="23">
        <f>SUMPRODUCT((TEXT(expenses!$A$2:$A$501,"yyyy-mm")=$A13)*(expenses!$B$2:$B$501="Salary")*(expenses!$D$2:$D$501))</f>
        <v/>
      </c>
      <c r="J13" s="23">
        <f>SUMPRODUCT(((TEXT(expenses!$A$2:$A$501,"yyyy-mm")=$A13)*((expenses!$B$2:$B$501="Marketing")+(expenses!$B$2:$B$501="Advertisement")))*(expenses!$D$2:$D$501))</f>
        <v/>
      </c>
      <c r="K13" s="23">
        <f>SUMPRODUCT((TEXT(expenses!$A$2:$A$501,"yyyy-mm")=$A13)*(expenses!$B$2:$B$501="Rent")*(expenses!$D$2:$D$501))</f>
        <v/>
      </c>
      <c r="L13" s="23">
        <f>SUMPRODUCT((TEXT(expenses!$A$2:$A$501,"yyyy-mm")=$A13)*(expenses!$B$2:$B$501="Software")*(expenses!$D$2:$D$501))</f>
        <v/>
      </c>
      <c r="M13" s="23">
        <f>E13-I13-J13-K13-L13</f>
        <v/>
      </c>
    </row>
    <row r="14" ht="14.25" customHeight="1" s="84"/>
    <row r="15" ht="14.25" customHeight="1" s="84"/>
    <row r="16" ht="14.25" customHeight="1" s="84"/>
    <row r="17" ht="14.25" customHeight="1" s="84"/>
    <row r="18" ht="14.25" customHeight="1" s="84"/>
    <row r="19" ht="14.25" customHeight="1" s="84"/>
    <row r="20" ht="14.25" customHeight="1" s="84"/>
    <row r="21" ht="14.25" customHeight="1" s="84"/>
    <row r="22" ht="14.25" customHeight="1" s="84"/>
    <row r="23" ht="14.25" customHeight="1" s="84"/>
    <row r="24" ht="14.25" customHeight="1" s="84"/>
    <row r="25" ht="14.25" customHeight="1" s="84"/>
    <row r="26" ht="14.25" customHeight="1" s="84"/>
    <row r="27" ht="14.25" customHeight="1" s="84"/>
    <row r="28" ht="14.25" customHeight="1" s="84"/>
    <row r="29" ht="14.25" customHeight="1" s="84"/>
    <row r="30" ht="14.25" customHeight="1" s="84"/>
    <row r="31" ht="14.25" customHeight="1" s="84"/>
    <row r="32" ht="14.25" customHeight="1" s="84"/>
    <row r="33" ht="14.25" customHeight="1" s="84"/>
    <row r="34" ht="14.25" customHeight="1" s="84"/>
    <row r="35" ht="14.25" customHeight="1" s="84"/>
    <row r="36" ht="14.25" customHeight="1" s="84"/>
    <row r="37" ht="14.25" customHeight="1" s="84"/>
    <row r="38" ht="14.25" customHeight="1" s="84"/>
    <row r="39" ht="14.25" customHeight="1" s="84"/>
    <row r="40" ht="14.25" customHeight="1" s="84"/>
    <row r="41" ht="14.25" customHeight="1" s="84"/>
    <row r="42" ht="14.25" customHeight="1" s="84"/>
    <row r="43" ht="14.25" customHeight="1" s="84"/>
    <row r="44" ht="14.25" customHeight="1" s="84"/>
    <row r="45" ht="14.25" customHeight="1" s="84"/>
    <row r="46" ht="14.25" customHeight="1" s="84"/>
    <row r="47" ht="14.25" customHeight="1" s="84"/>
    <row r="48" ht="14.25" customHeight="1" s="84"/>
    <row r="49" ht="14.25" customHeight="1" s="84"/>
    <row r="50" ht="14.25" customHeight="1" s="84"/>
    <row r="51" ht="14.25" customHeight="1" s="84"/>
    <row r="52" ht="14.25" customHeight="1" s="84"/>
    <row r="53" ht="14.25" customHeight="1" s="84"/>
    <row r="54" ht="14.25" customHeight="1" s="84"/>
    <row r="55" ht="14.25" customHeight="1" s="84"/>
    <row r="56" ht="14.25" customHeight="1" s="84"/>
    <row r="57" ht="14.25" customHeight="1" s="84"/>
    <row r="58" ht="14.25" customHeight="1" s="84"/>
    <row r="59" ht="14.25" customHeight="1" s="84"/>
    <row r="60" ht="14.25" customHeight="1" s="84"/>
    <row r="61" ht="14.25" customHeight="1" s="84"/>
    <row r="62" ht="14.25" customHeight="1" s="84"/>
    <row r="63" ht="14.25" customHeight="1" s="84"/>
    <row r="64" ht="14.25" customHeight="1" s="84"/>
    <row r="65" ht="14.25" customHeight="1" s="84"/>
    <row r="66" ht="14.25" customHeight="1" s="84"/>
    <row r="67" ht="14.25" customHeight="1" s="84"/>
    <row r="68" ht="14.25" customHeight="1" s="84"/>
    <row r="69" ht="14.25" customHeight="1" s="84"/>
    <row r="70" ht="14.25" customHeight="1" s="84"/>
    <row r="71" ht="14.25" customHeight="1" s="84"/>
    <row r="72" ht="14.25" customHeight="1" s="84"/>
    <row r="73" ht="14.25" customHeight="1" s="84"/>
    <row r="74" ht="14.25" customHeight="1" s="84"/>
    <row r="75" ht="14.25" customHeight="1" s="84"/>
    <row r="76" ht="14.25" customHeight="1" s="84"/>
    <row r="77" ht="14.25" customHeight="1" s="84"/>
    <row r="78" ht="14.25" customHeight="1" s="84"/>
    <row r="79" ht="14.25" customHeight="1" s="84"/>
    <row r="80" ht="14.25" customHeight="1" s="84"/>
    <row r="81" ht="14.25" customHeight="1" s="84"/>
    <row r="82" ht="14.25" customHeight="1" s="84"/>
    <row r="83" ht="14.25" customHeight="1" s="84"/>
    <row r="84" ht="14.25" customHeight="1" s="84"/>
    <row r="85" ht="14.25" customHeight="1" s="84"/>
    <row r="86" ht="14.25" customHeight="1" s="84"/>
    <row r="87" ht="14.25" customHeight="1" s="84"/>
    <row r="88" ht="14.25" customHeight="1" s="84"/>
    <row r="89" ht="14.25" customHeight="1" s="84"/>
    <row r="90" ht="14.25" customHeight="1" s="84"/>
    <row r="91" ht="14.25" customHeight="1" s="84"/>
    <row r="92" ht="14.25" customHeight="1" s="84"/>
    <row r="93" ht="14.25" customHeight="1" s="84"/>
    <row r="94" ht="14.25" customHeight="1" s="84"/>
    <row r="95" ht="14.25" customHeight="1" s="84"/>
    <row r="96" ht="14.25" customHeight="1" s="84"/>
    <row r="97" ht="14.25" customHeight="1" s="84"/>
    <row r="98" ht="14.25" customHeight="1" s="84"/>
    <row r="99" ht="14.25" customHeight="1" s="84"/>
    <row r="100" ht="14.25" customHeight="1" s="84"/>
    <row r="101" ht="14.25" customHeight="1" s="84"/>
    <row r="102" ht="14.25" customHeight="1" s="84"/>
    <row r="103" ht="14.25" customHeight="1" s="84"/>
    <row r="104" ht="14.25" customHeight="1" s="84"/>
    <row r="105" ht="14.25" customHeight="1" s="84"/>
    <row r="106" ht="14.25" customHeight="1" s="84"/>
    <row r="107" ht="14.25" customHeight="1" s="84"/>
    <row r="108" ht="14.25" customHeight="1" s="84"/>
    <row r="109" ht="14.25" customHeight="1" s="84"/>
    <row r="110" ht="14.25" customHeight="1" s="84"/>
    <row r="111" ht="14.25" customHeight="1" s="84"/>
    <row r="112" ht="14.25" customHeight="1" s="84"/>
    <row r="113" ht="14.25" customHeight="1" s="84"/>
    <row r="114" ht="14.25" customHeight="1" s="84"/>
    <row r="115" ht="14.25" customHeight="1" s="84"/>
    <row r="116" ht="14.25" customHeight="1" s="84"/>
    <row r="117" ht="14.25" customHeight="1" s="84"/>
    <row r="118" ht="14.25" customHeight="1" s="84"/>
    <row r="119" ht="14.25" customHeight="1" s="84"/>
    <row r="120" ht="14.25" customHeight="1" s="84"/>
    <row r="121" ht="14.25" customHeight="1" s="84"/>
    <row r="122" ht="14.25" customHeight="1" s="84"/>
    <row r="123" ht="14.25" customHeight="1" s="84"/>
    <row r="124" ht="14.25" customHeight="1" s="84"/>
    <row r="125" ht="14.25" customHeight="1" s="84"/>
    <row r="126" ht="14.25" customHeight="1" s="84"/>
    <row r="127" ht="14.25" customHeight="1" s="84"/>
    <row r="128" ht="14.25" customHeight="1" s="84"/>
    <row r="129" ht="14.25" customHeight="1" s="84"/>
    <row r="130" ht="14.25" customHeight="1" s="84"/>
    <row r="131" ht="14.25" customHeight="1" s="84"/>
    <row r="132" ht="14.25" customHeight="1" s="84"/>
    <row r="133" ht="14.25" customHeight="1" s="84"/>
    <row r="134" ht="14.25" customHeight="1" s="84"/>
    <row r="135" ht="14.25" customHeight="1" s="84"/>
    <row r="136" ht="14.25" customHeight="1" s="84"/>
    <row r="137" ht="14.25" customHeight="1" s="84"/>
    <row r="138" ht="14.25" customHeight="1" s="84"/>
    <row r="139" ht="14.25" customHeight="1" s="84"/>
    <row r="140" ht="14.25" customHeight="1" s="84"/>
    <row r="141" ht="14.25" customHeight="1" s="84"/>
    <row r="142" ht="14.25" customHeight="1" s="84"/>
    <row r="143" ht="14.25" customHeight="1" s="84"/>
    <row r="144" ht="14.25" customHeight="1" s="84"/>
    <row r="145" ht="14.25" customHeight="1" s="84"/>
    <row r="146" ht="14.25" customHeight="1" s="84"/>
    <row r="147" ht="14.25" customHeight="1" s="84"/>
    <row r="148" ht="14.25" customHeight="1" s="84"/>
    <row r="149" ht="14.25" customHeight="1" s="84"/>
    <row r="150" ht="14.25" customHeight="1" s="84"/>
    <row r="151" ht="14.25" customHeight="1" s="84"/>
    <row r="152" ht="14.25" customHeight="1" s="84"/>
    <row r="153" ht="14.25" customHeight="1" s="84"/>
    <row r="154" ht="14.25" customHeight="1" s="84"/>
    <row r="155" ht="14.25" customHeight="1" s="84"/>
    <row r="156" ht="14.25" customHeight="1" s="84"/>
    <row r="157" ht="14.25" customHeight="1" s="84"/>
    <row r="158" ht="14.25" customHeight="1" s="84"/>
    <row r="159" ht="14.25" customHeight="1" s="84"/>
    <row r="160" ht="14.25" customHeight="1" s="84"/>
    <row r="161" ht="14.25" customHeight="1" s="84"/>
    <row r="162" ht="14.25" customHeight="1" s="84"/>
    <row r="163" ht="14.25" customHeight="1" s="84"/>
    <row r="164" ht="14.25" customHeight="1" s="84"/>
    <row r="165" ht="14.25" customHeight="1" s="84"/>
    <row r="166" ht="14.25" customHeight="1" s="84"/>
    <row r="167" ht="14.25" customHeight="1" s="84"/>
    <row r="168" ht="14.25" customHeight="1" s="84"/>
    <row r="169" ht="14.25" customHeight="1" s="84"/>
    <row r="170" ht="14.25" customHeight="1" s="84"/>
    <row r="171" ht="14.25" customHeight="1" s="84"/>
    <row r="172" ht="14.25" customHeight="1" s="84"/>
    <row r="173" ht="14.25" customHeight="1" s="84"/>
    <row r="174" ht="14.25" customHeight="1" s="84"/>
    <row r="175" ht="14.25" customHeight="1" s="84"/>
    <row r="176" ht="14.25" customHeight="1" s="84"/>
    <row r="177" ht="14.25" customHeight="1" s="84"/>
    <row r="178" ht="14.25" customHeight="1" s="84"/>
    <row r="179" ht="14.25" customHeight="1" s="84"/>
    <row r="180" ht="14.25" customHeight="1" s="84"/>
    <row r="181" ht="14.25" customHeight="1" s="84"/>
    <row r="182" ht="14.25" customHeight="1" s="84"/>
    <row r="183" ht="14.25" customHeight="1" s="84"/>
    <row r="184" ht="14.25" customHeight="1" s="84"/>
    <row r="185" ht="14.25" customHeight="1" s="84"/>
    <row r="186" ht="14.25" customHeight="1" s="84"/>
    <row r="187" ht="14.25" customHeight="1" s="84"/>
    <row r="188" ht="14.25" customHeight="1" s="84"/>
    <row r="189" ht="14.25" customHeight="1" s="84"/>
    <row r="190" ht="14.25" customHeight="1" s="84"/>
    <row r="191" ht="14.25" customHeight="1" s="84"/>
    <row r="192" ht="14.25" customHeight="1" s="84"/>
    <row r="193" ht="14.25" customHeight="1" s="84"/>
    <row r="194" ht="14.25" customHeight="1" s="84"/>
    <row r="195" ht="14.25" customHeight="1" s="84"/>
    <row r="196" ht="14.25" customHeight="1" s="84"/>
    <row r="197" ht="14.25" customHeight="1" s="84"/>
    <row r="198" ht="14.25" customHeight="1" s="84"/>
    <row r="199" ht="14.25" customHeight="1" s="84"/>
    <row r="200" ht="14.25" customHeight="1" s="84"/>
    <row r="201" ht="14.25" customHeight="1" s="84"/>
    <row r="202" ht="14.25" customHeight="1" s="84"/>
    <row r="203" ht="14.25" customHeight="1" s="84"/>
    <row r="204" ht="14.25" customHeight="1" s="84"/>
    <row r="205" ht="14.25" customHeight="1" s="84"/>
    <row r="206" ht="14.25" customHeight="1" s="84"/>
    <row r="207" ht="14.25" customHeight="1" s="84"/>
    <row r="208" ht="14.25" customHeight="1" s="84"/>
    <row r="209" ht="14.25" customHeight="1" s="84"/>
    <row r="210" ht="14.25" customHeight="1" s="84"/>
    <row r="211" ht="14.25" customHeight="1" s="84"/>
    <row r="212" ht="14.25" customHeight="1" s="84"/>
    <row r="213" ht="14.25" customHeight="1" s="84"/>
    <row r="214" ht="14.25" customHeight="1" s="84"/>
    <row r="215" ht="14.25" customHeight="1" s="84"/>
    <row r="216" ht="14.25" customHeight="1" s="84"/>
    <row r="217" ht="14.25" customHeight="1" s="84"/>
    <row r="218" ht="14.25" customHeight="1" s="84"/>
    <row r="219" ht="14.25" customHeight="1" s="84"/>
    <row r="220" ht="14.25" customHeight="1" s="84"/>
    <row r="221" ht="14.25" customHeight="1" s="84"/>
    <row r="222" ht="14.25" customHeight="1" s="84"/>
    <row r="223" ht="14.25" customHeight="1" s="84"/>
    <row r="224" ht="14.25" customHeight="1" s="84"/>
    <row r="225" ht="14.25" customHeight="1" s="84"/>
    <row r="226" ht="14.25" customHeight="1" s="84"/>
    <row r="227" ht="14.25" customHeight="1" s="84"/>
    <row r="228" ht="14.25" customHeight="1" s="84"/>
    <row r="229" ht="14.25" customHeight="1" s="84"/>
    <row r="230" ht="14.25" customHeight="1" s="84"/>
    <row r="231" ht="14.25" customHeight="1" s="84"/>
    <row r="232" ht="14.25" customHeight="1" s="84"/>
    <row r="233" ht="14.25" customHeight="1" s="84"/>
    <row r="234" ht="14.25" customHeight="1" s="84"/>
    <row r="235" ht="14.25" customHeight="1" s="84"/>
    <row r="236" ht="14.25" customHeight="1" s="84"/>
    <row r="237" ht="14.25" customHeight="1" s="84"/>
    <row r="238" ht="14.25" customHeight="1" s="84"/>
    <row r="239" ht="14.25" customHeight="1" s="84"/>
    <row r="240" ht="14.25" customHeight="1" s="84"/>
    <row r="241" ht="14.25" customHeight="1" s="84"/>
    <row r="242" ht="14.25" customHeight="1" s="84"/>
    <row r="243" ht="14.25" customHeight="1" s="84"/>
    <row r="244" ht="14.25" customHeight="1" s="84"/>
    <row r="245" ht="14.25" customHeight="1" s="84"/>
    <row r="246" ht="14.25" customHeight="1" s="84"/>
    <row r="247" ht="14.25" customHeight="1" s="84"/>
    <row r="248" ht="14.25" customHeight="1" s="84"/>
    <row r="249" ht="14.25" customHeight="1" s="84"/>
    <row r="250" ht="14.25" customHeight="1" s="84"/>
    <row r="251" ht="14.25" customHeight="1" s="84"/>
    <row r="252" ht="14.25" customHeight="1" s="84"/>
    <row r="253" ht="14.25" customHeight="1" s="84"/>
    <row r="254" ht="14.25" customHeight="1" s="84"/>
    <row r="255" ht="14.25" customHeight="1" s="84"/>
    <row r="256" ht="14.25" customHeight="1" s="84"/>
    <row r="257" ht="14.25" customHeight="1" s="84"/>
    <row r="258" ht="14.25" customHeight="1" s="84"/>
    <row r="259" ht="14.25" customHeight="1" s="84"/>
    <row r="260" ht="14.25" customHeight="1" s="84"/>
    <row r="261" ht="14.25" customHeight="1" s="84"/>
    <row r="262" ht="14.25" customHeight="1" s="84"/>
    <row r="263" ht="14.25" customHeight="1" s="84"/>
    <row r="264" ht="14.25" customHeight="1" s="84"/>
    <row r="265" ht="14.25" customHeight="1" s="84"/>
    <row r="266" ht="14.25" customHeight="1" s="84"/>
    <row r="267" ht="14.25" customHeight="1" s="84"/>
    <row r="268" ht="14.25" customHeight="1" s="84"/>
    <row r="269" ht="14.25" customHeight="1" s="84"/>
    <row r="270" ht="14.25" customHeight="1" s="84"/>
    <row r="271" ht="14.25" customHeight="1" s="84"/>
    <row r="272" ht="14.25" customHeight="1" s="84"/>
    <row r="273" ht="14.25" customHeight="1" s="84"/>
    <row r="274" ht="14.25" customHeight="1" s="84"/>
    <row r="275" ht="14.25" customHeight="1" s="84"/>
    <row r="276" ht="14.25" customHeight="1" s="84"/>
    <row r="277" ht="14.25" customHeight="1" s="84"/>
    <row r="278" ht="14.25" customHeight="1" s="84"/>
    <row r="279" ht="14.25" customHeight="1" s="84"/>
    <row r="280" ht="14.25" customHeight="1" s="84"/>
    <row r="281" ht="14.25" customHeight="1" s="84"/>
    <row r="282" ht="14.25" customHeight="1" s="84"/>
    <row r="283" ht="14.25" customHeight="1" s="84"/>
    <row r="284" ht="14.25" customHeight="1" s="84"/>
    <row r="285" ht="14.25" customHeight="1" s="84"/>
    <row r="286" ht="14.25" customHeight="1" s="84"/>
    <row r="287" ht="14.25" customHeight="1" s="84"/>
    <row r="288" ht="14.25" customHeight="1" s="84"/>
    <row r="289" ht="14.25" customHeight="1" s="84"/>
    <row r="290" ht="14.25" customHeight="1" s="84"/>
    <row r="291" ht="14.25" customHeight="1" s="84"/>
    <row r="292" ht="14.25" customHeight="1" s="84"/>
    <row r="293" ht="14.25" customHeight="1" s="84"/>
    <row r="294" ht="14.25" customHeight="1" s="84"/>
    <row r="295" ht="14.25" customHeight="1" s="84"/>
    <row r="296" ht="14.25" customHeight="1" s="84"/>
    <row r="297" ht="14.25" customHeight="1" s="84"/>
    <row r="298" ht="14.25" customHeight="1" s="84"/>
    <row r="299" ht="14.25" customHeight="1" s="84"/>
    <row r="300" ht="14.25" customHeight="1" s="84"/>
    <row r="301" ht="14.25" customHeight="1" s="84"/>
    <row r="302" ht="14.25" customHeight="1" s="84"/>
    <row r="303" ht="14.25" customHeight="1" s="84"/>
    <row r="304" ht="14.25" customHeight="1" s="84"/>
    <row r="305" ht="14.25" customHeight="1" s="84"/>
    <row r="306" ht="14.25" customHeight="1" s="84"/>
    <row r="307" ht="14.25" customHeight="1" s="84"/>
    <row r="308" ht="14.25" customHeight="1" s="84"/>
    <row r="309" ht="14.25" customHeight="1" s="84"/>
    <row r="310" ht="14.25" customHeight="1" s="84"/>
    <row r="311" ht="14.25" customHeight="1" s="84"/>
    <row r="312" ht="14.25" customHeight="1" s="84"/>
    <row r="313" ht="14.25" customHeight="1" s="84"/>
    <row r="314" ht="14.25" customHeight="1" s="84"/>
    <row r="315" ht="14.25" customHeight="1" s="84"/>
    <row r="316" ht="14.25" customHeight="1" s="84"/>
    <row r="317" ht="14.25" customHeight="1" s="84"/>
    <row r="318" ht="14.25" customHeight="1" s="84"/>
    <row r="319" ht="14.25" customHeight="1" s="84"/>
    <row r="320" ht="14.25" customHeight="1" s="84"/>
    <row r="321" ht="14.25" customHeight="1" s="84"/>
    <row r="322" ht="14.25" customHeight="1" s="84"/>
    <row r="323" ht="14.25" customHeight="1" s="84"/>
    <row r="324" ht="14.25" customHeight="1" s="84"/>
    <row r="325" ht="14.25" customHeight="1" s="84"/>
    <row r="326" ht="14.25" customHeight="1" s="84"/>
    <row r="327" ht="14.25" customHeight="1" s="84"/>
    <row r="328" ht="14.25" customHeight="1" s="84"/>
    <row r="329" ht="14.25" customHeight="1" s="84"/>
    <row r="330" ht="14.25" customHeight="1" s="84"/>
    <row r="331" ht="14.25" customHeight="1" s="84"/>
    <row r="332" ht="14.25" customHeight="1" s="84"/>
    <row r="333" ht="14.25" customHeight="1" s="84"/>
    <row r="334" ht="14.25" customHeight="1" s="84"/>
    <row r="335" ht="14.25" customHeight="1" s="84"/>
    <row r="336" ht="14.25" customHeight="1" s="84"/>
    <row r="337" ht="14.25" customHeight="1" s="84"/>
    <row r="338" ht="14.25" customHeight="1" s="84"/>
    <row r="339" ht="14.25" customHeight="1" s="84"/>
    <row r="340" ht="14.25" customHeight="1" s="84"/>
    <row r="341" ht="14.25" customHeight="1" s="84"/>
    <row r="342" ht="14.25" customHeight="1" s="84"/>
    <row r="343" ht="14.25" customHeight="1" s="84"/>
    <row r="344" ht="14.25" customHeight="1" s="84"/>
    <row r="345" ht="14.25" customHeight="1" s="84"/>
    <row r="346" ht="14.25" customHeight="1" s="84"/>
    <row r="347" ht="14.25" customHeight="1" s="84"/>
    <row r="348" ht="14.25" customHeight="1" s="84"/>
    <row r="349" ht="14.25" customHeight="1" s="84"/>
    <row r="350" ht="14.25" customHeight="1" s="84"/>
    <row r="351" ht="14.25" customHeight="1" s="84"/>
    <row r="352" ht="14.25" customHeight="1" s="84"/>
    <row r="353" ht="14.25" customHeight="1" s="84"/>
    <row r="354" ht="14.25" customHeight="1" s="84"/>
    <row r="355" ht="14.25" customHeight="1" s="84"/>
    <row r="356" ht="14.25" customHeight="1" s="84"/>
    <row r="357" ht="14.25" customHeight="1" s="84"/>
    <row r="358" ht="14.25" customHeight="1" s="84"/>
    <row r="359" ht="14.25" customHeight="1" s="84"/>
    <row r="360" ht="14.25" customHeight="1" s="84"/>
    <row r="361" ht="14.25" customHeight="1" s="84"/>
    <row r="362" ht="14.25" customHeight="1" s="84"/>
    <row r="363" ht="14.25" customHeight="1" s="84"/>
    <row r="364" ht="14.25" customHeight="1" s="84"/>
    <row r="365" ht="14.25" customHeight="1" s="84"/>
    <row r="366" ht="14.25" customHeight="1" s="84"/>
    <row r="367" ht="14.25" customHeight="1" s="84"/>
    <row r="368" ht="14.25" customHeight="1" s="84"/>
    <row r="369" ht="14.25" customHeight="1" s="84"/>
    <row r="370" ht="14.25" customHeight="1" s="84"/>
    <row r="371" ht="14.25" customHeight="1" s="84"/>
    <row r="372" ht="14.25" customHeight="1" s="84"/>
    <row r="373" ht="14.25" customHeight="1" s="84"/>
    <row r="374" ht="14.25" customHeight="1" s="84"/>
    <row r="375" ht="14.25" customHeight="1" s="84"/>
    <row r="376" ht="14.25" customHeight="1" s="84"/>
    <row r="377" ht="14.25" customHeight="1" s="84"/>
    <row r="378" ht="14.25" customHeight="1" s="84"/>
    <row r="379" ht="14.25" customHeight="1" s="84"/>
    <row r="380" ht="14.25" customHeight="1" s="84"/>
    <row r="381" ht="14.25" customHeight="1" s="84"/>
    <row r="382" ht="14.25" customHeight="1" s="84"/>
    <row r="383" ht="14.25" customHeight="1" s="84"/>
    <row r="384" ht="14.25" customHeight="1" s="84"/>
    <row r="385" ht="14.25" customHeight="1" s="84"/>
    <row r="386" ht="14.25" customHeight="1" s="84"/>
    <row r="387" ht="14.25" customHeight="1" s="84"/>
    <row r="388" ht="14.25" customHeight="1" s="84"/>
    <row r="389" ht="14.25" customHeight="1" s="84"/>
    <row r="390" ht="14.25" customHeight="1" s="84"/>
    <row r="391" ht="14.25" customHeight="1" s="84"/>
    <row r="392" ht="14.25" customHeight="1" s="84"/>
    <row r="393" ht="14.25" customHeight="1" s="84"/>
    <row r="394" ht="14.25" customHeight="1" s="84"/>
    <row r="395" ht="14.25" customHeight="1" s="84"/>
    <row r="396" ht="14.25" customHeight="1" s="84"/>
    <row r="397" ht="14.25" customHeight="1" s="84"/>
    <row r="398" ht="14.25" customHeight="1" s="84"/>
    <row r="399" ht="14.25" customHeight="1" s="84"/>
    <row r="400" ht="14.25" customHeight="1" s="84"/>
    <row r="401" ht="14.25" customHeight="1" s="84"/>
    <row r="402" ht="14.25" customHeight="1" s="84"/>
    <row r="403" ht="14.25" customHeight="1" s="84"/>
    <row r="404" ht="14.25" customHeight="1" s="84"/>
    <row r="405" ht="14.25" customHeight="1" s="84"/>
    <row r="406" ht="14.25" customHeight="1" s="84"/>
    <row r="407" ht="14.25" customHeight="1" s="84"/>
    <row r="408" ht="14.25" customHeight="1" s="84"/>
    <row r="409" ht="14.25" customHeight="1" s="84"/>
    <row r="410" ht="14.25" customHeight="1" s="84"/>
    <row r="411" ht="14.25" customHeight="1" s="84"/>
    <row r="412" ht="14.25" customHeight="1" s="84"/>
    <row r="413" ht="14.25" customHeight="1" s="84"/>
    <row r="414" ht="14.25" customHeight="1" s="84"/>
    <row r="415" ht="14.25" customHeight="1" s="84"/>
    <row r="416" ht="14.25" customHeight="1" s="84"/>
    <row r="417" ht="14.25" customHeight="1" s="84"/>
    <row r="418" ht="14.25" customHeight="1" s="84"/>
    <row r="419" ht="14.25" customHeight="1" s="84"/>
    <row r="420" ht="14.25" customHeight="1" s="84"/>
    <row r="421" ht="14.25" customHeight="1" s="84"/>
    <row r="422" ht="14.25" customHeight="1" s="84"/>
    <row r="423" ht="14.25" customHeight="1" s="84"/>
    <row r="424" ht="14.25" customHeight="1" s="84"/>
    <row r="425" ht="14.25" customHeight="1" s="84"/>
    <row r="426" ht="14.25" customHeight="1" s="84"/>
    <row r="427" ht="14.25" customHeight="1" s="84"/>
    <row r="428" ht="14.25" customHeight="1" s="84"/>
    <row r="429" ht="14.25" customHeight="1" s="84"/>
    <row r="430" ht="14.25" customHeight="1" s="84"/>
    <row r="431" ht="14.25" customHeight="1" s="84"/>
    <row r="432" ht="14.25" customHeight="1" s="84"/>
    <row r="433" ht="14.25" customHeight="1" s="84"/>
    <row r="434" ht="14.25" customHeight="1" s="84"/>
    <row r="435" ht="14.25" customHeight="1" s="84"/>
    <row r="436" ht="14.25" customHeight="1" s="84"/>
    <row r="437" ht="14.25" customHeight="1" s="84"/>
    <row r="438" ht="14.25" customHeight="1" s="84"/>
    <row r="439" ht="14.25" customHeight="1" s="84"/>
    <row r="440" ht="14.25" customHeight="1" s="84"/>
    <row r="441" ht="14.25" customHeight="1" s="84"/>
    <row r="442" ht="14.25" customHeight="1" s="84"/>
    <row r="443" ht="14.25" customHeight="1" s="84"/>
    <row r="444" ht="14.25" customHeight="1" s="84"/>
    <row r="445" ht="14.25" customHeight="1" s="84"/>
    <row r="446" ht="14.25" customHeight="1" s="84"/>
    <row r="447" ht="14.25" customHeight="1" s="84"/>
    <row r="448" ht="14.25" customHeight="1" s="84"/>
    <row r="449" ht="14.25" customHeight="1" s="84"/>
    <row r="450" ht="14.25" customHeight="1" s="84"/>
    <row r="451" ht="14.25" customHeight="1" s="84"/>
    <row r="452" ht="14.25" customHeight="1" s="84"/>
    <row r="453" ht="14.25" customHeight="1" s="84"/>
    <row r="454" ht="14.25" customHeight="1" s="84"/>
    <row r="455" ht="14.25" customHeight="1" s="84"/>
    <row r="456" ht="14.25" customHeight="1" s="84"/>
    <row r="457" ht="14.25" customHeight="1" s="84"/>
    <row r="458" ht="14.25" customHeight="1" s="84"/>
    <row r="459" ht="14.25" customHeight="1" s="84"/>
    <row r="460" ht="14.25" customHeight="1" s="84"/>
    <row r="461" ht="14.25" customHeight="1" s="84"/>
    <row r="462" ht="14.25" customHeight="1" s="84"/>
    <row r="463" ht="14.25" customHeight="1" s="84"/>
    <row r="464" ht="14.25" customHeight="1" s="84"/>
    <row r="465" ht="14.25" customHeight="1" s="84"/>
    <row r="466" ht="14.25" customHeight="1" s="84"/>
    <row r="467" ht="14.25" customHeight="1" s="84"/>
    <row r="468" ht="14.25" customHeight="1" s="84"/>
    <row r="469" ht="14.25" customHeight="1" s="84"/>
    <row r="470" ht="14.25" customHeight="1" s="84"/>
    <row r="471" ht="14.25" customHeight="1" s="84"/>
    <row r="472" ht="14.25" customHeight="1" s="84"/>
    <row r="473" ht="14.25" customHeight="1" s="84"/>
    <row r="474" ht="14.25" customHeight="1" s="84"/>
    <row r="475" ht="14.25" customHeight="1" s="84"/>
    <row r="476" ht="14.25" customHeight="1" s="84"/>
    <row r="477" ht="14.25" customHeight="1" s="84"/>
    <row r="478" ht="14.25" customHeight="1" s="84"/>
    <row r="479" ht="14.25" customHeight="1" s="84"/>
    <row r="480" ht="14.25" customHeight="1" s="84"/>
    <row r="481" ht="14.25" customHeight="1" s="84"/>
    <row r="482" ht="14.25" customHeight="1" s="84"/>
    <row r="483" ht="14.25" customHeight="1" s="84"/>
    <row r="484" ht="14.25" customHeight="1" s="84"/>
    <row r="485" ht="14.25" customHeight="1" s="84"/>
    <row r="486" ht="14.25" customHeight="1" s="84"/>
    <row r="487" ht="14.25" customHeight="1" s="84"/>
    <row r="488" ht="14.25" customHeight="1" s="84"/>
    <row r="489" ht="14.25" customHeight="1" s="84"/>
    <row r="490" ht="14.25" customHeight="1" s="84"/>
    <row r="491" ht="14.25" customHeight="1" s="84"/>
    <row r="492" ht="14.25" customHeight="1" s="84"/>
    <row r="493" ht="14.25" customHeight="1" s="84"/>
    <row r="494" ht="14.25" customHeight="1" s="84"/>
    <row r="495" ht="14.25" customHeight="1" s="84"/>
    <row r="496" ht="14.25" customHeight="1" s="84"/>
    <row r="497" ht="14.25" customHeight="1" s="84"/>
    <row r="498" ht="14.25" customHeight="1" s="84"/>
    <row r="499" ht="14.25" customHeight="1" s="84"/>
    <row r="500" ht="14.25" customHeight="1" s="84"/>
    <row r="501" ht="14.25" customHeight="1" s="84"/>
    <row r="502" ht="14.25" customHeight="1" s="84"/>
    <row r="503" ht="14.25" customHeight="1" s="84"/>
    <row r="504" ht="14.25" customHeight="1" s="84"/>
    <row r="505" ht="14.25" customHeight="1" s="84"/>
    <row r="506" ht="14.25" customHeight="1" s="84"/>
    <row r="507" ht="14.25" customHeight="1" s="84"/>
    <row r="508" ht="14.25" customHeight="1" s="84"/>
    <row r="509" ht="14.25" customHeight="1" s="84"/>
    <row r="510" ht="14.25" customHeight="1" s="84"/>
    <row r="511" ht="14.25" customHeight="1" s="84"/>
    <row r="512" ht="14.25" customHeight="1" s="84"/>
    <row r="513" ht="14.25" customHeight="1" s="84"/>
    <row r="514" ht="14.25" customHeight="1" s="84"/>
    <row r="515" ht="14.25" customHeight="1" s="84"/>
    <row r="516" ht="14.25" customHeight="1" s="84"/>
    <row r="517" ht="14.25" customHeight="1" s="84"/>
    <row r="518" ht="14.25" customHeight="1" s="84"/>
    <row r="519" ht="14.25" customHeight="1" s="84"/>
    <row r="520" ht="14.25" customHeight="1" s="84"/>
    <row r="521" ht="14.25" customHeight="1" s="84"/>
    <row r="522" ht="14.25" customHeight="1" s="84"/>
    <row r="523" ht="14.25" customHeight="1" s="84"/>
    <row r="524" ht="14.25" customHeight="1" s="84"/>
    <row r="525" ht="14.25" customHeight="1" s="84"/>
    <row r="526" ht="14.25" customHeight="1" s="84"/>
    <row r="527" ht="14.25" customHeight="1" s="84"/>
    <row r="528" ht="14.25" customHeight="1" s="84"/>
    <row r="529" ht="14.25" customHeight="1" s="84"/>
    <row r="530" ht="14.25" customHeight="1" s="84"/>
    <row r="531" ht="14.25" customHeight="1" s="84"/>
    <row r="532" ht="14.25" customHeight="1" s="84"/>
    <row r="533" ht="14.25" customHeight="1" s="84"/>
    <row r="534" ht="14.25" customHeight="1" s="84"/>
    <row r="535" ht="14.25" customHeight="1" s="84"/>
    <row r="536" ht="14.25" customHeight="1" s="84"/>
    <row r="537" ht="14.25" customHeight="1" s="84"/>
    <row r="538" ht="14.25" customHeight="1" s="84"/>
    <row r="539" ht="14.25" customHeight="1" s="84"/>
    <row r="540" ht="14.25" customHeight="1" s="84"/>
    <row r="541" ht="14.25" customHeight="1" s="84"/>
    <row r="542" ht="14.25" customHeight="1" s="84"/>
    <row r="543" ht="14.25" customHeight="1" s="84"/>
    <row r="544" ht="14.25" customHeight="1" s="84"/>
    <row r="545" ht="14.25" customHeight="1" s="84"/>
    <row r="546" ht="14.25" customHeight="1" s="84"/>
    <row r="547" ht="14.25" customHeight="1" s="84"/>
    <row r="548" ht="14.25" customHeight="1" s="84"/>
    <row r="549" ht="14.25" customHeight="1" s="84"/>
    <row r="550" ht="14.25" customHeight="1" s="84"/>
    <row r="551" ht="14.25" customHeight="1" s="84"/>
    <row r="552" ht="14.25" customHeight="1" s="84"/>
    <row r="553" ht="14.25" customHeight="1" s="84"/>
    <row r="554" ht="14.25" customHeight="1" s="84"/>
    <row r="555" ht="14.25" customHeight="1" s="84"/>
    <row r="556" ht="14.25" customHeight="1" s="84"/>
    <row r="557" ht="14.25" customHeight="1" s="84"/>
    <row r="558" ht="14.25" customHeight="1" s="84"/>
    <row r="559" ht="14.25" customHeight="1" s="84"/>
    <row r="560" ht="14.25" customHeight="1" s="84"/>
    <row r="561" ht="14.25" customHeight="1" s="84"/>
    <row r="562" ht="14.25" customHeight="1" s="84"/>
    <row r="563" ht="14.25" customHeight="1" s="84"/>
    <row r="564" ht="14.25" customHeight="1" s="84"/>
    <row r="565" ht="14.25" customHeight="1" s="84"/>
    <row r="566" ht="14.25" customHeight="1" s="84"/>
    <row r="567" ht="14.25" customHeight="1" s="84"/>
    <row r="568" ht="14.25" customHeight="1" s="84"/>
    <row r="569" ht="14.25" customHeight="1" s="84"/>
    <row r="570" ht="14.25" customHeight="1" s="84"/>
    <row r="571" ht="14.25" customHeight="1" s="84"/>
    <row r="572" ht="14.25" customHeight="1" s="84"/>
    <row r="573" ht="14.25" customHeight="1" s="84"/>
    <row r="574" ht="14.25" customHeight="1" s="84"/>
    <row r="575" ht="14.25" customHeight="1" s="84"/>
    <row r="576" ht="14.25" customHeight="1" s="84"/>
    <row r="577" ht="14.25" customHeight="1" s="84"/>
    <row r="578" ht="14.25" customHeight="1" s="84"/>
    <row r="579" ht="14.25" customHeight="1" s="84"/>
    <row r="580" ht="14.25" customHeight="1" s="84"/>
    <row r="581" ht="14.25" customHeight="1" s="84"/>
    <row r="582" ht="14.25" customHeight="1" s="84"/>
    <row r="583" ht="14.25" customHeight="1" s="84"/>
    <row r="584" ht="14.25" customHeight="1" s="84"/>
    <row r="585" ht="14.25" customHeight="1" s="84"/>
    <row r="586" ht="14.25" customHeight="1" s="84"/>
    <row r="587" ht="14.25" customHeight="1" s="84"/>
    <row r="588" ht="14.25" customHeight="1" s="84"/>
    <row r="589" ht="14.25" customHeight="1" s="84"/>
    <row r="590" ht="14.25" customHeight="1" s="84"/>
    <row r="591" ht="14.25" customHeight="1" s="84"/>
    <row r="592" ht="14.25" customHeight="1" s="84"/>
    <row r="593" ht="14.25" customHeight="1" s="84"/>
    <row r="594" ht="14.25" customHeight="1" s="84"/>
    <row r="595" ht="14.25" customHeight="1" s="84"/>
    <row r="596" ht="14.25" customHeight="1" s="84"/>
    <row r="597" ht="14.25" customHeight="1" s="84"/>
    <row r="598" ht="14.25" customHeight="1" s="84"/>
    <row r="599" ht="14.25" customHeight="1" s="84"/>
    <row r="600" ht="14.25" customHeight="1" s="84"/>
    <row r="601" ht="14.25" customHeight="1" s="84"/>
    <row r="602" ht="14.25" customHeight="1" s="84"/>
    <row r="603" ht="14.25" customHeight="1" s="84"/>
    <row r="604" ht="14.25" customHeight="1" s="84"/>
    <row r="605" ht="14.25" customHeight="1" s="84"/>
    <row r="606" ht="14.25" customHeight="1" s="84"/>
    <row r="607" ht="14.25" customHeight="1" s="84"/>
    <row r="608" ht="14.25" customHeight="1" s="84"/>
    <row r="609" ht="14.25" customHeight="1" s="84"/>
    <row r="610" ht="14.25" customHeight="1" s="84"/>
    <row r="611" ht="14.25" customHeight="1" s="84"/>
    <row r="612" ht="14.25" customHeight="1" s="84"/>
    <row r="613" ht="14.25" customHeight="1" s="84"/>
    <row r="614" ht="14.25" customHeight="1" s="84"/>
    <row r="615" ht="14.25" customHeight="1" s="84"/>
    <row r="616" ht="14.25" customHeight="1" s="84"/>
    <row r="617" ht="14.25" customHeight="1" s="84"/>
    <row r="618" ht="14.25" customHeight="1" s="84"/>
    <row r="619" ht="14.25" customHeight="1" s="84"/>
    <row r="620" ht="14.25" customHeight="1" s="84"/>
    <row r="621" ht="14.25" customHeight="1" s="84"/>
    <row r="622" ht="14.25" customHeight="1" s="84"/>
    <row r="623" ht="14.25" customHeight="1" s="84"/>
    <row r="624" ht="14.25" customHeight="1" s="84"/>
    <row r="625" ht="14.25" customHeight="1" s="84"/>
    <row r="626" ht="14.25" customHeight="1" s="84"/>
    <row r="627" ht="14.25" customHeight="1" s="84"/>
    <row r="628" ht="14.25" customHeight="1" s="84"/>
    <row r="629" ht="14.25" customHeight="1" s="84"/>
    <row r="630" ht="14.25" customHeight="1" s="84"/>
    <row r="631" ht="14.25" customHeight="1" s="84"/>
    <row r="632" ht="14.25" customHeight="1" s="84"/>
    <row r="633" ht="14.25" customHeight="1" s="84"/>
    <row r="634" ht="14.25" customHeight="1" s="84"/>
    <row r="635" ht="14.25" customHeight="1" s="84"/>
    <row r="636" ht="14.25" customHeight="1" s="84"/>
    <row r="637" ht="14.25" customHeight="1" s="84"/>
    <row r="638" ht="14.25" customHeight="1" s="84"/>
    <row r="639" ht="14.25" customHeight="1" s="84"/>
    <row r="640" ht="14.25" customHeight="1" s="84"/>
    <row r="641" ht="14.25" customHeight="1" s="84"/>
    <row r="642" ht="14.25" customHeight="1" s="84"/>
    <row r="643" ht="14.25" customHeight="1" s="84"/>
    <row r="644" ht="14.25" customHeight="1" s="84"/>
    <row r="645" ht="14.25" customHeight="1" s="84"/>
    <row r="646" ht="14.25" customHeight="1" s="84"/>
    <row r="647" ht="14.25" customHeight="1" s="84"/>
    <row r="648" ht="14.25" customHeight="1" s="84"/>
    <row r="649" ht="14.25" customHeight="1" s="84"/>
    <row r="650" ht="14.25" customHeight="1" s="84"/>
    <row r="651" ht="14.25" customHeight="1" s="84"/>
    <row r="652" ht="14.25" customHeight="1" s="84"/>
    <row r="653" ht="14.25" customHeight="1" s="84"/>
    <row r="654" ht="14.25" customHeight="1" s="84"/>
    <row r="655" ht="14.25" customHeight="1" s="84"/>
    <row r="656" ht="14.25" customHeight="1" s="84"/>
    <row r="657" ht="14.25" customHeight="1" s="84"/>
    <row r="658" ht="14.25" customHeight="1" s="84"/>
    <row r="659" ht="14.25" customHeight="1" s="84"/>
    <row r="660" ht="14.25" customHeight="1" s="84"/>
    <row r="661" ht="14.25" customHeight="1" s="84"/>
    <row r="662" ht="14.25" customHeight="1" s="84"/>
    <row r="663" ht="14.25" customHeight="1" s="84"/>
    <row r="664" ht="14.25" customHeight="1" s="84"/>
    <row r="665" ht="14.25" customHeight="1" s="84"/>
    <row r="666" ht="14.25" customHeight="1" s="84"/>
    <row r="667" ht="14.25" customHeight="1" s="84"/>
    <row r="668" ht="14.25" customHeight="1" s="84"/>
    <row r="669" ht="14.25" customHeight="1" s="84"/>
    <row r="670" ht="14.25" customHeight="1" s="84"/>
    <row r="671" ht="14.25" customHeight="1" s="84"/>
    <row r="672" ht="14.25" customHeight="1" s="84"/>
    <row r="673" ht="14.25" customHeight="1" s="84"/>
    <row r="674" ht="14.25" customHeight="1" s="84"/>
    <row r="675" ht="14.25" customHeight="1" s="84"/>
    <row r="676" ht="14.25" customHeight="1" s="84"/>
    <row r="677" ht="14.25" customHeight="1" s="84"/>
    <row r="678" ht="14.25" customHeight="1" s="84"/>
    <row r="679" ht="14.25" customHeight="1" s="84"/>
    <row r="680" ht="14.25" customHeight="1" s="84"/>
    <row r="681" ht="14.25" customHeight="1" s="84"/>
    <row r="682" ht="14.25" customHeight="1" s="84"/>
    <row r="683" ht="14.25" customHeight="1" s="84"/>
    <row r="684" ht="14.25" customHeight="1" s="84"/>
    <row r="685" ht="14.25" customHeight="1" s="84"/>
    <row r="686" ht="14.25" customHeight="1" s="84"/>
    <row r="687" ht="14.25" customHeight="1" s="84"/>
    <row r="688" ht="14.25" customHeight="1" s="84"/>
    <row r="689" ht="14.25" customHeight="1" s="84"/>
    <row r="690" ht="14.25" customHeight="1" s="84"/>
    <row r="691" ht="14.25" customHeight="1" s="84"/>
    <row r="692" ht="14.25" customHeight="1" s="84"/>
    <row r="693" ht="14.25" customHeight="1" s="84"/>
    <row r="694" ht="14.25" customHeight="1" s="84"/>
    <row r="695" ht="14.25" customHeight="1" s="84"/>
    <row r="696" ht="14.25" customHeight="1" s="84"/>
    <row r="697" ht="14.25" customHeight="1" s="84"/>
    <row r="698" ht="14.25" customHeight="1" s="84"/>
    <row r="699" ht="14.25" customHeight="1" s="84"/>
    <row r="700" ht="14.25" customHeight="1" s="84"/>
    <row r="701" ht="14.25" customHeight="1" s="84"/>
    <row r="702" ht="14.25" customHeight="1" s="84"/>
    <row r="703" ht="14.25" customHeight="1" s="84"/>
    <row r="704" ht="14.25" customHeight="1" s="84"/>
    <row r="705" ht="14.25" customHeight="1" s="84"/>
    <row r="706" ht="14.25" customHeight="1" s="84"/>
    <row r="707" ht="14.25" customHeight="1" s="84"/>
    <row r="708" ht="14.25" customHeight="1" s="84"/>
    <row r="709" ht="14.25" customHeight="1" s="84"/>
    <row r="710" ht="14.25" customHeight="1" s="84"/>
    <row r="711" ht="14.25" customHeight="1" s="84"/>
    <row r="712" ht="14.25" customHeight="1" s="84"/>
    <row r="713" ht="14.25" customHeight="1" s="84"/>
    <row r="714" ht="14.25" customHeight="1" s="84"/>
    <row r="715" ht="14.25" customHeight="1" s="84"/>
    <row r="716" ht="14.25" customHeight="1" s="84"/>
    <row r="717" ht="14.25" customHeight="1" s="84"/>
    <row r="718" ht="14.25" customHeight="1" s="84"/>
    <row r="719" ht="14.25" customHeight="1" s="84"/>
    <row r="720" ht="14.25" customHeight="1" s="84"/>
    <row r="721" ht="14.25" customHeight="1" s="84"/>
    <row r="722" ht="14.25" customHeight="1" s="84"/>
    <row r="723" ht="14.25" customHeight="1" s="84"/>
    <row r="724" ht="14.25" customHeight="1" s="84"/>
    <row r="725" ht="14.25" customHeight="1" s="84"/>
    <row r="726" ht="14.25" customHeight="1" s="84"/>
    <row r="727" ht="14.25" customHeight="1" s="84"/>
    <row r="728" ht="14.25" customHeight="1" s="84"/>
    <row r="729" ht="14.25" customHeight="1" s="84"/>
    <row r="730" ht="14.25" customHeight="1" s="84"/>
    <row r="731" ht="14.25" customHeight="1" s="84"/>
    <row r="732" ht="14.25" customHeight="1" s="84"/>
    <row r="733" ht="14.25" customHeight="1" s="84"/>
    <row r="734" ht="14.25" customHeight="1" s="84"/>
    <row r="735" ht="14.25" customHeight="1" s="84"/>
    <row r="736" ht="14.25" customHeight="1" s="84"/>
    <row r="737" ht="14.25" customHeight="1" s="84"/>
    <row r="738" ht="14.25" customHeight="1" s="84"/>
    <row r="739" ht="14.25" customHeight="1" s="84"/>
    <row r="740" ht="14.25" customHeight="1" s="84"/>
    <row r="741" ht="14.25" customHeight="1" s="84"/>
    <row r="742" ht="14.25" customHeight="1" s="84"/>
    <row r="743" ht="14.25" customHeight="1" s="84"/>
    <row r="744" ht="14.25" customHeight="1" s="84"/>
    <row r="745" ht="14.25" customHeight="1" s="84"/>
    <row r="746" ht="14.25" customHeight="1" s="84"/>
    <row r="747" ht="14.25" customHeight="1" s="84"/>
    <row r="748" ht="14.25" customHeight="1" s="84"/>
    <row r="749" ht="14.25" customHeight="1" s="84"/>
    <row r="750" ht="14.25" customHeight="1" s="84"/>
    <row r="751" ht="14.25" customHeight="1" s="84"/>
    <row r="752" ht="14.25" customHeight="1" s="84"/>
    <row r="753" ht="14.25" customHeight="1" s="84"/>
    <row r="754" ht="14.25" customHeight="1" s="84"/>
    <row r="755" ht="14.25" customHeight="1" s="84"/>
    <row r="756" ht="14.25" customHeight="1" s="84"/>
    <row r="757" ht="14.25" customHeight="1" s="84"/>
    <row r="758" ht="14.25" customHeight="1" s="84"/>
    <row r="759" ht="14.25" customHeight="1" s="84"/>
    <row r="760" ht="14.25" customHeight="1" s="84"/>
    <row r="761" ht="14.25" customHeight="1" s="84"/>
    <row r="762" ht="14.25" customHeight="1" s="84"/>
    <row r="763" ht="14.25" customHeight="1" s="84"/>
    <row r="764" ht="14.25" customHeight="1" s="84"/>
    <row r="765" ht="14.25" customHeight="1" s="84"/>
    <row r="766" ht="14.25" customHeight="1" s="84"/>
    <row r="767" ht="14.25" customHeight="1" s="84"/>
    <row r="768" ht="14.25" customHeight="1" s="84"/>
    <row r="769" ht="14.25" customHeight="1" s="84"/>
    <row r="770" ht="14.25" customHeight="1" s="84"/>
    <row r="771" ht="14.25" customHeight="1" s="84"/>
    <row r="772" ht="14.25" customHeight="1" s="84"/>
    <row r="773" ht="14.25" customHeight="1" s="84"/>
    <row r="774" ht="14.25" customHeight="1" s="84"/>
    <row r="775" ht="14.25" customHeight="1" s="84"/>
    <row r="776" ht="14.25" customHeight="1" s="84"/>
    <row r="777" ht="14.25" customHeight="1" s="84"/>
    <row r="778" ht="14.25" customHeight="1" s="84"/>
    <row r="779" ht="14.25" customHeight="1" s="84"/>
    <row r="780" ht="14.25" customHeight="1" s="84"/>
    <row r="781" ht="14.25" customHeight="1" s="84"/>
    <row r="782" ht="14.25" customHeight="1" s="84"/>
    <row r="783" ht="14.25" customHeight="1" s="84"/>
    <row r="784" ht="14.25" customHeight="1" s="84"/>
    <row r="785" ht="14.25" customHeight="1" s="84"/>
    <row r="786" ht="14.25" customHeight="1" s="84"/>
    <row r="787" ht="14.25" customHeight="1" s="84"/>
    <row r="788" ht="14.25" customHeight="1" s="84"/>
    <row r="789" ht="14.25" customHeight="1" s="84"/>
    <row r="790" ht="14.25" customHeight="1" s="84"/>
    <row r="791" ht="14.25" customHeight="1" s="84"/>
    <row r="792" ht="14.25" customHeight="1" s="84"/>
    <row r="793" ht="14.25" customHeight="1" s="84"/>
    <row r="794" ht="14.25" customHeight="1" s="84"/>
    <row r="795" ht="14.25" customHeight="1" s="84"/>
    <row r="796" ht="14.25" customHeight="1" s="84"/>
    <row r="797" ht="14.25" customHeight="1" s="84"/>
    <row r="798" ht="14.25" customHeight="1" s="84"/>
    <row r="799" ht="14.25" customHeight="1" s="84"/>
    <row r="800" ht="14.25" customHeight="1" s="84"/>
    <row r="801" ht="14.25" customHeight="1" s="84"/>
    <row r="802" ht="14.25" customHeight="1" s="84"/>
    <row r="803" ht="14.25" customHeight="1" s="84"/>
    <row r="804" ht="14.25" customHeight="1" s="84"/>
    <row r="805" ht="14.25" customHeight="1" s="84"/>
    <row r="806" ht="14.25" customHeight="1" s="84"/>
    <row r="807" ht="14.25" customHeight="1" s="84"/>
    <row r="808" ht="14.25" customHeight="1" s="84"/>
    <row r="809" ht="14.25" customHeight="1" s="84"/>
    <row r="810" ht="14.25" customHeight="1" s="84"/>
    <row r="811" ht="14.25" customHeight="1" s="84"/>
    <row r="812" ht="14.25" customHeight="1" s="84"/>
    <row r="813" ht="14.25" customHeight="1" s="84"/>
    <row r="814" ht="14.25" customHeight="1" s="84"/>
    <row r="815" ht="14.25" customHeight="1" s="84"/>
    <row r="816" ht="14.25" customHeight="1" s="84"/>
    <row r="817" ht="14.25" customHeight="1" s="84"/>
    <row r="818" ht="14.25" customHeight="1" s="84"/>
    <row r="819" ht="14.25" customHeight="1" s="84"/>
    <row r="820" ht="14.25" customHeight="1" s="84"/>
    <row r="821" ht="14.25" customHeight="1" s="84"/>
    <row r="822" ht="14.25" customHeight="1" s="84"/>
    <row r="823" ht="14.25" customHeight="1" s="84"/>
    <row r="824" ht="14.25" customHeight="1" s="84"/>
    <row r="825" ht="14.25" customHeight="1" s="84"/>
    <row r="826" ht="14.25" customHeight="1" s="84"/>
    <row r="827" ht="14.25" customHeight="1" s="84"/>
    <row r="828" ht="14.25" customHeight="1" s="84"/>
    <row r="829" ht="14.25" customHeight="1" s="84"/>
    <row r="830" ht="14.25" customHeight="1" s="84"/>
    <row r="831" ht="14.25" customHeight="1" s="84"/>
    <row r="832" ht="14.25" customHeight="1" s="84"/>
    <row r="833" ht="14.25" customHeight="1" s="84"/>
    <row r="834" ht="14.25" customHeight="1" s="84"/>
    <row r="835" ht="14.25" customHeight="1" s="84"/>
    <row r="836" ht="14.25" customHeight="1" s="84"/>
    <row r="837" ht="14.25" customHeight="1" s="84"/>
    <row r="838" ht="14.25" customHeight="1" s="84"/>
    <row r="839" ht="14.25" customHeight="1" s="84"/>
    <row r="840" ht="14.25" customHeight="1" s="84"/>
    <row r="841" ht="14.25" customHeight="1" s="84"/>
    <row r="842" ht="14.25" customHeight="1" s="84"/>
    <row r="843" ht="14.25" customHeight="1" s="84"/>
    <row r="844" ht="14.25" customHeight="1" s="84"/>
    <row r="845" ht="14.25" customHeight="1" s="84"/>
    <row r="846" ht="14.25" customHeight="1" s="84"/>
    <row r="847" ht="14.25" customHeight="1" s="84"/>
    <row r="848" ht="14.25" customHeight="1" s="84"/>
    <row r="849" ht="14.25" customHeight="1" s="84"/>
    <row r="850" ht="14.25" customHeight="1" s="84"/>
    <row r="851" ht="14.25" customHeight="1" s="84"/>
    <row r="852" ht="14.25" customHeight="1" s="84"/>
    <row r="853" ht="14.25" customHeight="1" s="84"/>
    <row r="854" ht="14.25" customHeight="1" s="84"/>
    <row r="855" ht="14.25" customHeight="1" s="84"/>
    <row r="856" ht="14.25" customHeight="1" s="84"/>
    <row r="857" ht="14.25" customHeight="1" s="84"/>
    <row r="858" ht="14.25" customHeight="1" s="84"/>
    <row r="859" ht="14.25" customHeight="1" s="84"/>
    <row r="860" ht="14.25" customHeight="1" s="84"/>
    <row r="861" ht="14.25" customHeight="1" s="84"/>
    <row r="862" ht="14.25" customHeight="1" s="84"/>
    <row r="863" ht="14.25" customHeight="1" s="84"/>
    <row r="864" ht="14.25" customHeight="1" s="84"/>
    <row r="865" ht="14.25" customHeight="1" s="84"/>
    <row r="866" ht="14.25" customHeight="1" s="84"/>
    <row r="867" ht="14.25" customHeight="1" s="84"/>
    <row r="868" ht="14.25" customHeight="1" s="84"/>
    <row r="869" ht="14.25" customHeight="1" s="84"/>
    <row r="870" ht="14.25" customHeight="1" s="84"/>
    <row r="871" ht="14.25" customHeight="1" s="84"/>
    <row r="872" ht="14.25" customHeight="1" s="84"/>
    <row r="873" ht="14.25" customHeight="1" s="84"/>
    <row r="874" ht="14.25" customHeight="1" s="84"/>
    <row r="875" ht="14.25" customHeight="1" s="84"/>
    <row r="876" ht="14.25" customHeight="1" s="84"/>
    <row r="877" ht="14.25" customHeight="1" s="84"/>
    <row r="878" ht="14.25" customHeight="1" s="84"/>
    <row r="879" ht="14.25" customHeight="1" s="84"/>
    <row r="880" ht="14.25" customHeight="1" s="84"/>
    <row r="881" ht="14.25" customHeight="1" s="84"/>
    <row r="882" ht="14.25" customHeight="1" s="84"/>
    <row r="883" ht="14.25" customHeight="1" s="84"/>
    <row r="884" ht="14.25" customHeight="1" s="84"/>
    <row r="885" ht="14.25" customHeight="1" s="84"/>
    <row r="886" ht="14.25" customHeight="1" s="84"/>
    <row r="887" ht="14.25" customHeight="1" s="84"/>
    <row r="888" ht="14.25" customHeight="1" s="84"/>
    <row r="889" ht="14.25" customHeight="1" s="84"/>
    <row r="890" ht="14.25" customHeight="1" s="84"/>
    <row r="891" ht="14.25" customHeight="1" s="84"/>
    <row r="892" ht="14.25" customHeight="1" s="84"/>
    <row r="893" ht="14.25" customHeight="1" s="84"/>
    <row r="894" ht="14.25" customHeight="1" s="84"/>
    <row r="895" ht="14.25" customHeight="1" s="84"/>
    <row r="896" ht="14.25" customHeight="1" s="84"/>
    <row r="897" ht="14.25" customHeight="1" s="84"/>
    <row r="898" ht="14.25" customHeight="1" s="84"/>
    <row r="899" ht="14.25" customHeight="1" s="84"/>
    <row r="900" ht="14.25" customHeight="1" s="84"/>
    <row r="901" ht="14.25" customHeight="1" s="84"/>
    <row r="902" ht="14.25" customHeight="1" s="84"/>
    <row r="903" ht="14.25" customHeight="1" s="84"/>
    <row r="904" ht="14.25" customHeight="1" s="84"/>
    <row r="905" ht="14.25" customHeight="1" s="84"/>
    <row r="906" ht="14.25" customHeight="1" s="84"/>
    <row r="907" ht="14.25" customHeight="1" s="84"/>
    <row r="908" ht="14.25" customHeight="1" s="84"/>
    <row r="909" ht="14.25" customHeight="1" s="84"/>
    <row r="910" ht="14.25" customHeight="1" s="84"/>
    <row r="911" ht="14.25" customHeight="1" s="84"/>
    <row r="912" ht="14.25" customHeight="1" s="84"/>
    <row r="913" ht="14.25" customHeight="1" s="84"/>
    <row r="914" ht="14.25" customHeight="1" s="84"/>
    <row r="915" ht="14.25" customHeight="1" s="84"/>
    <row r="916" ht="14.25" customHeight="1" s="84"/>
    <row r="917" ht="14.25" customHeight="1" s="84"/>
    <row r="918" ht="14.25" customHeight="1" s="84"/>
    <row r="919" ht="14.25" customHeight="1" s="84"/>
    <row r="920" ht="14.25" customHeight="1" s="84"/>
    <row r="921" ht="14.25" customHeight="1" s="84"/>
    <row r="922" ht="14.25" customHeight="1" s="84"/>
    <row r="923" ht="14.25" customHeight="1" s="84"/>
    <row r="924" ht="14.25" customHeight="1" s="84"/>
    <row r="925" ht="14.25" customHeight="1" s="84"/>
    <row r="926" ht="14.25" customHeight="1" s="84"/>
    <row r="927" ht="14.25" customHeight="1" s="84"/>
    <row r="928" ht="14.25" customHeight="1" s="84"/>
    <row r="929" ht="14.25" customHeight="1" s="84"/>
    <row r="930" ht="14.25" customHeight="1" s="84"/>
    <row r="931" ht="14.25" customHeight="1" s="84"/>
    <row r="932" ht="14.25" customHeight="1" s="84"/>
    <row r="933" ht="14.25" customHeight="1" s="84"/>
    <row r="934" ht="14.25" customHeight="1" s="84"/>
    <row r="935" ht="14.25" customHeight="1" s="84"/>
    <row r="936" ht="14.25" customHeight="1" s="84"/>
    <row r="937" ht="14.25" customHeight="1" s="84"/>
    <row r="938" ht="14.25" customHeight="1" s="84"/>
    <row r="939" ht="14.25" customHeight="1" s="84"/>
    <row r="940" ht="14.25" customHeight="1" s="84"/>
    <row r="941" ht="14.25" customHeight="1" s="84"/>
    <row r="942" ht="14.25" customHeight="1" s="84"/>
    <row r="943" ht="14.25" customHeight="1" s="84"/>
    <row r="944" ht="14.25" customHeight="1" s="84"/>
    <row r="945" ht="14.25" customHeight="1" s="84"/>
    <row r="946" ht="14.25" customHeight="1" s="84"/>
    <row r="947" ht="14.25" customHeight="1" s="84"/>
    <row r="948" ht="14.25" customHeight="1" s="84"/>
    <row r="949" ht="14.25" customHeight="1" s="84"/>
    <row r="950" ht="14.25" customHeight="1" s="84"/>
    <row r="951" ht="14.25" customHeight="1" s="84"/>
    <row r="952" ht="14.25" customHeight="1" s="84"/>
    <row r="953" ht="14.25" customHeight="1" s="84"/>
    <row r="954" ht="14.25" customHeight="1" s="84"/>
    <row r="955" ht="14.25" customHeight="1" s="84"/>
    <row r="956" ht="14.25" customHeight="1" s="84"/>
    <row r="957" ht="14.25" customHeight="1" s="84"/>
    <row r="958" ht="14.25" customHeight="1" s="84"/>
    <row r="959" ht="14.25" customHeight="1" s="84"/>
    <row r="960" ht="14.25" customHeight="1" s="84"/>
    <row r="961" ht="14.25" customHeight="1" s="84"/>
    <row r="962" ht="14.25" customHeight="1" s="84"/>
    <row r="963" ht="14.25" customHeight="1" s="84"/>
    <row r="964" ht="14.25" customHeight="1" s="84"/>
    <row r="965" ht="14.25" customHeight="1" s="84"/>
    <row r="966" ht="14.25" customHeight="1" s="84"/>
    <row r="967" ht="14.25" customHeight="1" s="84"/>
    <row r="968" ht="14.25" customHeight="1" s="84"/>
    <row r="969" ht="14.25" customHeight="1" s="84"/>
    <row r="970" ht="14.25" customHeight="1" s="84"/>
    <row r="971" ht="14.25" customHeight="1" s="84"/>
    <row r="972" ht="14.25" customHeight="1" s="84"/>
    <row r="973" ht="14.25" customHeight="1" s="84"/>
    <row r="974" ht="14.25" customHeight="1" s="84"/>
    <row r="975" ht="14.25" customHeight="1" s="84"/>
    <row r="976" ht="14.25" customHeight="1" s="84"/>
    <row r="977" ht="14.25" customHeight="1" s="84"/>
    <row r="978" ht="14.25" customHeight="1" s="84"/>
    <row r="979" ht="14.25" customHeight="1" s="84"/>
    <row r="980" ht="14.25" customHeight="1" s="84"/>
    <row r="981" ht="14.25" customHeight="1" s="84"/>
    <row r="982" ht="14.25" customHeight="1" s="84"/>
    <row r="983" ht="14.25" customHeight="1" s="84"/>
    <row r="984" ht="14.25" customHeight="1" s="84"/>
    <row r="985" ht="14.25" customHeight="1" s="84"/>
    <row r="986" ht="14.25" customHeight="1" s="84"/>
    <row r="987" ht="14.25" customHeight="1" s="84"/>
    <row r="988" ht="14.25" customHeight="1" s="84"/>
    <row r="989" ht="14.25" customHeight="1" s="84"/>
    <row r="990" ht="14.25" customHeight="1" s="84"/>
    <row r="991" ht="14.25" customHeight="1" s="84"/>
    <row r="992" ht="14.25" customHeight="1" s="84"/>
    <row r="993" ht="14.25" customHeight="1" s="84"/>
    <row r="994" ht="14.25" customHeight="1" s="84"/>
    <row r="995" ht="14.25" customHeight="1" s="84"/>
    <row r="996" ht="14.25" customHeight="1" s="84"/>
    <row r="997" ht="14.25" customHeight="1" s="84"/>
    <row r="998" ht="14.25" customHeight="1" s="84"/>
    <row r="999" ht="14.25" customHeight="1" s="84"/>
    <row r="1000" ht="14.25" customHeight="1" s="84"/>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J2998"/>
  <sheetViews>
    <sheetView showGridLines="0" workbookViewId="0">
      <selection activeCell="A1" sqref="A1"/>
    </sheetView>
  </sheetViews>
  <sheetFormatPr baseColWidth="8" defaultColWidth="14.43" defaultRowHeight="15" customHeight="1"/>
  <cols>
    <col width="16" customWidth="1" style="84" min="1" max="3"/>
    <col width="20" customWidth="1" style="84" min="4" max="4"/>
    <col width="4" customWidth="1" style="84" min="5" max="6"/>
    <col width="16" customWidth="1" style="84" min="7" max="9"/>
    <col width="20" customWidth="1" style="84" min="10" max="10"/>
  </cols>
  <sheetData>
    <row r="1" ht="21.75" customHeight="1" s="84">
      <c r="A1" s="100">
        <f>IF(batches!A2="","",batches!A2)</f>
        <v/>
      </c>
      <c r="B1" s="101" t="n"/>
      <c r="C1" s="101" t="n"/>
      <c r="D1" s="102" t="n"/>
      <c r="G1" s="100">
        <f>IF(batches!A3="","",batches!A3)</f>
        <v/>
      </c>
      <c r="H1" s="101" t="n"/>
      <c r="I1" s="101" t="n"/>
      <c r="J1" s="102" t="n"/>
    </row>
    <row r="2" ht="21.75" customHeight="1" s="84">
      <c r="A2" s="80" t="inlineStr">
        <is>
          <t>Level / Mode</t>
        </is>
      </c>
      <c r="B2" s="103">
        <f>IF(A1="","",batches!B2&amp;" / "&amp;batches!C2)</f>
        <v/>
      </c>
      <c r="C2" s="101" t="n"/>
      <c r="D2" s="102" t="n"/>
      <c r="G2" s="80" t="inlineStr">
        <is>
          <t>Level / Mode</t>
        </is>
      </c>
      <c r="H2" s="103">
        <f>IF(G1="","",batches!B3&amp;" / "&amp;batches!C3)</f>
        <v/>
      </c>
      <c r="I2" s="101" t="n"/>
      <c r="J2" s="102" t="n"/>
    </row>
    <row r="3" ht="21.75" customHeight="1" s="84">
      <c r="A3" s="80" t="inlineStr">
        <is>
          <t>Dates</t>
        </is>
      </c>
      <c r="B3" s="103">
        <f>IF(A1="","",TEXT(batches!D2,"yyyy-mm-dd")&amp;" to "&amp;TEXT(batches!E2,"yyyy-mm-dd"))</f>
        <v/>
      </c>
      <c r="C3" s="101" t="n"/>
      <c r="D3" s="102" t="n"/>
      <c r="G3" s="80" t="inlineStr">
        <is>
          <t>Dates</t>
        </is>
      </c>
      <c r="H3" s="103">
        <f>IF(G1="","",TEXT(batches!D3,"yyyy-mm-dd")&amp;" to "&amp;TEXT(batches!E3,"yyyy-mm-dd"))</f>
        <v/>
      </c>
      <c r="I3" s="101" t="n"/>
      <c r="J3" s="102" t="n"/>
    </row>
    <row r="4" ht="21.75" customHeight="1" s="84">
      <c r="A4" s="80" t="inlineStr">
        <is>
          <t>Duration</t>
        </is>
      </c>
      <c r="B4" s="103">
        <f>IF(OR(batches!D2="",batches!E2=""),"",batches!E2-batches!D2+1&amp;" days")</f>
        <v/>
      </c>
      <c r="C4" s="101" t="n"/>
      <c r="D4" s="102" t="n"/>
      <c r="G4" s="80" t="inlineStr">
        <is>
          <t>Duration</t>
        </is>
      </c>
      <c r="H4" s="103">
        <f>IF(OR(batches!D3="",batches!E3=""),"",batches!E3-batches!D3+1&amp;" days")</f>
        <v/>
      </c>
      <c r="I4" s="101" t="n"/>
      <c r="J4" s="102" t="n"/>
    </row>
    <row r="5" ht="21.75" customHeight="1" s="84">
      <c r="A5" s="80" t="inlineStr">
        <is>
          <t>Timing</t>
        </is>
      </c>
      <c r="B5" s="103">
        <f>IF(A1="","",batches!F2)</f>
        <v/>
      </c>
      <c r="C5" s="101" t="n"/>
      <c r="D5" s="102" t="n"/>
      <c r="G5" s="80" t="inlineStr">
        <is>
          <t>Timing</t>
        </is>
      </c>
      <c r="H5" s="103">
        <f>IF(G1="","",batches!F3)</f>
        <v/>
      </c>
      <c r="I5" s="101" t="n"/>
      <c r="J5" s="102" t="n"/>
    </row>
    <row r="6" ht="21.75" customHeight="1" s="84">
      <c r="A6" s="80" t="inlineStr">
        <is>
          <t>Capacity</t>
        </is>
      </c>
      <c r="B6" s="103">
        <f>IF(A1="","",batches!G2)</f>
        <v/>
      </c>
      <c r="C6" s="101" t="n"/>
      <c r="D6" s="102" t="n"/>
      <c r="G6" s="80" t="inlineStr">
        <is>
          <t>Capacity</t>
        </is>
      </c>
      <c r="H6" s="103">
        <f>IF(G1="","",batches!G3)</f>
        <v/>
      </c>
      <c r="I6" s="101" t="n"/>
      <c r="J6" s="102" t="n"/>
    </row>
    <row r="7" ht="21.75" customHeight="1" s="84">
      <c r="A7" s="80" t="inlineStr">
        <is>
          <t>Enrolled</t>
        </is>
      </c>
      <c r="B7" s="103">
        <f>IF(A1="","",COUNTIF(admissions!$M:$M,batches!A2))</f>
        <v/>
      </c>
      <c r="C7" s="101" t="n"/>
      <c r="D7" s="102" t="n"/>
      <c r="G7" s="80" t="inlineStr">
        <is>
          <t>Enrolled</t>
        </is>
      </c>
      <c r="H7" s="103">
        <f>IF(G1="","",COUNTIF(admissions!$M:$M,batches!A3))</f>
        <v/>
      </c>
      <c r="I7" s="101" t="n"/>
      <c r="J7" s="102" t="n"/>
    </row>
    <row r="8" ht="21.75" customHeight="1" s="84">
      <c r="A8" s="80" t="inlineStr">
        <is>
          <t>Available</t>
        </is>
      </c>
      <c r="B8" s="103">
        <f>IF(OR(batches!A2="",batches!G2=""),"",batches!G2-COUNTIF(admissions!$M:$M,batches!A2))</f>
        <v/>
      </c>
      <c r="C8" s="101" t="n"/>
      <c r="D8" s="102" t="n"/>
      <c r="G8" s="80" t="inlineStr">
        <is>
          <t>Available</t>
        </is>
      </c>
      <c r="H8" s="103">
        <f>IF(OR(batches!A3="",batches!G3=""),"",batches!G3-COUNTIF(admissions!$M:$M,batches!A3))</f>
        <v/>
      </c>
      <c r="I8" s="101" t="n"/>
      <c r="J8" s="102" t="n"/>
    </row>
    <row r="9" ht="21.75" customHeight="1" s="84">
      <c r="A9" s="104" t="inlineStr">
        <is>
          <t>Student List</t>
        </is>
      </c>
      <c r="B9" s="101" t="n"/>
      <c r="C9" s="101" t="n"/>
      <c r="D9" s="102" t="n"/>
      <c r="G9" s="104" t="inlineStr">
        <is>
          <t>Student List</t>
        </is>
      </c>
      <c r="H9" s="101" t="n"/>
      <c r="I9" s="101" t="n"/>
      <c r="J9" s="102" t="n"/>
    </row>
    <row r="10" ht="21.75" customHeight="1" s="84">
      <c r="A10" s="105">
        <f>IFERROR(__xludf.DUMMYFUNCTION("IF(batches!A2="""","""",TEXTJOIN(CHAR(10),TRUE,FILTER(admissions!$G$2:$G$78,admissions!$M$2:$M$78=batches!A2,"""")))"),"#N/A")</f>
        <v/>
      </c>
      <c r="B10" s="101" t="n"/>
      <c r="C10" s="101" t="n"/>
      <c r="D10" s="102" t="n"/>
      <c r="G10" s="105">
        <f>IFERROR(__xludf.DUMMYFUNCTION("IF(batches!A3="""","""",TEXTJOIN(CHAR(10),TRUE,FILTER(admissions!$G$2:$G$78,admissions!$M$2:$M$78=batches!A3,"""")))"),"#N/A")</f>
        <v/>
      </c>
      <c r="H10" s="101" t="n"/>
      <c r="I10" s="101" t="n"/>
      <c r="J10" s="102" t="n"/>
    </row>
    <row r="11" ht="21.75" customHeight="1" s="84"/>
    <row r="12" ht="21.75" customHeight="1" s="84"/>
    <row r="13" ht="21.75" customHeight="1" s="84">
      <c r="A13" s="100">
        <f>IF(batches!A4="","",batches!A4)</f>
        <v/>
      </c>
      <c r="B13" s="101" t="n"/>
      <c r="C13" s="101" t="n"/>
      <c r="D13" s="102" t="n"/>
      <c r="G13" s="100">
        <f>IF(batches!A5="","",batches!A5)</f>
        <v/>
      </c>
      <c r="H13" s="101" t="n"/>
      <c r="I13" s="101" t="n"/>
      <c r="J13" s="102" t="n"/>
    </row>
    <row r="14" ht="21.75" customHeight="1" s="84">
      <c r="A14" s="80" t="inlineStr">
        <is>
          <t>Level / Mode</t>
        </is>
      </c>
      <c r="B14" s="103">
        <f>IF(A13="","",batches!B4&amp;" / "&amp;batches!C4)</f>
        <v/>
      </c>
      <c r="C14" s="101" t="n"/>
      <c r="D14" s="102" t="n"/>
      <c r="G14" s="80" t="inlineStr">
        <is>
          <t>Level / Mode</t>
        </is>
      </c>
      <c r="H14" s="103">
        <f>IF(G13="","",batches!B5&amp;" / "&amp;batches!C5)</f>
        <v/>
      </c>
      <c r="I14" s="101" t="n"/>
      <c r="J14" s="102" t="n"/>
    </row>
    <row r="15" ht="21.75" customHeight="1" s="84">
      <c r="A15" s="80" t="inlineStr">
        <is>
          <t>Dates</t>
        </is>
      </c>
      <c r="B15" s="103">
        <f>IF(A13="","",TEXT(batches!D4,"yyyy-mm-dd")&amp;" to "&amp;TEXT(batches!E4,"yyyy-mm-dd"))</f>
        <v/>
      </c>
      <c r="C15" s="101" t="n"/>
      <c r="D15" s="102" t="n"/>
      <c r="G15" s="80" t="inlineStr">
        <is>
          <t>Dates</t>
        </is>
      </c>
      <c r="H15" s="103">
        <f>IF(G13="","",TEXT(batches!D5,"yyyy-mm-dd")&amp;" to "&amp;TEXT(batches!E5,"yyyy-mm-dd"))</f>
        <v/>
      </c>
      <c r="I15" s="101" t="n"/>
      <c r="J15" s="102" t="n"/>
    </row>
    <row r="16" ht="21.75" customHeight="1" s="84">
      <c r="A16" s="80" t="inlineStr">
        <is>
          <t>Duration</t>
        </is>
      </c>
      <c r="B16" s="103">
        <f>IF(OR(batches!D4="",batches!E4=""),"",batches!E4-batches!D4+1&amp;" days")</f>
        <v/>
      </c>
      <c r="C16" s="101" t="n"/>
      <c r="D16" s="102" t="n"/>
      <c r="G16" s="80" t="inlineStr">
        <is>
          <t>Duration</t>
        </is>
      </c>
      <c r="H16" s="103">
        <f>IF(OR(batches!D5="",batches!E5=""),"",batches!E5-batches!D5+1&amp;" days")</f>
        <v/>
      </c>
      <c r="I16" s="101" t="n"/>
      <c r="J16" s="102" t="n"/>
    </row>
    <row r="17" ht="21.75" customHeight="1" s="84">
      <c r="A17" s="80" t="inlineStr">
        <is>
          <t>Timing</t>
        </is>
      </c>
      <c r="B17" s="103">
        <f>IF(A13="","",batches!F4)</f>
        <v/>
      </c>
      <c r="C17" s="101" t="n"/>
      <c r="D17" s="102" t="n"/>
      <c r="G17" s="80" t="inlineStr">
        <is>
          <t>Timing</t>
        </is>
      </c>
      <c r="H17" s="103">
        <f>IF(G13="","",batches!F5)</f>
        <v/>
      </c>
      <c r="I17" s="101" t="n"/>
      <c r="J17" s="102" t="n"/>
    </row>
    <row r="18" ht="21.75" customHeight="1" s="84">
      <c r="A18" s="80" t="inlineStr">
        <is>
          <t>Capacity</t>
        </is>
      </c>
      <c r="B18" s="103">
        <f>IF(A13="","",batches!G4)</f>
        <v/>
      </c>
      <c r="C18" s="101" t="n"/>
      <c r="D18" s="102" t="n"/>
      <c r="G18" s="80" t="inlineStr">
        <is>
          <t>Capacity</t>
        </is>
      </c>
      <c r="H18" s="103">
        <f>IF(G13="","",batches!G5)</f>
        <v/>
      </c>
      <c r="I18" s="101" t="n"/>
      <c r="J18" s="102" t="n"/>
    </row>
    <row r="19" ht="21.75" customHeight="1" s="84">
      <c r="A19" s="80" t="inlineStr">
        <is>
          <t>Enrolled</t>
        </is>
      </c>
      <c r="B19" s="103">
        <f>IF(A13="","",COUNTIF(admissions!$M:$M,batches!A4))</f>
        <v/>
      </c>
      <c r="C19" s="101" t="n"/>
      <c r="D19" s="102" t="n"/>
      <c r="G19" s="80" t="inlineStr">
        <is>
          <t>Enrolled</t>
        </is>
      </c>
      <c r="H19" s="103">
        <f>IF(G13="","",COUNTIF(admissions!$M:$M,batches!A5))</f>
        <v/>
      </c>
      <c r="I19" s="101" t="n"/>
      <c r="J19" s="102" t="n"/>
    </row>
    <row r="20" ht="21.75" customHeight="1" s="84">
      <c r="A20" s="80" t="inlineStr">
        <is>
          <t>Available</t>
        </is>
      </c>
      <c r="B20" s="103">
        <f>IF(OR(batches!A4="",batches!G4=""),"",batches!G4-COUNTIF(admissions!$M:$M,batches!A4))</f>
        <v/>
      </c>
      <c r="C20" s="101" t="n"/>
      <c r="D20" s="102" t="n"/>
      <c r="G20" s="80" t="inlineStr">
        <is>
          <t>Available</t>
        </is>
      </c>
      <c r="H20" s="103">
        <f>IF(OR(batches!A5="",batches!G5=""),"",batches!G5-COUNTIF(admissions!$M:$M,batches!A5))</f>
        <v/>
      </c>
      <c r="I20" s="101" t="n"/>
      <c r="J20" s="102" t="n"/>
    </row>
    <row r="21" ht="21.75" customHeight="1" s="84">
      <c r="A21" s="104" t="inlineStr">
        <is>
          <t>Student List</t>
        </is>
      </c>
      <c r="B21" s="101" t="n"/>
      <c r="C21" s="101" t="n"/>
      <c r="D21" s="102" t="n"/>
      <c r="G21" s="104" t="inlineStr">
        <is>
          <t>Student List</t>
        </is>
      </c>
      <c r="H21" s="101" t="n"/>
      <c r="I21" s="101" t="n"/>
      <c r="J21" s="102" t="n"/>
    </row>
    <row r="22" ht="21.75" customHeight="1" s="84">
      <c r="A22" s="105">
        <f>IFERROR(__xludf.DUMMYFUNCTION("IF(batches!A4="""","""",TEXTJOIN(CHAR(10),TRUE,FILTER(admissions!$G$2:$G$78,admissions!$M$2:$M$78=batches!A4,"""")))"),"#N/A")</f>
        <v/>
      </c>
      <c r="B22" s="101" t="n"/>
      <c r="C22" s="101" t="n"/>
      <c r="D22" s="102" t="n"/>
      <c r="G22" s="105">
        <f>IFERROR(__xludf.DUMMYFUNCTION("IF(batches!A5="""","""",TEXTJOIN(CHAR(10),TRUE,FILTER(admissions!$G$2:$G$78,admissions!$M$2:$M$78=batches!A5,"""")))"),"#N/A")</f>
        <v/>
      </c>
      <c r="H22" s="101" t="n"/>
      <c r="I22" s="101" t="n"/>
      <c r="J22" s="102" t="n"/>
    </row>
    <row r="23" ht="21.75" customHeight="1" s="84"/>
    <row r="24" ht="21.75" customHeight="1" s="84"/>
    <row r="25" ht="21.75" customHeight="1" s="84">
      <c r="A25" s="100">
        <f>IF(batches!A6="","",batches!A6)</f>
        <v/>
      </c>
      <c r="B25" s="101" t="n"/>
      <c r="C25" s="101" t="n"/>
      <c r="D25" s="102" t="n"/>
      <c r="G25" s="100">
        <f>IF(batches!A7="","",batches!A7)</f>
        <v/>
      </c>
      <c r="H25" s="101" t="n"/>
      <c r="I25" s="101" t="n"/>
      <c r="J25" s="102" t="n"/>
    </row>
    <row r="26" ht="21.75" customHeight="1" s="84">
      <c r="A26" s="80" t="inlineStr">
        <is>
          <t>Level / Mode</t>
        </is>
      </c>
      <c r="B26" s="103">
        <f>IF(A25="","",batches!B6&amp;" / "&amp;batches!C6)</f>
        <v/>
      </c>
      <c r="C26" s="101" t="n"/>
      <c r="D26" s="102" t="n"/>
      <c r="G26" s="80" t="inlineStr">
        <is>
          <t>Level / Mode</t>
        </is>
      </c>
      <c r="H26" s="103">
        <f>IF(G25="","",batches!B7&amp;" / "&amp;batches!C7)</f>
        <v/>
      </c>
      <c r="I26" s="101" t="n"/>
      <c r="J26" s="102" t="n"/>
    </row>
    <row r="27" ht="21.75" customHeight="1" s="84">
      <c r="A27" s="80" t="inlineStr">
        <is>
          <t>Dates</t>
        </is>
      </c>
      <c r="B27" s="103">
        <f>IF(A25="","",TEXT(batches!D6,"yyyy-mm-dd")&amp;" to "&amp;TEXT(batches!E6,"yyyy-mm-dd"))</f>
        <v/>
      </c>
      <c r="C27" s="101" t="n"/>
      <c r="D27" s="102" t="n"/>
      <c r="G27" s="80" t="inlineStr">
        <is>
          <t>Dates</t>
        </is>
      </c>
      <c r="H27" s="103">
        <f>IF(G25="","",TEXT(batches!D7,"yyyy-mm-dd")&amp;" to "&amp;TEXT(batches!E7,"yyyy-mm-dd"))</f>
        <v/>
      </c>
      <c r="I27" s="101" t="n"/>
      <c r="J27" s="102" t="n"/>
    </row>
    <row r="28" ht="21.75" customHeight="1" s="84">
      <c r="A28" s="80" t="inlineStr">
        <is>
          <t>Duration</t>
        </is>
      </c>
      <c r="B28" s="103">
        <f>IF(OR(batches!D6="",batches!E6=""),"",batches!E6-batches!D6+1&amp;" days")</f>
        <v/>
      </c>
      <c r="C28" s="101" t="n"/>
      <c r="D28" s="102" t="n"/>
      <c r="G28" s="80" t="inlineStr">
        <is>
          <t>Duration</t>
        </is>
      </c>
      <c r="H28" s="103">
        <f>IF(OR(batches!D7="",batches!E7=""),"",batches!E7-batches!D7+1&amp;" days")</f>
        <v/>
      </c>
      <c r="I28" s="101" t="n"/>
      <c r="J28" s="102" t="n"/>
    </row>
    <row r="29" ht="21.75" customHeight="1" s="84">
      <c r="A29" s="80" t="inlineStr">
        <is>
          <t>Timing</t>
        </is>
      </c>
      <c r="B29" s="103">
        <f>IF(A25="","",batches!F6)</f>
        <v/>
      </c>
      <c r="C29" s="101" t="n"/>
      <c r="D29" s="102" t="n"/>
      <c r="G29" s="80" t="inlineStr">
        <is>
          <t>Timing</t>
        </is>
      </c>
      <c r="H29" s="103">
        <f>IF(G25="","",batches!F7)</f>
        <v/>
      </c>
      <c r="I29" s="101" t="n"/>
      <c r="J29" s="102" t="n"/>
    </row>
    <row r="30" ht="21.75" customHeight="1" s="84">
      <c r="A30" s="80" t="inlineStr">
        <is>
          <t>Capacity</t>
        </is>
      </c>
      <c r="B30" s="103">
        <f>IF(A25="","",batches!G6)</f>
        <v/>
      </c>
      <c r="C30" s="101" t="n"/>
      <c r="D30" s="102" t="n"/>
      <c r="G30" s="80" t="inlineStr">
        <is>
          <t>Capacity</t>
        </is>
      </c>
      <c r="H30" s="103">
        <f>IF(G25="","",batches!G7)</f>
        <v/>
      </c>
      <c r="I30" s="101" t="n"/>
      <c r="J30" s="102" t="n"/>
    </row>
    <row r="31" ht="21.75" customHeight="1" s="84">
      <c r="A31" s="80" t="inlineStr">
        <is>
          <t>Enrolled</t>
        </is>
      </c>
      <c r="B31" s="103">
        <f>IF(A25="","",COUNTIF(admissions!$M:$M,batches!A6))</f>
        <v/>
      </c>
      <c r="C31" s="101" t="n"/>
      <c r="D31" s="102" t="n"/>
      <c r="G31" s="80" t="inlineStr">
        <is>
          <t>Enrolled</t>
        </is>
      </c>
      <c r="H31" s="103">
        <f>IF(G25="","",COUNTIF(admissions!$M:$M,batches!A7))</f>
        <v/>
      </c>
      <c r="I31" s="101" t="n"/>
      <c r="J31" s="102" t="n"/>
    </row>
    <row r="32" ht="21.75" customHeight="1" s="84">
      <c r="A32" s="80" t="inlineStr">
        <is>
          <t>Available</t>
        </is>
      </c>
      <c r="B32" s="103">
        <f>IF(OR(batches!A6="",batches!G6=""),"",batches!G6-COUNTIF(admissions!$M:$M,batches!A6))</f>
        <v/>
      </c>
      <c r="C32" s="101" t="n"/>
      <c r="D32" s="102" t="n"/>
      <c r="G32" s="80" t="inlineStr">
        <is>
          <t>Available</t>
        </is>
      </c>
      <c r="H32" s="103">
        <f>IF(OR(batches!A7="",batches!G7=""),"",batches!G7-COUNTIF(admissions!$M:$M,batches!A7))</f>
        <v/>
      </c>
      <c r="I32" s="101" t="n"/>
      <c r="J32" s="102" t="n"/>
    </row>
    <row r="33" ht="21.75" customHeight="1" s="84">
      <c r="A33" s="104" t="inlineStr">
        <is>
          <t>Student List</t>
        </is>
      </c>
      <c r="B33" s="101" t="n"/>
      <c r="C33" s="101" t="n"/>
      <c r="D33" s="102" t="n"/>
      <c r="G33" s="104" t="inlineStr">
        <is>
          <t>Student List</t>
        </is>
      </c>
      <c r="H33" s="101" t="n"/>
      <c r="I33" s="101" t="n"/>
      <c r="J33" s="102" t="n"/>
    </row>
    <row r="34" ht="21.75" customHeight="1" s="84">
      <c r="A34" s="105">
        <f>IFERROR(__xludf.DUMMYFUNCTION("IF(batches!A6="""","""",TEXTJOIN(CHAR(10),TRUE,FILTER(admissions!$G$2:$G$78,admissions!$M$2:$M$78=batches!A6,"""")))"),"#N/A")</f>
        <v/>
      </c>
      <c r="B34" s="101" t="n"/>
      <c r="C34" s="101" t="n"/>
      <c r="D34" s="102" t="n"/>
      <c r="G34" s="105">
        <f>IFERROR(__xludf.DUMMYFUNCTION("IF(batches!A7="""","""",TEXTJOIN(CHAR(10),TRUE,FILTER(admissions!$G$2:$G$78,admissions!$M$2:$M$78=batches!A7,"""")))"),"#N/A")</f>
        <v/>
      </c>
      <c r="H34" s="101" t="n"/>
      <c r="I34" s="101" t="n"/>
      <c r="J34" s="102" t="n"/>
    </row>
    <row r="35" ht="21.75" customHeight="1" s="84"/>
    <row r="36" ht="21.75" customHeight="1" s="84"/>
    <row r="37" ht="21.75" customHeight="1" s="84">
      <c r="A37" s="100">
        <f>IF(batches!A8="","",batches!A8)</f>
        <v/>
      </c>
      <c r="B37" s="101" t="n"/>
      <c r="C37" s="101" t="n"/>
      <c r="D37" s="102" t="n"/>
      <c r="G37" s="100">
        <f>IF(batches!A9="","",batches!A9)</f>
        <v/>
      </c>
      <c r="H37" s="101" t="n"/>
      <c r="I37" s="101" t="n"/>
      <c r="J37" s="102" t="n"/>
    </row>
    <row r="38" ht="21.75" customHeight="1" s="84">
      <c r="A38" s="80" t="inlineStr">
        <is>
          <t>Level / Mode</t>
        </is>
      </c>
      <c r="B38" s="103">
        <f>IF(A37="","",batches!B8&amp;" / "&amp;batches!C8)</f>
        <v/>
      </c>
      <c r="C38" s="101" t="n"/>
      <c r="D38" s="102" t="n"/>
      <c r="G38" s="80" t="inlineStr">
        <is>
          <t>Level / Mode</t>
        </is>
      </c>
      <c r="H38" s="103">
        <f>IF(G37="","",batches!B9&amp;" / "&amp;batches!C9)</f>
        <v/>
      </c>
      <c r="I38" s="101" t="n"/>
      <c r="J38" s="102" t="n"/>
    </row>
    <row r="39" ht="21.75" customHeight="1" s="84">
      <c r="A39" s="80" t="inlineStr">
        <is>
          <t>Dates</t>
        </is>
      </c>
      <c r="B39" s="103">
        <f>IF(A37="","",TEXT(batches!D8,"yyyy-mm-dd")&amp;" to "&amp;TEXT(batches!E8,"yyyy-mm-dd"))</f>
        <v/>
      </c>
      <c r="C39" s="101" t="n"/>
      <c r="D39" s="102" t="n"/>
      <c r="G39" s="80" t="inlineStr">
        <is>
          <t>Dates</t>
        </is>
      </c>
      <c r="H39" s="103">
        <f>IF(G37="","",TEXT(batches!D9,"yyyy-mm-dd")&amp;" to "&amp;TEXT(batches!E9,"yyyy-mm-dd"))</f>
        <v/>
      </c>
      <c r="I39" s="101" t="n"/>
      <c r="J39" s="102" t="n"/>
    </row>
    <row r="40" ht="21.75" customHeight="1" s="84">
      <c r="A40" s="80" t="inlineStr">
        <is>
          <t>Duration</t>
        </is>
      </c>
      <c r="B40" s="103">
        <f>IF(OR(batches!D8="",batches!E8=""),"",batches!E8-batches!D8+1&amp;" days")</f>
        <v/>
      </c>
      <c r="C40" s="101" t="n"/>
      <c r="D40" s="102" t="n"/>
      <c r="G40" s="80" t="inlineStr">
        <is>
          <t>Duration</t>
        </is>
      </c>
      <c r="H40" s="103">
        <f>IF(OR(batches!D9="",batches!E9=""),"",batches!E9-batches!D9+1&amp;" days")</f>
        <v/>
      </c>
      <c r="I40" s="101" t="n"/>
      <c r="J40" s="102" t="n"/>
    </row>
    <row r="41" ht="21.75" customHeight="1" s="84">
      <c r="A41" s="80" t="inlineStr">
        <is>
          <t>Timing</t>
        </is>
      </c>
      <c r="B41" s="103">
        <f>IF(A37="","",batches!F8)</f>
        <v/>
      </c>
      <c r="C41" s="101" t="n"/>
      <c r="D41" s="102" t="n"/>
      <c r="G41" s="80" t="inlineStr">
        <is>
          <t>Timing</t>
        </is>
      </c>
      <c r="H41" s="103">
        <f>IF(G37="","",batches!F9)</f>
        <v/>
      </c>
      <c r="I41" s="101" t="n"/>
      <c r="J41" s="102" t="n"/>
    </row>
    <row r="42" ht="21.75" customHeight="1" s="84">
      <c r="A42" s="80" t="inlineStr">
        <is>
          <t>Capacity</t>
        </is>
      </c>
      <c r="B42" s="103">
        <f>IF(A37="","",batches!G8)</f>
        <v/>
      </c>
      <c r="C42" s="101" t="n"/>
      <c r="D42" s="102" t="n"/>
      <c r="G42" s="80" t="inlineStr">
        <is>
          <t>Capacity</t>
        </is>
      </c>
      <c r="H42" s="103">
        <f>IF(G37="","",batches!G9)</f>
        <v/>
      </c>
      <c r="I42" s="101" t="n"/>
      <c r="J42" s="102" t="n"/>
    </row>
    <row r="43" ht="21.75" customHeight="1" s="84">
      <c r="A43" s="80" t="inlineStr">
        <is>
          <t>Enrolled</t>
        </is>
      </c>
      <c r="B43" s="103">
        <f>IF(A37="","",COUNTIF(admissions!$M:$M,batches!A8))</f>
        <v/>
      </c>
      <c r="C43" s="101" t="n"/>
      <c r="D43" s="102" t="n"/>
      <c r="G43" s="80" t="inlineStr">
        <is>
          <t>Enrolled</t>
        </is>
      </c>
      <c r="H43" s="103">
        <f>IF(G37="","",COUNTIF(admissions!$M:$M,batches!A9))</f>
        <v/>
      </c>
      <c r="I43" s="101" t="n"/>
      <c r="J43" s="102" t="n"/>
    </row>
    <row r="44" ht="21.75" customHeight="1" s="84">
      <c r="A44" s="80" t="inlineStr">
        <is>
          <t>Available</t>
        </is>
      </c>
      <c r="B44" s="103">
        <f>IF(OR(batches!A8="",batches!G8=""),"",batches!G8-COUNTIF(admissions!$M:$M,batches!A8))</f>
        <v/>
      </c>
      <c r="C44" s="101" t="n"/>
      <c r="D44" s="102" t="n"/>
      <c r="G44" s="80" t="inlineStr">
        <is>
          <t>Available</t>
        </is>
      </c>
      <c r="H44" s="103">
        <f>IF(OR(batches!A9="",batches!G9=""),"",batches!G9-COUNTIF(admissions!$M:$M,batches!A9))</f>
        <v/>
      </c>
      <c r="I44" s="101" t="n"/>
      <c r="J44" s="102" t="n"/>
    </row>
    <row r="45" ht="21.75" customHeight="1" s="84">
      <c r="A45" s="104" t="inlineStr">
        <is>
          <t>Student List</t>
        </is>
      </c>
      <c r="B45" s="101" t="n"/>
      <c r="C45" s="101" t="n"/>
      <c r="D45" s="102" t="n"/>
      <c r="G45" s="104" t="inlineStr">
        <is>
          <t>Student List</t>
        </is>
      </c>
      <c r="H45" s="101" t="n"/>
      <c r="I45" s="101" t="n"/>
      <c r="J45" s="102" t="n"/>
    </row>
    <row r="46" ht="21.75" customHeight="1" s="84">
      <c r="A46" s="105">
        <f>IFERROR(__xludf.DUMMYFUNCTION("IF(batches!A8="""","""",TEXTJOIN(CHAR(10),TRUE,FILTER(admissions!$G$2:$G$78,admissions!$M$2:$M$78=batches!A8,"""")))"),"#N/A")</f>
        <v/>
      </c>
      <c r="B46" s="101" t="n"/>
      <c r="C46" s="101" t="n"/>
      <c r="D46" s="102" t="n"/>
      <c r="G46" s="105">
        <f>IFERROR(__xludf.DUMMYFUNCTION("IF(batches!A9="""","""",TEXTJOIN(CHAR(10),TRUE,FILTER(admissions!$G$2:$G$78,admissions!$M$2:$M$78=batches!A9,"""")))"),"#N/A")</f>
        <v/>
      </c>
      <c r="H46" s="101" t="n"/>
      <c r="I46" s="101" t="n"/>
      <c r="J46" s="102" t="n"/>
    </row>
    <row r="47" ht="21.75" customHeight="1" s="84"/>
    <row r="48" ht="21.75" customHeight="1" s="84"/>
    <row r="49" ht="21.75" customHeight="1" s="84">
      <c r="A49" s="100">
        <f>IF(batches!A10="","",batches!A10)</f>
        <v/>
      </c>
      <c r="B49" s="101" t="n"/>
      <c r="C49" s="101" t="n"/>
      <c r="D49" s="102" t="n"/>
      <c r="G49" s="100">
        <f>IF(batches!A11="","",batches!A11)</f>
        <v/>
      </c>
      <c r="H49" s="101" t="n"/>
      <c r="I49" s="101" t="n"/>
      <c r="J49" s="102" t="n"/>
    </row>
    <row r="50" ht="21.75" customHeight="1" s="84">
      <c r="A50" s="80" t="inlineStr">
        <is>
          <t>Level / Mode</t>
        </is>
      </c>
      <c r="B50" s="103">
        <f>IF(A49="","",batches!B10&amp;" / "&amp;batches!C10)</f>
        <v/>
      </c>
      <c r="C50" s="101" t="n"/>
      <c r="D50" s="102" t="n"/>
      <c r="G50" s="80" t="inlineStr">
        <is>
          <t>Level / Mode</t>
        </is>
      </c>
      <c r="H50" s="103">
        <f>IF(G49="","",batches!B11&amp;" / "&amp;batches!C11)</f>
        <v/>
      </c>
      <c r="I50" s="101" t="n"/>
      <c r="J50" s="102" t="n"/>
    </row>
    <row r="51" ht="21.75" customHeight="1" s="84">
      <c r="A51" s="80" t="inlineStr">
        <is>
          <t>Dates</t>
        </is>
      </c>
      <c r="B51" s="103">
        <f>IF(A49="","",TEXT(batches!D10,"yyyy-mm-dd")&amp;" to "&amp;TEXT(batches!E10,"yyyy-mm-dd"))</f>
        <v/>
      </c>
      <c r="C51" s="101" t="n"/>
      <c r="D51" s="102" t="n"/>
      <c r="G51" s="80" t="inlineStr">
        <is>
          <t>Dates</t>
        </is>
      </c>
      <c r="H51" s="103">
        <f>IF(G49="","",TEXT(batches!D11,"yyyy-mm-dd")&amp;" to "&amp;TEXT(batches!E11,"yyyy-mm-dd"))</f>
        <v/>
      </c>
      <c r="I51" s="101" t="n"/>
      <c r="J51" s="102" t="n"/>
    </row>
    <row r="52" ht="21.75" customHeight="1" s="84">
      <c r="A52" s="80" t="inlineStr">
        <is>
          <t>Duration</t>
        </is>
      </c>
      <c r="B52" s="103">
        <f>IF(OR(batches!D10="",batches!E10=""),"",batches!E10-batches!D10+1&amp;" days")</f>
        <v/>
      </c>
      <c r="C52" s="101" t="n"/>
      <c r="D52" s="102" t="n"/>
      <c r="G52" s="80" t="inlineStr">
        <is>
          <t>Duration</t>
        </is>
      </c>
      <c r="H52" s="103">
        <f>IF(OR(batches!D11="",batches!E11=""),"",batches!E11-batches!D11+1&amp;" days")</f>
        <v/>
      </c>
      <c r="I52" s="101" t="n"/>
      <c r="J52" s="102" t="n"/>
    </row>
    <row r="53" ht="21.75" customHeight="1" s="84">
      <c r="A53" s="80" t="inlineStr">
        <is>
          <t>Timing</t>
        </is>
      </c>
      <c r="B53" s="103">
        <f>IF(A49="","",batches!F10)</f>
        <v/>
      </c>
      <c r="C53" s="101" t="n"/>
      <c r="D53" s="102" t="n"/>
      <c r="G53" s="80" t="inlineStr">
        <is>
          <t>Timing</t>
        </is>
      </c>
      <c r="H53" s="103">
        <f>IF(G49="","",batches!F11)</f>
        <v/>
      </c>
      <c r="I53" s="101" t="n"/>
      <c r="J53" s="102" t="n"/>
    </row>
    <row r="54" ht="21.75" customHeight="1" s="84">
      <c r="A54" s="80" t="inlineStr">
        <is>
          <t>Capacity</t>
        </is>
      </c>
      <c r="B54" s="103">
        <f>IF(A49="","",batches!G10)</f>
        <v/>
      </c>
      <c r="C54" s="101" t="n"/>
      <c r="D54" s="102" t="n"/>
      <c r="G54" s="80" t="inlineStr">
        <is>
          <t>Capacity</t>
        </is>
      </c>
      <c r="H54" s="103">
        <f>IF(G49="","",batches!G11)</f>
        <v/>
      </c>
      <c r="I54" s="101" t="n"/>
      <c r="J54" s="102" t="n"/>
    </row>
    <row r="55" ht="21.75" customHeight="1" s="84">
      <c r="A55" s="80" t="inlineStr">
        <is>
          <t>Enrolled</t>
        </is>
      </c>
      <c r="B55" s="103">
        <f>IF(A49="","",COUNTIF(admissions!$M:$M,batches!A10))</f>
        <v/>
      </c>
      <c r="C55" s="101" t="n"/>
      <c r="D55" s="102" t="n"/>
      <c r="G55" s="80" t="inlineStr">
        <is>
          <t>Enrolled</t>
        </is>
      </c>
      <c r="H55" s="103">
        <f>IF(G49="","",COUNTIF(admissions!$M:$M,batches!A11))</f>
        <v/>
      </c>
      <c r="I55" s="101" t="n"/>
      <c r="J55" s="102" t="n"/>
    </row>
    <row r="56" ht="21.75" customHeight="1" s="84">
      <c r="A56" s="80" t="inlineStr">
        <is>
          <t>Available</t>
        </is>
      </c>
      <c r="B56" s="103">
        <f>IF(OR(batches!A10="",batches!G10=""),"",batches!G10-COUNTIF(admissions!$M:$M,batches!A10))</f>
        <v/>
      </c>
      <c r="C56" s="101" t="n"/>
      <c r="D56" s="102" t="n"/>
      <c r="G56" s="80" t="inlineStr">
        <is>
          <t>Available</t>
        </is>
      </c>
      <c r="H56" s="103">
        <f>IF(OR(batches!A11="",batches!G11=""),"",batches!G11-COUNTIF(admissions!$M:$M,batches!A11))</f>
        <v/>
      </c>
      <c r="I56" s="101" t="n"/>
      <c r="J56" s="102" t="n"/>
    </row>
    <row r="57" ht="21.75" customHeight="1" s="84">
      <c r="A57" s="104" t="inlineStr">
        <is>
          <t>Student List</t>
        </is>
      </c>
      <c r="B57" s="101" t="n"/>
      <c r="C57" s="101" t="n"/>
      <c r="D57" s="102" t="n"/>
      <c r="G57" s="104" t="inlineStr">
        <is>
          <t>Student List</t>
        </is>
      </c>
      <c r="H57" s="101" t="n"/>
      <c r="I57" s="101" t="n"/>
      <c r="J57" s="102" t="n"/>
    </row>
    <row r="58" ht="21.75" customHeight="1" s="84">
      <c r="A58" s="105">
        <f>IFERROR(__xludf.DUMMYFUNCTION("IF(batches!A10="""","""",TEXTJOIN(CHAR(10),TRUE,FILTER(admissions!$G$2:$G$78,admissions!$M$2:$M$78=batches!A10,"""")))"),"#N/A")</f>
        <v/>
      </c>
      <c r="B58" s="101" t="n"/>
      <c r="C58" s="101" t="n"/>
      <c r="D58" s="102" t="n"/>
      <c r="G58" s="105">
        <f>IFERROR(__xludf.DUMMYFUNCTION("IF(batches!A11="""","""",TEXTJOIN(CHAR(10),TRUE,FILTER(admissions!$G$2:$G$78,admissions!$M$2:$M$78=batches!A11,"""")))"),"#N/A")</f>
        <v/>
      </c>
      <c r="H58" s="101" t="n"/>
      <c r="I58" s="101" t="n"/>
      <c r="J58" s="102" t="n"/>
    </row>
    <row r="59" ht="21.75" customHeight="1" s="84"/>
    <row r="60" ht="21.75" customHeight="1" s="84"/>
    <row r="61" ht="21.75" customHeight="1" s="84">
      <c r="A61" s="100">
        <f>IF(batches!A12="","",batches!A12)</f>
        <v/>
      </c>
      <c r="B61" s="101" t="n"/>
      <c r="C61" s="101" t="n"/>
      <c r="D61" s="102" t="n"/>
      <c r="G61" s="100">
        <f>IF(admissions!M81="","",admissions!M81)</f>
        <v/>
      </c>
      <c r="H61" s="101" t="n"/>
      <c r="I61" s="101" t="n"/>
      <c r="J61" s="102" t="n"/>
    </row>
    <row r="62" ht="21.75" customHeight="1" s="84">
      <c r="A62" s="80" t="inlineStr">
        <is>
          <t>Level / Mode</t>
        </is>
      </c>
      <c r="B62" s="103">
        <f>IF(A61="","",batches!B12&amp;" / "&amp;batches!C12)</f>
        <v/>
      </c>
      <c r="C62" s="101" t="n"/>
      <c r="D62" s="102" t="n"/>
      <c r="G62" s="80" t="inlineStr">
        <is>
          <t>Level / Mode</t>
        </is>
      </c>
      <c r="H62" s="103">
        <f>IF(G61="","",batches!B13&amp;" / "&amp;batches!C13)</f>
        <v/>
      </c>
      <c r="I62" s="101" t="n"/>
      <c r="J62" s="102" t="n"/>
    </row>
    <row r="63" ht="21.75" customHeight="1" s="84">
      <c r="A63" s="80" t="inlineStr">
        <is>
          <t>Dates</t>
        </is>
      </c>
      <c r="B63" s="103">
        <f>IF(A61="","",TEXT(batches!D12,"yyyy-mm-dd")&amp;" to "&amp;TEXT(batches!E12,"yyyy-mm-dd"))</f>
        <v/>
      </c>
      <c r="C63" s="101" t="n"/>
      <c r="D63" s="102" t="n"/>
      <c r="G63" s="80" t="inlineStr">
        <is>
          <t>Dates</t>
        </is>
      </c>
      <c r="H63" s="103">
        <f>IF(G61="","",TEXT(batches!D13,"yyyy-mm-dd")&amp;" to "&amp;TEXT(batches!E13,"yyyy-mm-dd"))</f>
        <v/>
      </c>
      <c r="I63" s="101" t="n"/>
      <c r="J63" s="102" t="n"/>
    </row>
    <row r="64" ht="21.75" customHeight="1" s="84">
      <c r="A64" s="80" t="inlineStr">
        <is>
          <t>Duration</t>
        </is>
      </c>
      <c r="B64" s="103">
        <f>IF(OR(batches!D12="",batches!E12=""),"",batches!E12-batches!D12+1&amp;" days")</f>
        <v/>
      </c>
      <c r="C64" s="101" t="n"/>
      <c r="D64" s="102" t="n"/>
      <c r="G64" s="80" t="inlineStr">
        <is>
          <t>Duration</t>
        </is>
      </c>
      <c r="H64" s="103">
        <f>IF(OR(batches!D13="",batches!E13=""),"",batches!E13-batches!D13+1&amp;" days")</f>
        <v/>
      </c>
      <c r="I64" s="101" t="n"/>
      <c r="J64" s="102" t="n"/>
    </row>
    <row r="65" ht="21.75" customHeight="1" s="84">
      <c r="A65" s="80" t="inlineStr">
        <is>
          <t>Timing</t>
        </is>
      </c>
      <c r="B65" s="103">
        <f>IF(A61="","",batches!F12)</f>
        <v/>
      </c>
      <c r="C65" s="101" t="n"/>
      <c r="D65" s="102" t="n"/>
      <c r="G65" s="80" t="inlineStr">
        <is>
          <t>Timing</t>
        </is>
      </c>
      <c r="H65" s="103">
        <f>IF(G61="","",batches!F13)</f>
        <v/>
      </c>
      <c r="I65" s="101" t="n"/>
      <c r="J65" s="102" t="n"/>
    </row>
    <row r="66" ht="21.75" customHeight="1" s="84">
      <c r="A66" s="80" t="inlineStr">
        <is>
          <t>Capacity</t>
        </is>
      </c>
      <c r="B66" s="103">
        <f>IF(A61="","",batches!G12)</f>
        <v/>
      </c>
      <c r="C66" s="101" t="n"/>
      <c r="D66" s="102" t="n"/>
      <c r="G66" s="80" t="inlineStr">
        <is>
          <t>Capacity</t>
        </is>
      </c>
      <c r="H66" s="103">
        <f>IF(G61="","",batches!G13)</f>
        <v/>
      </c>
      <c r="I66" s="101" t="n"/>
      <c r="J66" s="102" t="n"/>
    </row>
    <row r="67" ht="21.75" customHeight="1" s="84">
      <c r="A67" s="80" t="inlineStr">
        <is>
          <t>Enrolled</t>
        </is>
      </c>
      <c r="B67" s="103">
        <f>IF(A61="","",COUNTIF(admissions!$M:$M,batches!A12))</f>
        <v/>
      </c>
      <c r="C67" s="101" t="n"/>
      <c r="D67" s="102" t="n"/>
      <c r="G67" s="80" t="inlineStr">
        <is>
          <t>Enrolled</t>
        </is>
      </c>
      <c r="H67" s="103">
        <f>IF(G61="","",COUNTIF(admissions!$M:$M,admissions!M81))</f>
        <v/>
      </c>
      <c r="I67" s="101" t="n"/>
      <c r="J67" s="102" t="n"/>
    </row>
    <row r="68" ht="21.75" customHeight="1" s="84">
      <c r="A68" s="80" t="inlineStr">
        <is>
          <t>Available</t>
        </is>
      </c>
      <c r="B68" s="103">
        <f>IF(OR(batches!A12="",batches!G12=""),"",batches!G12-COUNTIF(admissions!$M:$M,batches!A12))</f>
        <v/>
      </c>
      <c r="C68" s="101" t="n"/>
      <c r="D68" s="102" t="n"/>
      <c r="G68" s="80" t="inlineStr">
        <is>
          <t>Available</t>
        </is>
      </c>
      <c r="H68" s="103">
        <f>IF(OR(admissions!M81="",batches!G13=""),"",batches!G13-COUNTIF(admissions!$M:$M,admissions!M81))</f>
        <v/>
      </c>
      <c r="I68" s="101" t="n"/>
      <c r="J68" s="102" t="n"/>
    </row>
    <row r="69" ht="21.75" customHeight="1" s="84">
      <c r="A69" s="104" t="inlineStr">
        <is>
          <t>Student List</t>
        </is>
      </c>
      <c r="B69" s="101" t="n"/>
      <c r="C69" s="101" t="n"/>
      <c r="D69" s="102" t="n"/>
      <c r="G69" s="104" t="inlineStr">
        <is>
          <t>Student List</t>
        </is>
      </c>
      <c r="H69" s="101" t="n"/>
      <c r="I69" s="101" t="n"/>
      <c r="J69" s="102" t="n"/>
    </row>
    <row r="70" ht="21.75" customHeight="1" s="84">
      <c r="A70" s="105">
        <f>IFERROR(__xludf.DUMMYFUNCTION("IF(batches!A12="""","""",TEXTJOIN(CHAR(10),TRUE,FILTER(admissions!$G$2:$G$78,admissions!$M$2:$M$78=batches!A12,"""")))"),"#N/A")</f>
        <v/>
      </c>
      <c r="B70" s="101" t="n"/>
      <c r="C70" s="101" t="n"/>
      <c r="D70" s="102" t="n"/>
      <c r="G70" s="105">
        <f>IFERROR(__xludf.DUMMYFUNCTION("IF(admissions!M81="""","""",TEXTJOIN(CHAR(10),TRUE,FILTER(admissions!$G$2:$G$78,admissions!$M$2:$M$78=admissions!M81,"""")))"),"#N/A")</f>
        <v/>
      </c>
      <c r="H70" s="101" t="n"/>
      <c r="I70" s="101" t="n"/>
      <c r="J70" s="102" t="n"/>
    </row>
    <row r="71" ht="21.75" customHeight="1" s="84"/>
    <row r="72" ht="21.75" customHeight="1" s="84"/>
    <row r="73" ht="21.75" customHeight="1" s="84">
      <c r="A73" s="100">
        <f>IF(batches!A14="","",batches!A14)</f>
        <v/>
      </c>
      <c r="B73" s="101" t="n"/>
      <c r="C73" s="101" t="n"/>
      <c r="D73" s="102" t="n"/>
      <c r="G73" s="100">
        <f>IF(batches!A15="","",batches!A15)</f>
        <v/>
      </c>
      <c r="H73" s="101" t="n"/>
      <c r="I73" s="101" t="n"/>
      <c r="J73" s="102" t="n"/>
    </row>
    <row r="74" ht="21.75" customHeight="1" s="84">
      <c r="A74" s="80" t="inlineStr">
        <is>
          <t>Level / Mode</t>
        </is>
      </c>
      <c r="B74" s="103">
        <f>IF(A73="","",batches!B14&amp;" / "&amp;batches!C14)</f>
        <v/>
      </c>
      <c r="C74" s="101" t="n"/>
      <c r="D74" s="102" t="n"/>
      <c r="G74" s="80" t="inlineStr">
        <is>
          <t>Level / Mode</t>
        </is>
      </c>
      <c r="H74" s="103">
        <f>IF(G73="","",batches!B15&amp;" / "&amp;batches!C15)</f>
        <v/>
      </c>
      <c r="I74" s="101" t="n"/>
      <c r="J74" s="102" t="n"/>
    </row>
    <row r="75" ht="21.75" customHeight="1" s="84">
      <c r="A75" s="80" t="inlineStr">
        <is>
          <t>Dates</t>
        </is>
      </c>
      <c r="B75" s="103">
        <f>IF(A73="","",TEXT(batches!D14,"yyyy-mm-dd")&amp;" to "&amp;TEXT(batches!E14,"yyyy-mm-dd"))</f>
        <v/>
      </c>
      <c r="C75" s="101" t="n"/>
      <c r="D75" s="102" t="n"/>
      <c r="G75" s="80" t="inlineStr">
        <is>
          <t>Dates</t>
        </is>
      </c>
      <c r="H75" s="103">
        <f>IF(G73="","",TEXT(batches!D15,"yyyy-mm-dd")&amp;" to "&amp;TEXT(batches!E15,"yyyy-mm-dd"))</f>
        <v/>
      </c>
      <c r="I75" s="101" t="n"/>
      <c r="J75" s="102" t="n"/>
    </row>
    <row r="76" ht="21.75" customHeight="1" s="84">
      <c r="A76" s="80" t="inlineStr">
        <is>
          <t>Duration</t>
        </is>
      </c>
      <c r="B76" s="103">
        <f>IF(OR(batches!D14="",batches!E14=""),"",batches!E14-batches!D14+1&amp;" days")</f>
        <v/>
      </c>
      <c r="C76" s="101" t="n"/>
      <c r="D76" s="102" t="n"/>
      <c r="G76" s="80" t="inlineStr">
        <is>
          <t>Duration</t>
        </is>
      </c>
      <c r="H76" s="103">
        <f>IF(OR(batches!D15="",batches!E15=""),"",batches!E15-batches!D15+1&amp;" days")</f>
        <v/>
      </c>
      <c r="I76" s="101" t="n"/>
      <c r="J76" s="102" t="n"/>
    </row>
    <row r="77" ht="21.75" customHeight="1" s="84">
      <c r="A77" s="80" t="inlineStr">
        <is>
          <t>Timing</t>
        </is>
      </c>
      <c r="B77" s="103">
        <f>IF(A73="","",#REF!)</f>
        <v/>
      </c>
      <c r="C77" s="101" t="n"/>
      <c r="D77" s="102" t="n"/>
      <c r="G77" s="80" t="inlineStr">
        <is>
          <t>Timing</t>
        </is>
      </c>
      <c r="H77" s="103">
        <f>IF(G73="","",batches!F14)</f>
        <v/>
      </c>
      <c r="I77" s="101" t="n"/>
      <c r="J77" s="102" t="n"/>
    </row>
    <row r="78" ht="21.75" customHeight="1" s="84">
      <c r="A78" s="80" t="inlineStr">
        <is>
          <t>Capacity</t>
        </is>
      </c>
      <c r="B78" s="103">
        <f>IF(A73="","",batches!G14)</f>
        <v/>
      </c>
      <c r="C78" s="101" t="n"/>
      <c r="D78" s="102" t="n"/>
      <c r="G78" s="80" t="inlineStr">
        <is>
          <t>Capacity</t>
        </is>
      </c>
      <c r="H78" s="103">
        <f>IF(G73="","",batches!G15)</f>
        <v/>
      </c>
      <c r="I78" s="101" t="n"/>
      <c r="J78" s="102" t="n"/>
    </row>
    <row r="79" ht="21.75" customHeight="1" s="84">
      <c r="A79" s="80" t="inlineStr">
        <is>
          <t>Enrolled</t>
        </is>
      </c>
      <c r="B79" s="103">
        <f>IF(A73="","",COUNTIF(admissions!$M:$M,batches!A14))</f>
        <v/>
      </c>
      <c r="C79" s="101" t="n"/>
      <c r="D79" s="102" t="n"/>
      <c r="G79" s="80" t="inlineStr">
        <is>
          <t>Enrolled</t>
        </is>
      </c>
      <c r="H79" s="103">
        <f>IF(G73="","",COUNTIF(admissions!$M:$M,batches!A15))</f>
        <v/>
      </c>
      <c r="I79" s="101" t="n"/>
      <c r="J79" s="102" t="n"/>
    </row>
    <row r="80" ht="21.75" customHeight="1" s="84">
      <c r="A80" s="80" t="inlineStr">
        <is>
          <t>Available</t>
        </is>
      </c>
      <c r="B80" s="103">
        <f>IF(OR(batches!A14="",batches!G14=""),"",batches!G14-COUNTIF(admissions!$M:$M,batches!A14))</f>
        <v/>
      </c>
      <c r="C80" s="101" t="n"/>
      <c r="D80" s="102" t="n"/>
      <c r="G80" s="80" t="inlineStr">
        <is>
          <t>Available</t>
        </is>
      </c>
      <c r="H80" s="103">
        <f>IF(OR(batches!A15="",batches!G15=""),"",batches!G15-COUNTIF(admissions!$M:$M,batches!A15))</f>
        <v/>
      </c>
      <c r="I80" s="101" t="n"/>
      <c r="J80" s="102" t="n"/>
    </row>
    <row r="81" ht="21.75" customHeight="1" s="84">
      <c r="A81" s="104" t="inlineStr">
        <is>
          <t>Student List</t>
        </is>
      </c>
      <c r="B81" s="101" t="n"/>
      <c r="C81" s="101" t="n"/>
      <c r="D81" s="102" t="n"/>
      <c r="G81" s="104" t="inlineStr">
        <is>
          <t>Student List</t>
        </is>
      </c>
      <c r="H81" s="101" t="n"/>
      <c r="I81" s="101" t="n"/>
      <c r="J81" s="102" t="n"/>
    </row>
    <row r="82" ht="21.75" customHeight="1" s="84">
      <c r="A82" s="105">
        <f>IFERROR(__xludf.DUMMYFUNCTION("IF(batches!A14="""","""",TEXTJOIN(CHAR(10),TRUE,FILTER(admissions!$G$2:$G$78,admissions!$M$2:$M$78=batches!A14,"""")))"),"#N/A")</f>
        <v/>
      </c>
      <c r="B82" s="101" t="n"/>
      <c r="C82" s="101" t="n"/>
      <c r="D82" s="102" t="n"/>
      <c r="G82" s="105">
        <f>IFERROR(__xludf.DUMMYFUNCTION("IF(batches!A15="""","""",TEXTJOIN(CHAR(10),TRUE,FILTER(admissions!$G$2:$G$78,admissions!$M$2:$M$78=batches!A15,"""")))"),"#N/A")</f>
        <v/>
      </c>
      <c r="H82" s="101" t="n"/>
      <c r="I82" s="101" t="n"/>
      <c r="J82" s="102" t="n"/>
    </row>
    <row r="83" ht="21.75" customHeight="1" s="84"/>
    <row r="84" ht="21.75" customHeight="1" s="84"/>
    <row r="85" ht="21.75" customHeight="1" s="84">
      <c r="A85" s="100">
        <f>IF(batches!A16="","",batches!A16)</f>
        <v/>
      </c>
      <c r="B85" s="101" t="n"/>
      <c r="C85" s="101" t="n"/>
      <c r="D85" s="102" t="n"/>
      <c r="G85" s="100">
        <f>IF(batches!A17="","",batches!A17)</f>
        <v/>
      </c>
      <c r="H85" s="101" t="n"/>
      <c r="I85" s="101" t="n"/>
      <c r="J85" s="102" t="n"/>
    </row>
    <row r="86" ht="21.75" customHeight="1" s="84">
      <c r="A86" s="80" t="inlineStr">
        <is>
          <t>Level / Mode</t>
        </is>
      </c>
      <c r="B86" s="103">
        <f>IF(A85="","",batches!B16&amp;" / "&amp;batches!C16)</f>
        <v/>
      </c>
      <c r="C86" s="101" t="n"/>
      <c r="D86" s="102" t="n"/>
      <c r="G86" s="80" t="inlineStr">
        <is>
          <t>Level / Mode</t>
        </is>
      </c>
      <c r="H86" s="103">
        <f>IF(G85="","",batches!B17&amp;" / "&amp;batches!C17)</f>
        <v/>
      </c>
      <c r="I86" s="101" t="n"/>
      <c r="J86" s="102" t="n"/>
    </row>
    <row r="87" ht="21.75" customHeight="1" s="84">
      <c r="A87" s="80" t="inlineStr">
        <is>
          <t>Dates</t>
        </is>
      </c>
      <c r="B87" s="103">
        <f>IF(A85="","",TEXT(batches!D16,"yyyy-mm-dd")&amp;" to "&amp;TEXT(batches!E16,"yyyy-mm-dd"))</f>
        <v/>
      </c>
      <c r="C87" s="101" t="n"/>
      <c r="D87" s="102" t="n"/>
      <c r="G87" s="80" t="inlineStr">
        <is>
          <t>Dates</t>
        </is>
      </c>
      <c r="H87" s="103">
        <f>IF(G85="","",TEXT(batches!D17,"yyyy-mm-dd")&amp;" to "&amp;TEXT(batches!E17,"yyyy-mm-dd"))</f>
        <v/>
      </c>
      <c r="I87" s="101" t="n"/>
      <c r="J87" s="102" t="n"/>
    </row>
    <row r="88" ht="21.75" customHeight="1" s="84">
      <c r="A88" s="80" t="inlineStr">
        <is>
          <t>Duration</t>
        </is>
      </c>
      <c r="B88" s="103">
        <f>IF(OR(batches!D16="",batches!E16=""),"",batches!E16-batches!D16+1&amp;" days")</f>
        <v/>
      </c>
      <c r="C88" s="101" t="n"/>
      <c r="D88" s="102" t="n"/>
      <c r="G88" s="80" t="inlineStr">
        <is>
          <t>Duration</t>
        </is>
      </c>
      <c r="H88" s="103">
        <f>IF(OR(batches!D17="",batches!E17=""),"",batches!E17-batches!D17+1&amp;" days")</f>
        <v/>
      </c>
      <c r="I88" s="101" t="n"/>
      <c r="J88" s="102" t="n"/>
    </row>
    <row r="89" ht="21.75" customHeight="1" s="84">
      <c r="A89" s="80" t="inlineStr">
        <is>
          <t>Timing</t>
        </is>
      </c>
      <c r="B89" s="103">
        <f>IF(A85="","",batches!F15)</f>
        <v/>
      </c>
      <c r="C89" s="101" t="n"/>
      <c r="D89" s="102" t="n"/>
      <c r="G89" s="80" t="inlineStr">
        <is>
          <t>Timing</t>
        </is>
      </c>
      <c r="H89" s="103">
        <f>IF(G85="","",batches!F16)</f>
        <v/>
      </c>
      <c r="I89" s="101" t="n"/>
      <c r="J89" s="102" t="n"/>
    </row>
    <row r="90" ht="21.75" customHeight="1" s="84">
      <c r="A90" s="80" t="inlineStr">
        <is>
          <t>Capacity</t>
        </is>
      </c>
      <c r="B90" s="103">
        <f>IF(A85="","",batches!G16)</f>
        <v/>
      </c>
      <c r="C90" s="101" t="n"/>
      <c r="D90" s="102" t="n"/>
      <c r="G90" s="80" t="inlineStr">
        <is>
          <t>Capacity</t>
        </is>
      </c>
      <c r="H90" s="103">
        <f>IF(G85="","",batches!G17)</f>
        <v/>
      </c>
      <c r="I90" s="101" t="n"/>
      <c r="J90" s="102" t="n"/>
    </row>
    <row r="91" ht="21.75" customHeight="1" s="84">
      <c r="A91" s="80" t="inlineStr">
        <is>
          <t>Enrolled</t>
        </is>
      </c>
      <c r="B91" s="103">
        <f>IF(A85="","",COUNTIF(admissions!$M:$M,batches!A16))</f>
        <v/>
      </c>
      <c r="C91" s="101" t="n"/>
      <c r="D91" s="102" t="n"/>
      <c r="G91" s="80" t="inlineStr">
        <is>
          <t>Enrolled</t>
        </is>
      </c>
      <c r="H91" s="103">
        <f>IF(G85="","",COUNTIF(admissions!$M:$M,batches!A17))</f>
        <v/>
      </c>
      <c r="I91" s="101" t="n"/>
      <c r="J91" s="102" t="n"/>
    </row>
    <row r="92" ht="21.75" customHeight="1" s="84">
      <c r="A92" s="80" t="inlineStr">
        <is>
          <t>Available</t>
        </is>
      </c>
      <c r="B92" s="103">
        <f>IF(OR(batches!A16="",batches!G16=""),"",batches!G16-COUNTIF(admissions!$M:$M,batches!A16))</f>
        <v/>
      </c>
      <c r="C92" s="101" t="n"/>
      <c r="D92" s="102" t="n"/>
      <c r="G92" s="80" t="inlineStr">
        <is>
          <t>Available</t>
        </is>
      </c>
      <c r="H92" s="103">
        <f>IF(OR(batches!A17="",batches!G17=""),"",batches!G17-COUNTIF(admissions!$M:$M,batches!A17))</f>
        <v/>
      </c>
      <c r="I92" s="101" t="n"/>
      <c r="J92" s="102" t="n"/>
    </row>
    <row r="93" ht="21.75" customHeight="1" s="84">
      <c r="A93" s="104" t="inlineStr">
        <is>
          <t>Student List</t>
        </is>
      </c>
      <c r="B93" s="101" t="n"/>
      <c r="C93" s="101" t="n"/>
      <c r="D93" s="102" t="n"/>
      <c r="G93" s="104" t="inlineStr">
        <is>
          <t>Student List</t>
        </is>
      </c>
      <c r="H93" s="101" t="n"/>
      <c r="I93" s="101" t="n"/>
      <c r="J93" s="102" t="n"/>
    </row>
    <row r="94" ht="21.75" customHeight="1" s="84">
      <c r="A94" s="105">
        <f>IFERROR(__xludf.DUMMYFUNCTION("IF(batches!A16="""","""",TEXTJOIN(CHAR(10),TRUE,FILTER(admissions!$G$2:$G$78,admissions!$M$2:$M$78=batches!A16,"""")))"),"#N/A")</f>
        <v/>
      </c>
      <c r="B94" s="101" t="n"/>
      <c r="C94" s="101" t="n"/>
      <c r="D94" s="102" t="n"/>
      <c r="G94" s="105">
        <f>IFERROR(__xludf.DUMMYFUNCTION("IF(batches!A17="""","""",TEXTJOIN(CHAR(10),TRUE,FILTER(admissions!$G$2:$G$78,admissions!$M$2:$M$78=batches!A17,"""")))"),"#N/A")</f>
        <v/>
      </c>
      <c r="H94" s="101" t="n"/>
      <c r="I94" s="101" t="n"/>
      <c r="J94" s="102" t="n"/>
    </row>
    <row r="95" ht="21.75" customHeight="1" s="84"/>
    <row r="96" ht="21.75" customHeight="1" s="84"/>
    <row r="97" ht="21.75" customHeight="1" s="84">
      <c r="A97" s="100">
        <f>IF(batches!A18="","",batches!A18)</f>
        <v/>
      </c>
      <c r="B97" s="101" t="n"/>
      <c r="C97" s="101" t="n"/>
      <c r="D97" s="102" t="n"/>
      <c r="G97" s="100">
        <f>IF(batches!A19="","",batches!A19)</f>
        <v/>
      </c>
      <c r="H97" s="101" t="n"/>
      <c r="I97" s="101" t="n"/>
      <c r="J97" s="102" t="n"/>
    </row>
    <row r="98" ht="21.75" customHeight="1" s="84">
      <c r="A98" s="80" t="inlineStr">
        <is>
          <t>Level / Mode</t>
        </is>
      </c>
      <c r="B98" s="103">
        <f>IF(A97="","",batches!B18&amp;" / "&amp;batches!C18)</f>
        <v/>
      </c>
      <c r="C98" s="101" t="n"/>
      <c r="D98" s="102" t="n"/>
      <c r="G98" s="80" t="inlineStr">
        <is>
          <t>Level / Mode</t>
        </is>
      </c>
      <c r="H98" s="103">
        <f>IF(G97="","",batches!B19&amp;" / "&amp;batches!C19)</f>
        <v/>
      </c>
      <c r="I98" s="101" t="n"/>
      <c r="J98" s="102" t="n"/>
    </row>
    <row r="99" ht="21.75" customHeight="1" s="84">
      <c r="A99" s="80" t="inlineStr">
        <is>
          <t>Dates</t>
        </is>
      </c>
      <c r="B99" s="103">
        <f>IF(A97="","",TEXT(batches!D18,"yyyy-mm-dd")&amp;" to "&amp;TEXT(batches!E18,"yyyy-mm-dd"))</f>
        <v/>
      </c>
      <c r="C99" s="101" t="n"/>
      <c r="D99" s="102" t="n"/>
      <c r="G99" s="80" t="inlineStr">
        <is>
          <t>Dates</t>
        </is>
      </c>
      <c r="H99" s="103">
        <f>IF(G97="","",TEXT(batches!D19,"yyyy-mm-dd")&amp;" to "&amp;TEXT(batches!E19,"yyyy-mm-dd"))</f>
        <v/>
      </c>
      <c r="I99" s="101" t="n"/>
      <c r="J99" s="102" t="n"/>
    </row>
    <row r="100" ht="21.75" customHeight="1" s="84">
      <c r="A100" s="80" t="inlineStr">
        <is>
          <t>Duration</t>
        </is>
      </c>
      <c r="B100" s="103">
        <f>IF(OR(batches!D18="",batches!E18=""),"",batches!E18-batches!D18+1&amp;" days")</f>
        <v/>
      </c>
      <c r="C100" s="101" t="n"/>
      <c r="D100" s="102" t="n"/>
      <c r="G100" s="80" t="inlineStr">
        <is>
          <t>Duration</t>
        </is>
      </c>
      <c r="H100" s="103">
        <f>IF(OR(batches!D19="",batches!E19=""),"",batches!E19-batches!D19+1&amp;" days")</f>
        <v/>
      </c>
      <c r="I100" s="101" t="n"/>
      <c r="J100" s="102" t="n"/>
    </row>
    <row r="101" ht="21.75" customHeight="1" s="84">
      <c r="A101" s="80" t="inlineStr">
        <is>
          <t>Timing</t>
        </is>
      </c>
      <c r="B101" s="103">
        <f>IF(A97="","",batches!F17)</f>
        <v/>
      </c>
      <c r="C101" s="101" t="n"/>
      <c r="D101" s="102" t="n"/>
      <c r="G101" s="80" t="inlineStr">
        <is>
          <t>Timing</t>
        </is>
      </c>
      <c r="H101" s="103">
        <f>IF(G97="","",batches!F19)</f>
        <v/>
      </c>
      <c r="I101" s="101" t="n"/>
      <c r="J101" s="102" t="n"/>
    </row>
    <row r="102" ht="21.75" customHeight="1" s="84">
      <c r="A102" s="80" t="inlineStr">
        <is>
          <t>Capacity</t>
        </is>
      </c>
      <c r="B102" s="103">
        <f>IF(A97="","",#REF!)</f>
        <v/>
      </c>
      <c r="C102" s="101" t="n"/>
      <c r="D102" s="102" t="n"/>
      <c r="G102" s="80" t="inlineStr">
        <is>
          <t>Capacity</t>
        </is>
      </c>
      <c r="H102" s="103">
        <f>IF(G97="","",batches!G19)</f>
        <v/>
      </c>
      <c r="I102" s="101" t="n"/>
      <c r="J102" s="102" t="n"/>
    </row>
    <row r="103" ht="21.75" customHeight="1" s="84">
      <c r="A103" s="80" t="inlineStr">
        <is>
          <t>Enrolled</t>
        </is>
      </c>
      <c r="B103" s="103">
        <f>IF(A97="","",COUNTIF(admissions!$M:$M,batches!A18))</f>
        <v/>
      </c>
      <c r="C103" s="101" t="n"/>
      <c r="D103" s="102" t="n"/>
      <c r="G103" s="80" t="inlineStr">
        <is>
          <t>Enrolled</t>
        </is>
      </c>
      <c r="H103" s="103">
        <f>IF(G97="","",COUNTIF(admissions!$M:$M,batches!A19))</f>
        <v/>
      </c>
      <c r="I103" s="101" t="n"/>
      <c r="J103" s="102" t="n"/>
    </row>
    <row r="104" ht="21.75" customHeight="1" s="84">
      <c r="A104" s="80" t="inlineStr">
        <is>
          <t>Available</t>
        </is>
      </c>
      <c r="B104" s="103">
        <f>IF(OR(batches!A18="",#REF!=""),"",#REF!-COUNTIF(admissions!$M:$M,batches!A18))</f>
        <v/>
      </c>
      <c r="C104" s="101" t="n"/>
      <c r="D104" s="102" t="n"/>
      <c r="G104" s="80" t="inlineStr">
        <is>
          <t>Available</t>
        </is>
      </c>
      <c r="H104" s="103">
        <f>IF(OR(batches!A19="",batches!G19=""),"",batches!G19-COUNTIF(admissions!$M:$M,batches!A19))</f>
        <v/>
      </c>
      <c r="I104" s="101" t="n"/>
      <c r="J104" s="102" t="n"/>
    </row>
    <row r="105" ht="21.75" customHeight="1" s="84">
      <c r="A105" s="104" t="inlineStr">
        <is>
          <t>Student List</t>
        </is>
      </c>
      <c r="B105" s="101" t="n"/>
      <c r="C105" s="101" t="n"/>
      <c r="D105" s="102" t="n"/>
      <c r="G105" s="104" t="inlineStr">
        <is>
          <t>Student List</t>
        </is>
      </c>
      <c r="H105" s="101" t="n"/>
      <c r="I105" s="101" t="n"/>
      <c r="J105" s="102" t="n"/>
    </row>
    <row r="106" ht="21.75" customHeight="1" s="84">
      <c r="A106" s="105">
        <f>IFERROR(__xludf.DUMMYFUNCTION("IF(batches!A18="""","""",TEXTJOIN(CHAR(10),TRUE,FILTER(admissions!$G$2:$G$78,admissions!$M$2:$M$78=batches!A18,"""")))"),"#N/A")</f>
        <v/>
      </c>
      <c r="B106" s="101" t="n"/>
      <c r="C106" s="101" t="n"/>
      <c r="D106" s="102" t="n"/>
      <c r="G106" s="105">
        <f>IFERROR(__xludf.DUMMYFUNCTION("IF(batches!A19="""","""",TEXTJOIN(CHAR(10),TRUE,FILTER(admissions!$G$2:$G$78,admissions!$M$2:$M$78=batches!A19,"""")))"),"#N/A")</f>
        <v/>
      </c>
      <c r="H106" s="101" t="n"/>
      <c r="I106" s="101" t="n"/>
      <c r="J106" s="102" t="n"/>
    </row>
    <row r="107" ht="21.75" customHeight="1" s="84"/>
    <row r="108" ht="21.75" customHeight="1" s="84"/>
    <row r="109" ht="21.75" customHeight="1" s="84">
      <c r="A109" s="100">
        <f>IF(batches!A20="","",batches!A20)</f>
        <v/>
      </c>
      <c r="B109" s="101" t="n"/>
      <c r="C109" s="101" t="n"/>
      <c r="D109" s="102" t="n"/>
      <c r="G109" s="100">
        <f>IF(batches!A21="","",batches!A21)</f>
        <v/>
      </c>
      <c r="H109" s="101" t="n"/>
      <c r="I109" s="101" t="n"/>
      <c r="J109" s="102" t="n"/>
    </row>
    <row r="110" ht="21.75" customHeight="1" s="84">
      <c r="A110" s="80" t="inlineStr">
        <is>
          <t>Level / Mode</t>
        </is>
      </c>
      <c r="B110" s="103">
        <f>IF(A109="","",batches!B20&amp;" / "&amp;batches!C20)</f>
        <v/>
      </c>
      <c r="C110" s="101" t="n"/>
      <c r="D110" s="102" t="n"/>
      <c r="G110" s="80" t="inlineStr">
        <is>
          <t>Level / Mode</t>
        </is>
      </c>
      <c r="H110" s="103">
        <f>IF(G109="","",batches!B21&amp;" / "&amp;batches!C21)</f>
        <v/>
      </c>
      <c r="I110" s="101" t="n"/>
      <c r="J110" s="102" t="n"/>
    </row>
    <row r="111" ht="21.75" customHeight="1" s="84">
      <c r="A111" s="80" t="inlineStr">
        <is>
          <t>Dates</t>
        </is>
      </c>
      <c r="B111" s="103">
        <f>IF(A109="","",TEXT(batches!D20,"yyyy-mm-dd")&amp;" to "&amp;TEXT(batches!E20,"yyyy-mm-dd"))</f>
        <v/>
      </c>
      <c r="C111" s="101" t="n"/>
      <c r="D111" s="102" t="n"/>
      <c r="G111" s="80" t="inlineStr">
        <is>
          <t>Dates</t>
        </is>
      </c>
      <c r="H111" s="103">
        <f>IF(G109="","",TEXT(batches!D21,"yyyy-mm-dd")&amp;" to "&amp;TEXT(batches!E21,"yyyy-mm-dd"))</f>
        <v/>
      </c>
      <c r="I111" s="101" t="n"/>
      <c r="J111" s="102" t="n"/>
    </row>
    <row r="112" ht="21.75" customHeight="1" s="84">
      <c r="A112" s="80" t="inlineStr">
        <is>
          <t>Duration</t>
        </is>
      </c>
      <c r="B112" s="103">
        <f>IF(OR(batches!D20="",batches!E20=""),"",batches!E20-batches!D20+1&amp;" days")</f>
        <v/>
      </c>
      <c r="C112" s="101" t="n"/>
      <c r="D112" s="102" t="n"/>
      <c r="G112" s="80" t="inlineStr">
        <is>
          <t>Duration</t>
        </is>
      </c>
      <c r="H112" s="103">
        <f>IF(OR(batches!D21="",batches!E21=""),"",batches!E21-batches!D21+1&amp;" days")</f>
        <v/>
      </c>
      <c r="I112" s="101" t="n"/>
      <c r="J112" s="102" t="n"/>
    </row>
    <row r="113" ht="21.75" customHeight="1" s="84">
      <c r="A113" s="80" t="inlineStr">
        <is>
          <t>Timing</t>
        </is>
      </c>
      <c r="B113" s="103">
        <f>IF(A109="","",batches!F20)</f>
        <v/>
      </c>
      <c r="C113" s="101" t="n"/>
      <c r="D113" s="102" t="n"/>
      <c r="G113" s="80" t="inlineStr">
        <is>
          <t>Timing</t>
        </is>
      </c>
      <c r="H113" s="103">
        <f>IF(G109="","",batches!F21)</f>
        <v/>
      </c>
      <c r="I113" s="101" t="n"/>
      <c r="J113" s="102" t="n"/>
    </row>
    <row r="114" ht="21.75" customHeight="1" s="84">
      <c r="A114" s="80" t="inlineStr">
        <is>
          <t>Capacity</t>
        </is>
      </c>
      <c r="B114" s="103">
        <f>IF(A109="","",batches!G20)</f>
        <v/>
      </c>
      <c r="C114" s="101" t="n"/>
      <c r="D114" s="102" t="n"/>
      <c r="G114" s="80" t="inlineStr">
        <is>
          <t>Capacity</t>
        </is>
      </c>
      <c r="H114" s="103">
        <f>IF(G109="","",batches!G21)</f>
        <v/>
      </c>
      <c r="I114" s="101" t="n"/>
      <c r="J114" s="102" t="n"/>
    </row>
    <row r="115" ht="21.75" customHeight="1" s="84">
      <c r="A115" s="80" t="inlineStr">
        <is>
          <t>Enrolled</t>
        </is>
      </c>
      <c r="B115" s="103">
        <f>IF(A109="","",COUNTIF(admissions!$M:$M,batches!A20))</f>
        <v/>
      </c>
      <c r="C115" s="101" t="n"/>
      <c r="D115" s="102" t="n"/>
      <c r="G115" s="80" t="inlineStr">
        <is>
          <t>Enrolled</t>
        </is>
      </c>
      <c r="H115" s="103">
        <f>IF(G109="","",COUNTIF(admissions!$M:$M,batches!A21))</f>
        <v/>
      </c>
      <c r="I115" s="101" t="n"/>
      <c r="J115" s="102" t="n"/>
    </row>
    <row r="116" ht="21.75" customHeight="1" s="84">
      <c r="A116" s="80" t="inlineStr">
        <is>
          <t>Available</t>
        </is>
      </c>
      <c r="B116" s="103">
        <f>IF(OR(batches!A20="",batches!G20=""),"",batches!G20-COUNTIF(admissions!$M:$M,batches!A20))</f>
        <v/>
      </c>
      <c r="C116" s="101" t="n"/>
      <c r="D116" s="102" t="n"/>
      <c r="G116" s="80" t="inlineStr">
        <is>
          <t>Available</t>
        </is>
      </c>
      <c r="H116" s="103">
        <f>IF(OR(batches!A21="",batches!G21=""),"",batches!G21-COUNTIF(admissions!$M:$M,batches!A21))</f>
        <v/>
      </c>
      <c r="I116" s="101" t="n"/>
      <c r="J116" s="102" t="n"/>
    </row>
    <row r="117" ht="21.75" customHeight="1" s="84">
      <c r="A117" s="104" t="inlineStr">
        <is>
          <t>Student List</t>
        </is>
      </c>
      <c r="B117" s="101" t="n"/>
      <c r="C117" s="101" t="n"/>
      <c r="D117" s="102" t="n"/>
      <c r="G117" s="104" t="inlineStr">
        <is>
          <t>Student List</t>
        </is>
      </c>
      <c r="H117" s="101" t="n"/>
      <c r="I117" s="101" t="n"/>
      <c r="J117" s="102" t="n"/>
    </row>
    <row r="118" ht="21.75" customHeight="1" s="84">
      <c r="A118" s="105">
        <f>IFERROR(__xludf.DUMMYFUNCTION("IF(batches!A20="""","""",TEXTJOIN(CHAR(10),TRUE,FILTER(admissions!$G$2:$G$78,admissions!$M$2:$M$78=batches!A20,"""")))"),"")</f>
        <v/>
      </c>
      <c r="B118" s="101" t="n"/>
      <c r="C118" s="101" t="n"/>
      <c r="D118" s="102" t="n"/>
      <c r="G118" s="105">
        <f>IFERROR(__xludf.DUMMYFUNCTION("IF(batches!A21="""","""",TEXTJOIN(CHAR(10),TRUE,FILTER(admissions!$G$2:$G$78,admissions!$M$2:$M$78=batches!A21,"""")))"),"")</f>
        <v/>
      </c>
      <c r="H118" s="101" t="n"/>
      <c r="I118" s="101" t="n"/>
      <c r="J118" s="102" t="n"/>
    </row>
    <row r="119" ht="21.75" customHeight="1" s="84"/>
    <row r="120" ht="21.75" customHeight="1" s="84"/>
    <row r="121" ht="21.75" customHeight="1" s="84">
      <c r="A121" s="100">
        <f>IF(batches!A22="","",batches!A22)</f>
        <v/>
      </c>
      <c r="B121" s="101" t="n"/>
      <c r="C121" s="101" t="n"/>
      <c r="D121" s="102" t="n"/>
      <c r="G121" s="100">
        <f>IF(batches!A23="","",batches!A23)</f>
        <v/>
      </c>
      <c r="H121" s="101" t="n"/>
      <c r="I121" s="101" t="n"/>
      <c r="J121" s="102" t="n"/>
    </row>
    <row r="122" ht="21.75" customHeight="1" s="84">
      <c r="A122" s="80" t="inlineStr">
        <is>
          <t>Level / Mode</t>
        </is>
      </c>
      <c r="B122" s="103">
        <f>IF(A121="","",batches!B22&amp;" / "&amp;batches!C22)</f>
        <v/>
      </c>
      <c r="C122" s="101" t="n"/>
      <c r="D122" s="102" t="n"/>
      <c r="G122" s="80" t="inlineStr">
        <is>
          <t>Level / Mode</t>
        </is>
      </c>
      <c r="H122" s="103">
        <f>IF(G121="","",batches!B23&amp;" / "&amp;batches!C23)</f>
        <v/>
      </c>
      <c r="I122" s="101" t="n"/>
      <c r="J122" s="102" t="n"/>
    </row>
    <row r="123" ht="21.75" customHeight="1" s="84">
      <c r="A123" s="80" t="inlineStr">
        <is>
          <t>Dates</t>
        </is>
      </c>
      <c r="B123" s="103">
        <f>IF(A121="","",TEXT(batches!D22,"yyyy-mm-dd")&amp;" to "&amp;TEXT(batches!E22,"yyyy-mm-dd"))</f>
        <v/>
      </c>
      <c r="C123" s="101" t="n"/>
      <c r="D123" s="102" t="n"/>
      <c r="G123" s="80" t="inlineStr">
        <is>
          <t>Dates</t>
        </is>
      </c>
      <c r="H123" s="103">
        <f>IF(G121="","",TEXT(batches!D23,"yyyy-mm-dd")&amp;" to "&amp;TEXT(batches!E23,"yyyy-mm-dd"))</f>
        <v/>
      </c>
      <c r="I123" s="101" t="n"/>
      <c r="J123" s="102" t="n"/>
    </row>
    <row r="124" ht="21.75" customHeight="1" s="84">
      <c r="A124" s="80" t="inlineStr">
        <is>
          <t>Duration</t>
        </is>
      </c>
      <c r="B124" s="103">
        <f>IF(OR(batches!D22="",batches!E22=""),"",batches!E22-batches!D22+1&amp;" days")</f>
        <v/>
      </c>
      <c r="C124" s="101" t="n"/>
      <c r="D124" s="102" t="n"/>
      <c r="G124" s="80" t="inlineStr">
        <is>
          <t>Duration</t>
        </is>
      </c>
      <c r="H124" s="103">
        <f>IF(OR(batches!D23="",batches!E23=""),"",batches!E23-batches!D23+1&amp;" days")</f>
        <v/>
      </c>
      <c r="I124" s="101" t="n"/>
      <c r="J124" s="102" t="n"/>
    </row>
    <row r="125" ht="21.75" customHeight="1" s="84">
      <c r="A125" s="80" t="inlineStr">
        <is>
          <t>Timing</t>
        </is>
      </c>
      <c r="B125" s="103">
        <f>IF(A121="","",batches!F22)</f>
        <v/>
      </c>
      <c r="C125" s="101" t="n"/>
      <c r="D125" s="102" t="n"/>
      <c r="G125" s="80" t="inlineStr">
        <is>
          <t>Timing</t>
        </is>
      </c>
      <c r="H125" s="103">
        <f>IF(G121="","",batches!F23)</f>
        <v/>
      </c>
      <c r="I125" s="101" t="n"/>
      <c r="J125" s="102" t="n"/>
    </row>
    <row r="126" ht="21.75" customHeight="1" s="84">
      <c r="A126" s="80" t="inlineStr">
        <is>
          <t>Capacity</t>
        </is>
      </c>
      <c r="B126" s="103">
        <f>IF(A121="","",batches!G22)</f>
        <v/>
      </c>
      <c r="C126" s="101" t="n"/>
      <c r="D126" s="102" t="n"/>
      <c r="G126" s="80" t="inlineStr">
        <is>
          <t>Capacity</t>
        </is>
      </c>
      <c r="H126" s="103">
        <f>IF(G121="","",batches!G23)</f>
        <v/>
      </c>
      <c r="I126" s="101" t="n"/>
      <c r="J126" s="102" t="n"/>
    </row>
    <row r="127" ht="21.75" customHeight="1" s="84">
      <c r="A127" s="80" t="inlineStr">
        <is>
          <t>Enrolled</t>
        </is>
      </c>
      <c r="B127" s="103">
        <f>IF(A121="","",COUNTIF(admissions!$M:$M,batches!A22))</f>
        <v/>
      </c>
      <c r="C127" s="101" t="n"/>
      <c r="D127" s="102" t="n"/>
      <c r="G127" s="80" t="inlineStr">
        <is>
          <t>Enrolled</t>
        </is>
      </c>
      <c r="H127" s="103">
        <f>IF(G121="","",COUNTIF(admissions!$M:$M,batches!A23))</f>
        <v/>
      </c>
      <c r="I127" s="101" t="n"/>
      <c r="J127" s="102" t="n"/>
    </row>
    <row r="128" ht="21.75" customHeight="1" s="84">
      <c r="A128" s="80" t="inlineStr">
        <is>
          <t>Available</t>
        </is>
      </c>
      <c r="B128" s="103">
        <f>IF(OR(batches!A22="",batches!G22=""),"",batches!G22-COUNTIF(admissions!$M:$M,batches!A22))</f>
        <v/>
      </c>
      <c r="C128" s="101" t="n"/>
      <c r="D128" s="102" t="n"/>
      <c r="G128" s="80" t="inlineStr">
        <is>
          <t>Available</t>
        </is>
      </c>
      <c r="H128" s="103">
        <f>IF(OR(batches!A23="",batches!G23=""),"",batches!G23-COUNTIF(admissions!$M:$M,batches!A23))</f>
        <v/>
      </c>
      <c r="I128" s="101" t="n"/>
      <c r="J128" s="102" t="n"/>
    </row>
    <row r="129" ht="21.75" customHeight="1" s="84">
      <c r="A129" s="104" t="inlineStr">
        <is>
          <t>Student List</t>
        </is>
      </c>
      <c r="B129" s="101" t="n"/>
      <c r="C129" s="101" t="n"/>
      <c r="D129" s="102" t="n"/>
      <c r="G129" s="104" t="inlineStr">
        <is>
          <t>Student List</t>
        </is>
      </c>
      <c r="H129" s="101" t="n"/>
      <c r="I129" s="101" t="n"/>
      <c r="J129" s="102" t="n"/>
    </row>
    <row r="130" ht="21.75" customHeight="1" s="84">
      <c r="A130" s="105">
        <f>IFERROR(__xludf.DUMMYFUNCTION("IF(batches!A22="""","""",TEXTJOIN(CHAR(10),TRUE,FILTER(admissions!$G$2:$G$78,admissions!$M$2:$M$78=batches!A22,"""")))"),"")</f>
        <v/>
      </c>
      <c r="B130" s="101" t="n"/>
      <c r="C130" s="101" t="n"/>
      <c r="D130" s="102" t="n"/>
      <c r="G130" s="105">
        <f>IFERROR(__xludf.DUMMYFUNCTION("IF(batches!A23="""","""",TEXTJOIN(CHAR(10),TRUE,FILTER(admissions!$G$2:$G$78,admissions!$M$2:$M$78=batches!A23,"""")))"),"")</f>
        <v/>
      </c>
      <c r="H130" s="101" t="n"/>
      <c r="I130" s="101" t="n"/>
      <c r="J130" s="102" t="n"/>
    </row>
    <row r="131" ht="21.75" customHeight="1" s="84"/>
    <row r="132" ht="21.75" customHeight="1" s="84"/>
    <row r="133" ht="21.75" customHeight="1" s="84">
      <c r="A133" s="100">
        <f>IF(batches!A24="","",batches!A24)</f>
        <v/>
      </c>
      <c r="B133" s="101" t="n"/>
      <c r="C133" s="101" t="n"/>
      <c r="D133" s="102" t="n"/>
      <c r="G133" s="100">
        <f>IF(batches!A25="","",batches!A25)</f>
        <v/>
      </c>
      <c r="H133" s="101" t="n"/>
      <c r="I133" s="101" t="n"/>
      <c r="J133" s="102" t="n"/>
    </row>
    <row r="134" ht="21.75" customHeight="1" s="84">
      <c r="A134" s="80" t="inlineStr">
        <is>
          <t>Level / Mode</t>
        </is>
      </c>
      <c r="B134" s="103">
        <f>IF(A133="","",batches!B24&amp;" / "&amp;batches!C24)</f>
        <v/>
      </c>
      <c r="C134" s="101" t="n"/>
      <c r="D134" s="102" t="n"/>
      <c r="G134" s="80" t="inlineStr">
        <is>
          <t>Level / Mode</t>
        </is>
      </c>
      <c r="H134" s="103">
        <f>IF(G133="","",batches!B25&amp;" / "&amp;batches!C25)</f>
        <v/>
      </c>
      <c r="I134" s="101" t="n"/>
      <c r="J134" s="102" t="n"/>
    </row>
    <row r="135" ht="21.75" customHeight="1" s="84">
      <c r="A135" s="80" t="inlineStr">
        <is>
          <t>Dates</t>
        </is>
      </c>
      <c r="B135" s="103">
        <f>IF(A133="","",TEXT(batches!D24,"yyyy-mm-dd")&amp;" to "&amp;TEXT(batches!E24,"yyyy-mm-dd"))</f>
        <v/>
      </c>
      <c r="C135" s="101" t="n"/>
      <c r="D135" s="102" t="n"/>
      <c r="G135" s="80" t="inlineStr">
        <is>
          <t>Dates</t>
        </is>
      </c>
      <c r="H135" s="103">
        <f>IF(G133="","",TEXT(batches!D25,"yyyy-mm-dd")&amp;" to "&amp;TEXT(batches!E25,"yyyy-mm-dd"))</f>
        <v/>
      </c>
      <c r="I135" s="101" t="n"/>
      <c r="J135" s="102" t="n"/>
    </row>
    <row r="136" ht="21.75" customHeight="1" s="84">
      <c r="A136" s="80" t="inlineStr">
        <is>
          <t>Duration</t>
        </is>
      </c>
      <c r="B136" s="103">
        <f>IF(OR(batches!D24="",batches!E24=""),"",batches!E24-batches!D24+1&amp;" days")</f>
        <v/>
      </c>
      <c r="C136" s="101" t="n"/>
      <c r="D136" s="102" t="n"/>
      <c r="G136" s="80" t="inlineStr">
        <is>
          <t>Duration</t>
        </is>
      </c>
      <c r="H136" s="103">
        <f>IF(OR(batches!D25="",batches!E25=""),"",batches!E25-batches!D25+1&amp;" days")</f>
        <v/>
      </c>
      <c r="I136" s="101" t="n"/>
      <c r="J136" s="102" t="n"/>
    </row>
    <row r="137" ht="21.75" customHeight="1" s="84">
      <c r="A137" s="80" t="inlineStr">
        <is>
          <t>Timing</t>
        </is>
      </c>
      <c r="B137" s="103">
        <f>IF(A133="","",batches!F24)</f>
        <v/>
      </c>
      <c r="C137" s="101" t="n"/>
      <c r="D137" s="102" t="n"/>
      <c r="G137" s="80" t="inlineStr">
        <is>
          <t>Timing</t>
        </is>
      </c>
      <c r="H137" s="103">
        <f>IF(G133="","",batches!F25)</f>
        <v/>
      </c>
      <c r="I137" s="101" t="n"/>
      <c r="J137" s="102" t="n"/>
    </row>
    <row r="138" ht="21.75" customHeight="1" s="84">
      <c r="A138" s="80" t="inlineStr">
        <is>
          <t>Capacity</t>
        </is>
      </c>
      <c r="B138" s="103">
        <f>IF(A133="","",batches!G24)</f>
        <v/>
      </c>
      <c r="C138" s="101" t="n"/>
      <c r="D138" s="102" t="n"/>
      <c r="G138" s="80" t="inlineStr">
        <is>
          <t>Capacity</t>
        </is>
      </c>
      <c r="H138" s="103">
        <f>IF(G133="","",batches!G25)</f>
        <v/>
      </c>
      <c r="I138" s="101" t="n"/>
      <c r="J138" s="102" t="n"/>
    </row>
    <row r="139" ht="21.75" customHeight="1" s="84">
      <c r="A139" s="80" t="inlineStr">
        <is>
          <t>Enrolled</t>
        </is>
      </c>
      <c r="B139" s="103">
        <f>IF(A133="","",COUNTIF(admissions!$M:$M,batches!A24))</f>
        <v/>
      </c>
      <c r="C139" s="101" t="n"/>
      <c r="D139" s="102" t="n"/>
      <c r="G139" s="80" t="inlineStr">
        <is>
          <t>Enrolled</t>
        </is>
      </c>
      <c r="H139" s="103">
        <f>IF(G133="","",COUNTIF(admissions!$M:$M,batches!A25))</f>
        <v/>
      </c>
      <c r="I139" s="101" t="n"/>
      <c r="J139" s="102" t="n"/>
    </row>
    <row r="140" ht="21.75" customHeight="1" s="84">
      <c r="A140" s="80" t="inlineStr">
        <is>
          <t>Available</t>
        </is>
      </c>
      <c r="B140" s="103">
        <f>IF(OR(batches!A24="",batches!G24=""),"",batches!G24-COUNTIF(admissions!$M:$M,batches!A24))</f>
        <v/>
      </c>
      <c r="C140" s="101" t="n"/>
      <c r="D140" s="102" t="n"/>
      <c r="G140" s="80" t="inlineStr">
        <is>
          <t>Available</t>
        </is>
      </c>
      <c r="H140" s="103">
        <f>IF(OR(batches!A25="",batches!G25=""),"",batches!G25-COUNTIF(admissions!$M:$M,batches!A25))</f>
        <v/>
      </c>
      <c r="I140" s="101" t="n"/>
      <c r="J140" s="102" t="n"/>
    </row>
    <row r="141" ht="21.75" customHeight="1" s="84">
      <c r="A141" s="104" t="inlineStr">
        <is>
          <t>Student List</t>
        </is>
      </c>
      <c r="B141" s="101" t="n"/>
      <c r="C141" s="101" t="n"/>
      <c r="D141" s="102" t="n"/>
      <c r="G141" s="104" t="inlineStr">
        <is>
          <t>Student List</t>
        </is>
      </c>
      <c r="H141" s="101" t="n"/>
      <c r="I141" s="101" t="n"/>
      <c r="J141" s="102" t="n"/>
    </row>
    <row r="142" ht="21.75" customHeight="1" s="84">
      <c r="A142" s="105">
        <f>IFERROR(__xludf.DUMMYFUNCTION("IF(batches!A24="""","""",TEXTJOIN(CHAR(10),TRUE,FILTER(admissions!$G$2:$G$78,admissions!$M$2:$M$78=batches!A24,"""")))"),"")</f>
        <v/>
      </c>
      <c r="B142" s="101" t="n"/>
      <c r="C142" s="101" t="n"/>
      <c r="D142" s="102" t="n"/>
      <c r="G142" s="105">
        <f>IFERROR(__xludf.DUMMYFUNCTION("IF(batches!A25="""","""",TEXTJOIN(CHAR(10),TRUE,FILTER(admissions!$G$2:$G$78,admissions!$M$2:$M$78=batches!A25,"""")))"),"")</f>
        <v/>
      </c>
      <c r="H142" s="101" t="n"/>
      <c r="I142" s="101" t="n"/>
      <c r="J142" s="102" t="n"/>
    </row>
    <row r="143" ht="21.75" customHeight="1" s="84"/>
    <row r="144" ht="21.75" customHeight="1" s="84"/>
    <row r="145" ht="21.75" customHeight="1" s="84">
      <c r="A145" s="100">
        <f>IF(batches!A26="","",batches!A26)</f>
        <v/>
      </c>
      <c r="B145" s="101" t="n"/>
      <c r="C145" s="101" t="n"/>
      <c r="D145" s="102" t="n"/>
      <c r="G145" s="100">
        <f>IF(batches!A27="","",batches!A27)</f>
        <v/>
      </c>
      <c r="H145" s="101" t="n"/>
      <c r="I145" s="101" t="n"/>
      <c r="J145" s="102" t="n"/>
    </row>
    <row r="146" ht="21.75" customHeight="1" s="84">
      <c r="A146" s="80" t="inlineStr">
        <is>
          <t>Level / Mode</t>
        </is>
      </c>
      <c r="B146" s="103">
        <f>IF(A145="","",batches!B26&amp;" / "&amp;batches!C26)</f>
        <v/>
      </c>
      <c r="C146" s="101" t="n"/>
      <c r="D146" s="102" t="n"/>
      <c r="G146" s="80" t="inlineStr">
        <is>
          <t>Level / Mode</t>
        </is>
      </c>
      <c r="H146" s="103">
        <f>IF(G145="","",batches!B27&amp;" / "&amp;batches!C27)</f>
        <v/>
      </c>
      <c r="I146" s="101" t="n"/>
      <c r="J146" s="102" t="n"/>
    </row>
    <row r="147" ht="21.75" customHeight="1" s="84">
      <c r="A147" s="80" t="inlineStr">
        <is>
          <t>Dates</t>
        </is>
      </c>
      <c r="B147" s="103">
        <f>IF(A145="","",TEXT(batches!D26,"yyyy-mm-dd")&amp;" to "&amp;TEXT(batches!E26,"yyyy-mm-dd"))</f>
        <v/>
      </c>
      <c r="C147" s="101" t="n"/>
      <c r="D147" s="102" t="n"/>
      <c r="G147" s="80" t="inlineStr">
        <is>
          <t>Dates</t>
        </is>
      </c>
      <c r="H147" s="103">
        <f>IF(G145="","",TEXT(batches!D27,"yyyy-mm-dd")&amp;" to "&amp;TEXT(batches!E27,"yyyy-mm-dd"))</f>
        <v/>
      </c>
      <c r="I147" s="101" t="n"/>
      <c r="J147" s="102" t="n"/>
    </row>
    <row r="148" ht="21.75" customHeight="1" s="84">
      <c r="A148" s="80" t="inlineStr">
        <is>
          <t>Duration</t>
        </is>
      </c>
      <c r="B148" s="103">
        <f>IF(OR(batches!D26="",batches!E26=""),"",batches!E26-batches!D26+1&amp;" days")</f>
        <v/>
      </c>
      <c r="C148" s="101" t="n"/>
      <c r="D148" s="102" t="n"/>
      <c r="G148" s="80" t="inlineStr">
        <is>
          <t>Duration</t>
        </is>
      </c>
      <c r="H148" s="103">
        <f>IF(OR(batches!D27="",batches!E27=""),"",batches!E27-batches!D27+1&amp;" days")</f>
        <v/>
      </c>
      <c r="I148" s="101" t="n"/>
      <c r="J148" s="102" t="n"/>
    </row>
    <row r="149" ht="21.75" customHeight="1" s="84">
      <c r="A149" s="80" t="inlineStr">
        <is>
          <t>Timing</t>
        </is>
      </c>
      <c r="B149" s="103">
        <f>IF(A145="","",batches!F26)</f>
        <v/>
      </c>
      <c r="C149" s="101" t="n"/>
      <c r="D149" s="102" t="n"/>
      <c r="G149" s="80" t="inlineStr">
        <is>
          <t>Timing</t>
        </is>
      </c>
      <c r="H149" s="103">
        <f>IF(G145="","",batches!F27)</f>
        <v/>
      </c>
      <c r="I149" s="101" t="n"/>
      <c r="J149" s="102" t="n"/>
    </row>
    <row r="150" ht="21.75" customHeight="1" s="84">
      <c r="A150" s="80" t="inlineStr">
        <is>
          <t>Capacity</t>
        </is>
      </c>
      <c r="B150" s="103">
        <f>IF(A145="","",batches!G26)</f>
        <v/>
      </c>
      <c r="C150" s="101" t="n"/>
      <c r="D150" s="102" t="n"/>
      <c r="G150" s="80" t="inlineStr">
        <is>
          <t>Capacity</t>
        </is>
      </c>
      <c r="H150" s="103">
        <f>IF(G145="","",batches!G27)</f>
        <v/>
      </c>
      <c r="I150" s="101" t="n"/>
      <c r="J150" s="102" t="n"/>
    </row>
    <row r="151" ht="21.75" customHeight="1" s="84">
      <c r="A151" s="80" t="inlineStr">
        <is>
          <t>Enrolled</t>
        </is>
      </c>
      <c r="B151" s="103">
        <f>IF(A145="","",COUNTIF(admissions!$M:$M,batches!A26))</f>
        <v/>
      </c>
      <c r="C151" s="101" t="n"/>
      <c r="D151" s="102" t="n"/>
      <c r="G151" s="80" t="inlineStr">
        <is>
          <t>Enrolled</t>
        </is>
      </c>
      <c r="H151" s="103">
        <f>IF(G145="","",COUNTIF(admissions!$M:$M,batches!A27))</f>
        <v/>
      </c>
      <c r="I151" s="101" t="n"/>
      <c r="J151" s="102" t="n"/>
    </row>
    <row r="152" ht="21.75" customHeight="1" s="84">
      <c r="A152" s="80" t="inlineStr">
        <is>
          <t>Available</t>
        </is>
      </c>
      <c r="B152" s="103">
        <f>IF(OR(batches!A26="",batches!G26=""),"",batches!G26-COUNTIF(admissions!$M:$M,batches!A26))</f>
        <v/>
      </c>
      <c r="C152" s="101" t="n"/>
      <c r="D152" s="102" t="n"/>
      <c r="G152" s="80" t="inlineStr">
        <is>
          <t>Available</t>
        </is>
      </c>
      <c r="H152" s="103">
        <f>IF(OR(batches!A27="",batches!G27=""),"",batches!G27-COUNTIF(admissions!$M:$M,batches!A27))</f>
        <v/>
      </c>
      <c r="I152" s="101" t="n"/>
      <c r="J152" s="102" t="n"/>
    </row>
    <row r="153" ht="21.75" customHeight="1" s="84">
      <c r="A153" s="104" t="inlineStr">
        <is>
          <t>Student List</t>
        </is>
      </c>
      <c r="B153" s="101" t="n"/>
      <c r="C153" s="101" t="n"/>
      <c r="D153" s="102" t="n"/>
      <c r="G153" s="104" t="inlineStr">
        <is>
          <t>Student List</t>
        </is>
      </c>
      <c r="H153" s="101" t="n"/>
      <c r="I153" s="101" t="n"/>
      <c r="J153" s="102" t="n"/>
    </row>
    <row r="154" ht="21.75" customHeight="1" s="84">
      <c r="A154" s="105">
        <f>IFERROR(__xludf.DUMMYFUNCTION("IF(batches!A26="""","""",TEXTJOIN(CHAR(10),TRUE,FILTER(admissions!$G$2:$G$78,admissions!$M$2:$M$78=batches!A26,"""")))"),"")</f>
        <v/>
      </c>
      <c r="B154" s="101" t="n"/>
      <c r="C154" s="101" t="n"/>
      <c r="D154" s="102" t="n"/>
      <c r="G154" s="105">
        <f>IFERROR(__xludf.DUMMYFUNCTION("IF(batches!A27="""","""",TEXTJOIN(CHAR(10),TRUE,FILTER(admissions!$G$2:$G$78,admissions!$M$2:$M$78=batches!A27,"""")))"),"")</f>
        <v/>
      </c>
      <c r="H154" s="101" t="n"/>
      <c r="I154" s="101" t="n"/>
      <c r="J154" s="102" t="n"/>
    </row>
    <row r="155" ht="21.75" customHeight="1" s="84"/>
    <row r="156" ht="21.75" customHeight="1" s="84"/>
    <row r="157" ht="21.75" customHeight="1" s="84">
      <c r="A157" s="100">
        <f>IF(batches!A28="","",batches!A28)</f>
        <v/>
      </c>
      <c r="B157" s="101" t="n"/>
      <c r="C157" s="101" t="n"/>
      <c r="D157" s="102" t="n"/>
      <c r="G157" s="100">
        <f>IF(batches!A29="","",batches!A29)</f>
        <v/>
      </c>
      <c r="H157" s="101" t="n"/>
      <c r="I157" s="101" t="n"/>
      <c r="J157" s="102" t="n"/>
    </row>
    <row r="158" ht="21.75" customHeight="1" s="84">
      <c r="A158" s="80" t="inlineStr">
        <is>
          <t>Level / Mode</t>
        </is>
      </c>
      <c r="B158" s="103">
        <f>IF(A157="","",batches!B28&amp;" / "&amp;batches!C28)</f>
        <v/>
      </c>
      <c r="C158" s="101" t="n"/>
      <c r="D158" s="102" t="n"/>
      <c r="G158" s="80" t="inlineStr">
        <is>
          <t>Level / Mode</t>
        </is>
      </c>
      <c r="H158" s="103">
        <f>IF(G157="","",batches!B29&amp;" / "&amp;batches!C29)</f>
        <v/>
      </c>
      <c r="I158" s="101" t="n"/>
      <c r="J158" s="102" t="n"/>
    </row>
    <row r="159" ht="21.75" customHeight="1" s="84">
      <c r="A159" s="80" t="inlineStr">
        <is>
          <t>Dates</t>
        </is>
      </c>
      <c r="B159" s="103">
        <f>IF(A157="","",TEXT(batches!D28,"yyyy-mm-dd")&amp;" to "&amp;TEXT(batches!E28,"yyyy-mm-dd"))</f>
        <v/>
      </c>
      <c r="C159" s="101" t="n"/>
      <c r="D159" s="102" t="n"/>
      <c r="G159" s="80" t="inlineStr">
        <is>
          <t>Dates</t>
        </is>
      </c>
      <c r="H159" s="103">
        <f>IF(G157="","",TEXT(batches!D29,"yyyy-mm-dd")&amp;" to "&amp;TEXT(batches!E29,"yyyy-mm-dd"))</f>
        <v/>
      </c>
      <c r="I159" s="101" t="n"/>
      <c r="J159" s="102" t="n"/>
    </row>
    <row r="160" ht="21.75" customHeight="1" s="84">
      <c r="A160" s="80" t="inlineStr">
        <is>
          <t>Duration</t>
        </is>
      </c>
      <c r="B160" s="103">
        <f>IF(OR(batches!D28="",batches!E28=""),"",batches!E28-batches!D28+1&amp;" days")</f>
        <v/>
      </c>
      <c r="C160" s="101" t="n"/>
      <c r="D160" s="102" t="n"/>
      <c r="G160" s="80" t="inlineStr">
        <is>
          <t>Duration</t>
        </is>
      </c>
      <c r="H160" s="103">
        <f>IF(OR(batches!D29="",batches!E29=""),"",batches!E29-batches!D29+1&amp;" days")</f>
        <v/>
      </c>
      <c r="I160" s="101" t="n"/>
      <c r="J160" s="102" t="n"/>
    </row>
    <row r="161" ht="21.75" customHeight="1" s="84">
      <c r="A161" s="80" t="inlineStr">
        <is>
          <t>Timing</t>
        </is>
      </c>
      <c r="B161" s="103">
        <f>IF(A157="","",batches!F28)</f>
        <v/>
      </c>
      <c r="C161" s="101" t="n"/>
      <c r="D161" s="102" t="n"/>
      <c r="G161" s="80" t="inlineStr">
        <is>
          <t>Timing</t>
        </is>
      </c>
      <c r="H161" s="103">
        <f>IF(G157="","",batches!F29)</f>
        <v/>
      </c>
      <c r="I161" s="101" t="n"/>
      <c r="J161" s="102" t="n"/>
    </row>
    <row r="162" ht="21.75" customHeight="1" s="84">
      <c r="A162" s="80" t="inlineStr">
        <is>
          <t>Capacity</t>
        </is>
      </c>
      <c r="B162" s="103">
        <f>IF(A157="","",batches!G28)</f>
        <v/>
      </c>
      <c r="C162" s="101" t="n"/>
      <c r="D162" s="102" t="n"/>
      <c r="G162" s="80" t="inlineStr">
        <is>
          <t>Capacity</t>
        </is>
      </c>
      <c r="H162" s="103">
        <f>IF(G157="","",batches!G29)</f>
        <v/>
      </c>
      <c r="I162" s="101" t="n"/>
      <c r="J162" s="102" t="n"/>
    </row>
    <row r="163" ht="21.75" customHeight="1" s="84">
      <c r="A163" s="80" t="inlineStr">
        <is>
          <t>Enrolled</t>
        </is>
      </c>
      <c r="B163" s="103">
        <f>IF(A157="","",COUNTIF(admissions!$M:$M,batches!A28))</f>
        <v/>
      </c>
      <c r="C163" s="101" t="n"/>
      <c r="D163" s="102" t="n"/>
      <c r="G163" s="80" t="inlineStr">
        <is>
          <t>Enrolled</t>
        </is>
      </c>
      <c r="H163" s="103">
        <f>IF(G157="","",COUNTIF(admissions!$M:$M,batches!A29))</f>
        <v/>
      </c>
      <c r="I163" s="101" t="n"/>
      <c r="J163" s="102" t="n"/>
    </row>
    <row r="164" ht="21.75" customHeight="1" s="84">
      <c r="A164" s="80" t="inlineStr">
        <is>
          <t>Available</t>
        </is>
      </c>
      <c r="B164" s="103">
        <f>IF(OR(batches!A28="",batches!G28=""),"",batches!G28-COUNTIF(admissions!$M:$M,batches!A28))</f>
        <v/>
      </c>
      <c r="C164" s="101" t="n"/>
      <c r="D164" s="102" t="n"/>
      <c r="G164" s="80" t="inlineStr">
        <is>
          <t>Available</t>
        </is>
      </c>
      <c r="H164" s="103">
        <f>IF(OR(batches!A29="",batches!G29=""),"",batches!G29-COUNTIF(admissions!$M:$M,batches!A29))</f>
        <v/>
      </c>
      <c r="I164" s="101" t="n"/>
      <c r="J164" s="102" t="n"/>
    </row>
    <row r="165" ht="21.75" customHeight="1" s="84">
      <c r="A165" s="104" t="inlineStr">
        <is>
          <t>Student List</t>
        </is>
      </c>
      <c r="B165" s="101" t="n"/>
      <c r="C165" s="101" t="n"/>
      <c r="D165" s="102" t="n"/>
      <c r="G165" s="104" t="inlineStr">
        <is>
          <t>Student List</t>
        </is>
      </c>
      <c r="H165" s="101" t="n"/>
      <c r="I165" s="101" t="n"/>
      <c r="J165" s="102" t="n"/>
    </row>
    <row r="166" ht="21.75" customHeight="1" s="84">
      <c r="A166" s="105">
        <f>IFERROR(__xludf.DUMMYFUNCTION("IF(batches!A28="""","""",TEXTJOIN(CHAR(10),TRUE,FILTER(admissions!$G$2:$G$78,admissions!$M$2:$M$78=batches!A28,"""")))"),"")</f>
        <v/>
      </c>
      <c r="B166" s="101" t="n"/>
      <c r="C166" s="101" t="n"/>
      <c r="D166" s="102" t="n"/>
      <c r="G166" s="105">
        <f>IFERROR(__xludf.DUMMYFUNCTION("IF(batches!A29="""","""",TEXTJOIN(CHAR(10),TRUE,FILTER(admissions!$G$2:$G$78,admissions!$M$2:$M$78=batches!A29,"""")))"),"")</f>
        <v/>
      </c>
      <c r="H166" s="101" t="n"/>
      <c r="I166" s="101" t="n"/>
      <c r="J166" s="102" t="n"/>
    </row>
    <row r="167" ht="21.75" customHeight="1" s="84"/>
    <row r="168" ht="21.75" customHeight="1" s="84"/>
    <row r="169" ht="21.75" customHeight="1" s="84">
      <c r="A169" s="100">
        <f>IF(batches!A30="","",batches!A30)</f>
        <v/>
      </c>
      <c r="B169" s="101" t="n"/>
      <c r="C169" s="101" t="n"/>
      <c r="D169" s="102" t="n"/>
      <c r="G169" s="100">
        <f>IF(batches!A31="","",batches!A31)</f>
        <v/>
      </c>
      <c r="H169" s="101" t="n"/>
      <c r="I169" s="101" t="n"/>
      <c r="J169" s="102" t="n"/>
    </row>
    <row r="170" ht="21.75" customHeight="1" s="84">
      <c r="A170" s="80" t="inlineStr">
        <is>
          <t>Level / Mode</t>
        </is>
      </c>
      <c r="B170" s="103">
        <f>IF(A169="","",batches!B30&amp;" / "&amp;batches!C30)</f>
        <v/>
      </c>
      <c r="C170" s="101" t="n"/>
      <c r="D170" s="102" t="n"/>
      <c r="G170" s="80" t="inlineStr">
        <is>
          <t>Level / Mode</t>
        </is>
      </c>
      <c r="H170" s="103">
        <f>IF(G169="","",batches!B31&amp;" / "&amp;batches!C31)</f>
        <v/>
      </c>
      <c r="I170" s="101" t="n"/>
      <c r="J170" s="102" t="n"/>
    </row>
    <row r="171" ht="21.75" customHeight="1" s="84">
      <c r="A171" s="80" t="inlineStr">
        <is>
          <t>Dates</t>
        </is>
      </c>
      <c r="B171" s="103">
        <f>IF(A169="","",TEXT(batches!D30,"yyyy-mm-dd")&amp;" to "&amp;TEXT(batches!E30,"yyyy-mm-dd"))</f>
        <v/>
      </c>
      <c r="C171" s="101" t="n"/>
      <c r="D171" s="102" t="n"/>
      <c r="G171" s="80" t="inlineStr">
        <is>
          <t>Dates</t>
        </is>
      </c>
      <c r="H171" s="103">
        <f>IF(G169="","",TEXT(batches!D31,"yyyy-mm-dd")&amp;" to "&amp;TEXT(batches!E31,"yyyy-mm-dd"))</f>
        <v/>
      </c>
      <c r="I171" s="101" t="n"/>
      <c r="J171" s="102" t="n"/>
    </row>
    <row r="172" ht="21.75" customHeight="1" s="84">
      <c r="A172" s="80" t="inlineStr">
        <is>
          <t>Duration</t>
        </is>
      </c>
      <c r="B172" s="103">
        <f>IF(OR(batches!D30="",batches!E30=""),"",batches!E30-batches!D30+1&amp;" days")</f>
        <v/>
      </c>
      <c r="C172" s="101" t="n"/>
      <c r="D172" s="102" t="n"/>
      <c r="G172" s="80" t="inlineStr">
        <is>
          <t>Duration</t>
        </is>
      </c>
      <c r="H172" s="103">
        <f>IF(OR(batches!D31="",batches!E31=""),"",batches!E31-batches!D31+1&amp;" days")</f>
        <v/>
      </c>
      <c r="I172" s="101" t="n"/>
      <c r="J172" s="102" t="n"/>
    </row>
    <row r="173" ht="21.75" customHeight="1" s="84">
      <c r="A173" s="80" t="inlineStr">
        <is>
          <t>Timing</t>
        </is>
      </c>
      <c r="B173" s="103">
        <f>IF(A169="","",batches!F30)</f>
        <v/>
      </c>
      <c r="C173" s="101" t="n"/>
      <c r="D173" s="102" t="n"/>
      <c r="G173" s="80" t="inlineStr">
        <is>
          <t>Timing</t>
        </is>
      </c>
      <c r="H173" s="103">
        <f>IF(G169="","",batches!F31)</f>
        <v/>
      </c>
      <c r="I173" s="101" t="n"/>
      <c r="J173" s="102" t="n"/>
    </row>
    <row r="174" ht="21.75" customHeight="1" s="84">
      <c r="A174" s="80" t="inlineStr">
        <is>
          <t>Capacity</t>
        </is>
      </c>
      <c r="B174" s="103">
        <f>IF(A169="","",batches!G30)</f>
        <v/>
      </c>
      <c r="C174" s="101" t="n"/>
      <c r="D174" s="102" t="n"/>
      <c r="G174" s="80" t="inlineStr">
        <is>
          <t>Capacity</t>
        </is>
      </c>
      <c r="H174" s="103">
        <f>IF(G169="","",batches!G31)</f>
        <v/>
      </c>
      <c r="I174" s="101" t="n"/>
      <c r="J174" s="102" t="n"/>
    </row>
    <row r="175" ht="21.75" customHeight="1" s="84">
      <c r="A175" s="80" t="inlineStr">
        <is>
          <t>Enrolled</t>
        </is>
      </c>
      <c r="B175" s="103">
        <f>IF(A169="","",COUNTIF(admissions!$M:$M,batches!A30))</f>
        <v/>
      </c>
      <c r="C175" s="101" t="n"/>
      <c r="D175" s="102" t="n"/>
      <c r="G175" s="80" t="inlineStr">
        <is>
          <t>Enrolled</t>
        </is>
      </c>
      <c r="H175" s="103">
        <f>IF(G169="","",COUNTIF(admissions!$M:$M,batches!A31))</f>
        <v/>
      </c>
      <c r="I175" s="101" t="n"/>
      <c r="J175" s="102" t="n"/>
    </row>
    <row r="176" ht="21.75" customHeight="1" s="84">
      <c r="A176" s="80" t="inlineStr">
        <is>
          <t>Available</t>
        </is>
      </c>
      <c r="B176" s="103">
        <f>IF(OR(batches!A30="",batches!G30=""),"",batches!G30-COUNTIF(admissions!$M:$M,batches!A30))</f>
        <v/>
      </c>
      <c r="C176" s="101" t="n"/>
      <c r="D176" s="102" t="n"/>
      <c r="G176" s="80" t="inlineStr">
        <is>
          <t>Available</t>
        </is>
      </c>
      <c r="H176" s="103">
        <f>IF(OR(batches!A31="",batches!G31=""),"",batches!G31-COUNTIF(admissions!$M:$M,batches!A31))</f>
        <v/>
      </c>
      <c r="I176" s="101" t="n"/>
      <c r="J176" s="102" t="n"/>
    </row>
    <row r="177" ht="21.75" customHeight="1" s="84">
      <c r="A177" s="104" t="inlineStr">
        <is>
          <t>Student List</t>
        </is>
      </c>
      <c r="B177" s="101" t="n"/>
      <c r="C177" s="101" t="n"/>
      <c r="D177" s="102" t="n"/>
      <c r="G177" s="104" t="inlineStr">
        <is>
          <t>Student List</t>
        </is>
      </c>
      <c r="H177" s="101" t="n"/>
      <c r="I177" s="101" t="n"/>
      <c r="J177" s="102" t="n"/>
    </row>
    <row r="178" ht="21.75" customHeight="1" s="84">
      <c r="A178" s="105">
        <f>IFERROR(__xludf.DUMMYFUNCTION("IF(batches!A30="""","""",TEXTJOIN(CHAR(10),TRUE,FILTER(admissions!$G$2:$G$78,admissions!$M$2:$M$78=batches!A30,"""")))"),"")</f>
        <v/>
      </c>
      <c r="B178" s="101" t="n"/>
      <c r="C178" s="101" t="n"/>
      <c r="D178" s="102" t="n"/>
      <c r="G178" s="105">
        <f>IFERROR(__xludf.DUMMYFUNCTION("IF(batches!A31="""","""",TEXTJOIN(CHAR(10),TRUE,FILTER(admissions!$G$2:$G$78,admissions!$M$2:$M$78=batches!A31,"""")))"),"")</f>
        <v/>
      </c>
      <c r="H178" s="101" t="n"/>
      <c r="I178" s="101" t="n"/>
      <c r="J178" s="102" t="n"/>
    </row>
    <row r="179" ht="21.75" customHeight="1" s="84"/>
    <row r="180" ht="21.75" customHeight="1" s="84"/>
    <row r="181" ht="21.75" customHeight="1" s="84">
      <c r="A181" s="100">
        <f>IF(batches!A32="","",batches!A32)</f>
        <v/>
      </c>
      <c r="B181" s="101" t="n"/>
      <c r="C181" s="101" t="n"/>
      <c r="D181" s="102" t="n"/>
      <c r="G181" s="100">
        <f>IF(batches!A33="","",batches!A33)</f>
        <v/>
      </c>
      <c r="H181" s="101" t="n"/>
      <c r="I181" s="101" t="n"/>
      <c r="J181" s="102" t="n"/>
    </row>
    <row r="182" ht="21.75" customHeight="1" s="84">
      <c r="A182" s="80" t="inlineStr">
        <is>
          <t>Level / Mode</t>
        </is>
      </c>
      <c r="B182" s="103">
        <f>IF(A181="","",batches!B32&amp;" / "&amp;batches!C32)</f>
        <v/>
      </c>
      <c r="C182" s="101" t="n"/>
      <c r="D182" s="102" t="n"/>
      <c r="G182" s="80" t="inlineStr">
        <is>
          <t>Level / Mode</t>
        </is>
      </c>
      <c r="H182" s="103">
        <f>IF(G181="","",batches!B33&amp;" / "&amp;batches!C33)</f>
        <v/>
      </c>
      <c r="I182" s="101" t="n"/>
      <c r="J182" s="102" t="n"/>
    </row>
    <row r="183" ht="21.75" customHeight="1" s="84">
      <c r="A183" s="80" t="inlineStr">
        <is>
          <t>Dates</t>
        </is>
      </c>
      <c r="B183" s="103">
        <f>IF(A181="","",TEXT(batches!D32,"yyyy-mm-dd")&amp;" to "&amp;TEXT(batches!E32,"yyyy-mm-dd"))</f>
        <v/>
      </c>
      <c r="C183" s="101" t="n"/>
      <c r="D183" s="102" t="n"/>
      <c r="G183" s="80" t="inlineStr">
        <is>
          <t>Dates</t>
        </is>
      </c>
      <c r="H183" s="103">
        <f>IF(G181="","",TEXT(batches!D33,"yyyy-mm-dd")&amp;" to "&amp;TEXT(batches!E33,"yyyy-mm-dd"))</f>
        <v/>
      </c>
      <c r="I183" s="101" t="n"/>
      <c r="J183" s="102" t="n"/>
    </row>
    <row r="184" ht="21.75" customHeight="1" s="84">
      <c r="A184" s="80" t="inlineStr">
        <is>
          <t>Duration</t>
        </is>
      </c>
      <c r="B184" s="103">
        <f>IF(OR(batches!D32="",batches!E32=""),"",batches!E32-batches!D32+1&amp;" days")</f>
        <v/>
      </c>
      <c r="C184" s="101" t="n"/>
      <c r="D184" s="102" t="n"/>
      <c r="G184" s="80" t="inlineStr">
        <is>
          <t>Duration</t>
        </is>
      </c>
      <c r="H184" s="103">
        <f>IF(OR(batches!D33="",batches!E33=""),"",batches!E33-batches!D33+1&amp;" days")</f>
        <v/>
      </c>
      <c r="I184" s="101" t="n"/>
      <c r="J184" s="102" t="n"/>
    </row>
    <row r="185" ht="21.75" customHeight="1" s="84">
      <c r="A185" s="80" t="inlineStr">
        <is>
          <t>Timing</t>
        </is>
      </c>
      <c r="B185" s="103">
        <f>IF(A181="","",batches!F32)</f>
        <v/>
      </c>
      <c r="C185" s="101" t="n"/>
      <c r="D185" s="102" t="n"/>
      <c r="G185" s="80" t="inlineStr">
        <is>
          <t>Timing</t>
        </is>
      </c>
      <c r="H185" s="103">
        <f>IF(G181="","",batches!F33)</f>
        <v/>
      </c>
      <c r="I185" s="101" t="n"/>
      <c r="J185" s="102" t="n"/>
    </row>
    <row r="186" ht="21.75" customHeight="1" s="84">
      <c r="A186" s="80" t="inlineStr">
        <is>
          <t>Capacity</t>
        </is>
      </c>
      <c r="B186" s="103">
        <f>IF(A181="","",batches!G32)</f>
        <v/>
      </c>
      <c r="C186" s="101" t="n"/>
      <c r="D186" s="102" t="n"/>
      <c r="G186" s="80" t="inlineStr">
        <is>
          <t>Capacity</t>
        </is>
      </c>
      <c r="H186" s="103">
        <f>IF(G181="","",batches!G33)</f>
        <v/>
      </c>
      <c r="I186" s="101" t="n"/>
      <c r="J186" s="102" t="n"/>
    </row>
    <row r="187" ht="21.75" customHeight="1" s="84">
      <c r="A187" s="80" t="inlineStr">
        <is>
          <t>Enrolled</t>
        </is>
      </c>
      <c r="B187" s="103">
        <f>IF(A181="","",COUNTIF(admissions!$M:$M,batches!A32))</f>
        <v/>
      </c>
      <c r="C187" s="101" t="n"/>
      <c r="D187" s="102" t="n"/>
      <c r="G187" s="80" t="inlineStr">
        <is>
          <t>Enrolled</t>
        </is>
      </c>
      <c r="H187" s="103">
        <f>IF(G181="","",COUNTIF(admissions!$M:$M,batches!A33))</f>
        <v/>
      </c>
      <c r="I187" s="101" t="n"/>
      <c r="J187" s="102" t="n"/>
    </row>
    <row r="188" ht="21.75" customHeight="1" s="84">
      <c r="A188" s="80" t="inlineStr">
        <is>
          <t>Available</t>
        </is>
      </c>
      <c r="B188" s="103">
        <f>IF(OR(batches!A32="",batches!G32=""),"",batches!G32-COUNTIF(admissions!$M:$M,batches!A32))</f>
        <v/>
      </c>
      <c r="C188" s="101" t="n"/>
      <c r="D188" s="102" t="n"/>
      <c r="G188" s="80" t="inlineStr">
        <is>
          <t>Available</t>
        </is>
      </c>
      <c r="H188" s="103">
        <f>IF(OR(batches!A33="",batches!G33=""),"",batches!G33-COUNTIF(admissions!$M:$M,batches!A33))</f>
        <v/>
      </c>
      <c r="I188" s="101" t="n"/>
      <c r="J188" s="102" t="n"/>
    </row>
    <row r="189" ht="21.75" customHeight="1" s="84">
      <c r="A189" s="104" t="inlineStr">
        <is>
          <t>Student List</t>
        </is>
      </c>
      <c r="B189" s="101" t="n"/>
      <c r="C189" s="101" t="n"/>
      <c r="D189" s="102" t="n"/>
      <c r="G189" s="104" t="inlineStr">
        <is>
          <t>Student List</t>
        </is>
      </c>
      <c r="H189" s="101" t="n"/>
      <c r="I189" s="101" t="n"/>
      <c r="J189" s="102" t="n"/>
    </row>
    <row r="190" ht="21.75" customHeight="1" s="84">
      <c r="A190" s="105">
        <f>IFERROR(__xludf.DUMMYFUNCTION("IF(batches!A32="""","""",TEXTJOIN(CHAR(10),TRUE,FILTER(admissions!$G$2:$G$78,admissions!$M$2:$M$78=batches!A32,"""")))"),"")</f>
        <v/>
      </c>
      <c r="B190" s="101" t="n"/>
      <c r="C190" s="101" t="n"/>
      <c r="D190" s="102" t="n"/>
      <c r="G190" s="105">
        <f>IFERROR(__xludf.DUMMYFUNCTION("IF(batches!A33="""","""",TEXTJOIN(CHAR(10),TRUE,FILTER(admissions!$G$2:$G$78,admissions!$M$2:$M$78=batches!A33,"""")))"),"")</f>
        <v/>
      </c>
      <c r="H190" s="101" t="n"/>
      <c r="I190" s="101" t="n"/>
      <c r="J190" s="102" t="n"/>
    </row>
    <row r="191" ht="21.75" customHeight="1" s="84"/>
    <row r="192" ht="21.75" customHeight="1" s="84"/>
    <row r="193" ht="21.75" customHeight="1" s="84">
      <c r="A193" s="100">
        <f>IF(batches!A34="","",batches!A34)</f>
        <v/>
      </c>
      <c r="B193" s="101" t="n"/>
      <c r="C193" s="101" t="n"/>
      <c r="D193" s="102" t="n"/>
      <c r="G193" s="100">
        <f>IF(batches!A35="","",batches!A35)</f>
        <v/>
      </c>
      <c r="H193" s="101" t="n"/>
      <c r="I193" s="101" t="n"/>
      <c r="J193" s="102" t="n"/>
    </row>
    <row r="194" ht="21.75" customHeight="1" s="84">
      <c r="A194" s="80" t="inlineStr">
        <is>
          <t>Level / Mode</t>
        </is>
      </c>
      <c r="B194" s="103">
        <f>IF(A193="","",batches!B34&amp;" / "&amp;batches!C34)</f>
        <v/>
      </c>
      <c r="C194" s="101" t="n"/>
      <c r="D194" s="102" t="n"/>
      <c r="G194" s="80" t="inlineStr">
        <is>
          <t>Level / Mode</t>
        </is>
      </c>
      <c r="H194" s="103">
        <f>IF(G193="","",batches!B35&amp;" / "&amp;batches!C35)</f>
        <v/>
      </c>
      <c r="I194" s="101" t="n"/>
      <c r="J194" s="102" t="n"/>
    </row>
    <row r="195" ht="21.75" customHeight="1" s="84">
      <c r="A195" s="80" t="inlineStr">
        <is>
          <t>Dates</t>
        </is>
      </c>
      <c r="B195" s="103">
        <f>IF(A193="","",TEXT(batches!D34,"yyyy-mm-dd")&amp;" to "&amp;TEXT(batches!E34,"yyyy-mm-dd"))</f>
        <v/>
      </c>
      <c r="C195" s="101" t="n"/>
      <c r="D195" s="102" t="n"/>
      <c r="G195" s="80" t="inlineStr">
        <is>
          <t>Dates</t>
        </is>
      </c>
      <c r="H195" s="103">
        <f>IF(G193="","",TEXT(batches!D35,"yyyy-mm-dd")&amp;" to "&amp;TEXT(batches!E35,"yyyy-mm-dd"))</f>
        <v/>
      </c>
      <c r="I195" s="101" t="n"/>
      <c r="J195" s="102" t="n"/>
    </row>
    <row r="196" ht="21.75" customHeight="1" s="84">
      <c r="A196" s="80" t="inlineStr">
        <is>
          <t>Duration</t>
        </is>
      </c>
      <c r="B196" s="103">
        <f>IF(OR(batches!D34="",batches!E34=""),"",batches!E34-batches!D34+1&amp;" days")</f>
        <v/>
      </c>
      <c r="C196" s="101" t="n"/>
      <c r="D196" s="102" t="n"/>
      <c r="G196" s="80" t="inlineStr">
        <is>
          <t>Duration</t>
        </is>
      </c>
      <c r="H196" s="103">
        <f>IF(OR(batches!D35="",batches!E35=""),"",batches!E35-batches!D35+1&amp;" days")</f>
        <v/>
      </c>
      <c r="I196" s="101" t="n"/>
      <c r="J196" s="102" t="n"/>
    </row>
    <row r="197" ht="21.75" customHeight="1" s="84">
      <c r="A197" s="80" t="inlineStr">
        <is>
          <t>Timing</t>
        </is>
      </c>
      <c r="B197" s="103">
        <f>IF(A193="","",batches!F34)</f>
        <v/>
      </c>
      <c r="C197" s="101" t="n"/>
      <c r="D197" s="102" t="n"/>
      <c r="G197" s="80" t="inlineStr">
        <is>
          <t>Timing</t>
        </is>
      </c>
      <c r="H197" s="103">
        <f>IF(G193="","",batches!F35)</f>
        <v/>
      </c>
      <c r="I197" s="101" t="n"/>
      <c r="J197" s="102" t="n"/>
    </row>
    <row r="198" ht="21.75" customHeight="1" s="84">
      <c r="A198" s="80" t="inlineStr">
        <is>
          <t>Capacity</t>
        </is>
      </c>
      <c r="B198" s="103">
        <f>IF(A193="","",batches!G34)</f>
        <v/>
      </c>
      <c r="C198" s="101" t="n"/>
      <c r="D198" s="102" t="n"/>
      <c r="G198" s="80" t="inlineStr">
        <is>
          <t>Capacity</t>
        </is>
      </c>
      <c r="H198" s="103">
        <f>IF(G193="","",batches!G35)</f>
        <v/>
      </c>
      <c r="I198" s="101" t="n"/>
      <c r="J198" s="102" t="n"/>
    </row>
    <row r="199" ht="21.75" customHeight="1" s="84">
      <c r="A199" s="80" t="inlineStr">
        <is>
          <t>Enrolled</t>
        </is>
      </c>
      <c r="B199" s="103">
        <f>IF(A193="","",COUNTIF(admissions!$M:$M,batches!A34))</f>
        <v/>
      </c>
      <c r="C199" s="101" t="n"/>
      <c r="D199" s="102" t="n"/>
      <c r="G199" s="80" t="inlineStr">
        <is>
          <t>Enrolled</t>
        </is>
      </c>
      <c r="H199" s="103">
        <f>IF(G193="","",COUNTIF(admissions!$M:$M,batches!A35))</f>
        <v/>
      </c>
      <c r="I199" s="101" t="n"/>
      <c r="J199" s="102" t="n"/>
    </row>
    <row r="200" ht="15.75" customHeight="1" s="84">
      <c r="A200" s="80" t="inlineStr">
        <is>
          <t>Available</t>
        </is>
      </c>
      <c r="B200" s="103">
        <f>IF(OR(batches!A34="",batches!G34=""),"",batches!G34-COUNTIF(admissions!$M:$M,batches!A34))</f>
        <v/>
      </c>
      <c r="C200" s="101" t="n"/>
      <c r="D200" s="102" t="n"/>
      <c r="G200" s="80" t="inlineStr">
        <is>
          <t>Available</t>
        </is>
      </c>
      <c r="H200" s="103">
        <f>IF(OR(batches!A35="",batches!G35=""),"",batches!G35-COUNTIF(admissions!$M:$M,batches!A35))</f>
        <v/>
      </c>
      <c r="I200" s="101" t="n"/>
      <c r="J200" s="102" t="n"/>
    </row>
    <row r="201" ht="15.75" customHeight="1" s="84">
      <c r="A201" s="104" t="inlineStr">
        <is>
          <t>Student List</t>
        </is>
      </c>
      <c r="B201" s="101" t="n"/>
      <c r="C201" s="101" t="n"/>
      <c r="D201" s="102" t="n"/>
      <c r="G201" s="104" t="inlineStr">
        <is>
          <t>Student List</t>
        </is>
      </c>
      <c r="H201" s="101" t="n"/>
      <c r="I201" s="101" t="n"/>
      <c r="J201" s="102" t="n"/>
    </row>
    <row r="202" ht="15.75" customHeight="1" s="84">
      <c r="A202" s="105">
        <f>IFERROR(__xludf.DUMMYFUNCTION("IF(batches!A34="""","""",TEXTJOIN(CHAR(10),TRUE,FILTER(admissions!$G$2:$G$78,admissions!$M$2:$M$78=batches!A34,"""")))"),"")</f>
        <v/>
      </c>
      <c r="B202" s="101" t="n"/>
      <c r="C202" s="101" t="n"/>
      <c r="D202" s="102" t="n"/>
      <c r="G202" s="105">
        <f>IFERROR(__xludf.DUMMYFUNCTION("IF(batches!A35="""","""",TEXTJOIN(CHAR(10),TRUE,FILTER(admissions!$G$2:$G$78,admissions!$M$2:$M$78=batches!A35,"""")))"),"")</f>
        <v/>
      </c>
      <c r="H202" s="101" t="n"/>
      <c r="I202" s="101" t="n"/>
      <c r="J202" s="102" t="n"/>
    </row>
    <row r="203" ht="15.75" customHeight="1" s="84"/>
    <row r="204" ht="15.75" customHeight="1" s="84"/>
    <row r="205" ht="15.75" customHeight="1" s="84">
      <c r="A205" s="100">
        <f>IF(batches!A36="","",batches!A36)</f>
        <v/>
      </c>
      <c r="B205" s="101" t="n"/>
      <c r="C205" s="101" t="n"/>
      <c r="D205" s="102" t="n"/>
      <c r="G205" s="100">
        <f>IF(batches!A37="","",batches!A37)</f>
        <v/>
      </c>
      <c r="H205" s="101" t="n"/>
      <c r="I205" s="101" t="n"/>
      <c r="J205" s="102" t="n"/>
    </row>
    <row r="206" ht="15.75" customHeight="1" s="84">
      <c r="A206" s="80" t="inlineStr">
        <is>
          <t>Level / Mode</t>
        </is>
      </c>
      <c r="B206" s="103">
        <f>IF(A205="","",batches!B36&amp;" / "&amp;batches!C36)</f>
        <v/>
      </c>
      <c r="C206" s="101" t="n"/>
      <c r="D206" s="102" t="n"/>
      <c r="G206" s="80" t="inlineStr">
        <is>
          <t>Level / Mode</t>
        </is>
      </c>
      <c r="H206" s="103">
        <f>IF(G205="","",batches!B37&amp;" / "&amp;batches!C37)</f>
        <v/>
      </c>
      <c r="I206" s="101" t="n"/>
      <c r="J206" s="102" t="n"/>
    </row>
    <row r="207" ht="15.75" customHeight="1" s="84">
      <c r="A207" s="80" t="inlineStr">
        <is>
          <t>Dates</t>
        </is>
      </c>
      <c r="B207" s="103">
        <f>IF(A205="","",TEXT(batches!D36,"yyyy-mm-dd")&amp;" to "&amp;TEXT(batches!E36,"yyyy-mm-dd"))</f>
        <v/>
      </c>
      <c r="C207" s="101" t="n"/>
      <c r="D207" s="102" t="n"/>
      <c r="G207" s="80" t="inlineStr">
        <is>
          <t>Dates</t>
        </is>
      </c>
      <c r="H207" s="103">
        <f>IF(G205="","",TEXT(batches!D37,"yyyy-mm-dd")&amp;" to "&amp;TEXT(batches!E37,"yyyy-mm-dd"))</f>
        <v/>
      </c>
      <c r="I207" s="101" t="n"/>
      <c r="J207" s="102" t="n"/>
    </row>
    <row r="208" ht="15.75" customHeight="1" s="84">
      <c r="A208" s="80" t="inlineStr">
        <is>
          <t>Duration</t>
        </is>
      </c>
      <c r="B208" s="103">
        <f>IF(OR(batches!D36="",batches!E36=""),"",batches!E36-batches!D36+1&amp;" days")</f>
        <v/>
      </c>
      <c r="C208" s="101" t="n"/>
      <c r="D208" s="102" t="n"/>
      <c r="G208" s="80" t="inlineStr">
        <is>
          <t>Duration</t>
        </is>
      </c>
      <c r="H208" s="103">
        <f>IF(OR(batches!D37="",batches!E37=""),"",batches!E37-batches!D37+1&amp;" days")</f>
        <v/>
      </c>
      <c r="I208" s="101" t="n"/>
      <c r="J208" s="102" t="n"/>
    </row>
    <row r="209" ht="15.75" customHeight="1" s="84">
      <c r="A209" s="80" t="inlineStr">
        <is>
          <t>Timing</t>
        </is>
      </c>
      <c r="B209" s="103">
        <f>IF(A205="","",batches!F36)</f>
        <v/>
      </c>
      <c r="C209" s="101" t="n"/>
      <c r="D209" s="102" t="n"/>
      <c r="G209" s="80" t="inlineStr">
        <is>
          <t>Timing</t>
        </is>
      </c>
      <c r="H209" s="103">
        <f>IF(G205="","",batches!F37)</f>
        <v/>
      </c>
      <c r="I209" s="101" t="n"/>
      <c r="J209" s="102" t="n"/>
    </row>
    <row r="210" ht="15.75" customHeight="1" s="84">
      <c r="A210" s="80" t="inlineStr">
        <is>
          <t>Capacity</t>
        </is>
      </c>
      <c r="B210" s="103">
        <f>IF(A205="","",batches!G36)</f>
        <v/>
      </c>
      <c r="C210" s="101" t="n"/>
      <c r="D210" s="102" t="n"/>
      <c r="G210" s="80" t="inlineStr">
        <is>
          <t>Capacity</t>
        </is>
      </c>
      <c r="H210" s="103">
        <f>IF(G205="","",batches!G37)</f>
        <v/>
      </c>
      <c r="I210" s="101" t="n"/>
      <c r="J210" s="102" t="n"/>
    </row>
    <row r="211" ht="15.75" customHeight="1" s="84">
      <c r="A211" s="80" t="inlineStr">
        <is>
          <t>Enrolled</t>
        </is>
      </c>
      <c r="B211" s="103">
        <f>IF(A205="","",COUNTIF(admissions!$M:$M,batches!A36))</f>
        <v/>
      </c>
      <c r="C211" s="101" t="n"/>
      <c r="D211" s="102" t="n"/>
      <c r="G211" s="80" t="inlineStr">
        <is>
          <t>Enrolled</t>
        </is>
      </c>
      <c r="H211" s="103">
        <f>IF(G205="","",COUNTIF(admissions!$M:$M,batches!A37))</f>
        <v/>
      </c>
      <c r="I211" s="101" t="n"/>
      <c r="J211" s="102" t="n"/>
    </row>
    <row r="212" ht="15.75" customHeight="1" s="84">
      <c r="A212" s="80" t="inlineStr">
        <is>
          <t>Available</t>
        </is>
      </c>
      <c r="B212" s="103">
        <f>IF(OR(batches!A36="",batches!G36=""),"",batches!G36-COUNTIF(admissions!$M:$M,batches!A36))</f>
        <v/>
      </c>
      <c r="C212" s="101" t="n"/>
      <c r="D212" s="102" t="n"/>
      <c r="G212" s="80" t="inlineStr">
        <is>
          <t>Available</t>
        </is>
      </c>
      <c r="H212" s="103">
        <f>IF(OR(batches!A37="",batches!G37=""),"",batches!G37-COUNTIF(admissions!$M:$M,batches!A37))</f>
        <v/>
      </c>
      <c r="I212" s="101" t="n"/>
      <c r="J212" s="102" t="n"/>
    </row>
    <row r="213" ht="15.75" customHeight="1" s="84">
      <c r="A213" s="104" t="inlineStr">
        <is>
          <t>Student List</t>
        </is>
      </c>
      <c r="B213" s="101" t="n"/>
      <c r="C213" s="101" t="n"/>
      <c r="D213" s="102" t="n"/>
      <c r="G213" s="104" t="inlineStr">
        <is>
          <t>Student List</t>
        </is>
      </c>
      <c r="H213" s="101" t="n"/>
      <c r="I213" s="101" t="n"/>
      <c r="J213" s="102" t="n"/>
    </row>
    <row r="214" ht="15.75" customHeight="1" s="84">
      <c r="A214" s="105">
        <f>IFERROR(__xludf.DUMMYFUNCTION("IF(batches!A36="""","""",TEXTJOIN(CHAR(10),TRUE,FILTER(admissions!$G$2:$G$78,admissions!$M$2:$M$78=batches!A36,"""")))"),"")</f>
        <v/>
      </c>
      <c r="B214" s="101" t="n"/>
      <c r="C214" s="101" t="n"/>
      <c r="D214" s="102" t="n"/>
      <c r="G214" s="105">
        <f>IFERROR(__xludf.DUMMYFUNCTION("IF(batches!A37="""","""",TEXTJOIN(CHAR(10),TRUE,FILTER(admissions!$G$2:$G$78,admissions!$M$2:$M$78=batches!A37,"""")))"),"")</f>
        <v/>
      </c>
      <c r="H214" s="101" t="n"/>
      <c r="I214" s="101" t="n"/>
      <c r="J214" s="102" t="n"/>
    </row>
    <row r="215" ht="15.75" customHeight="1" s="84"/>
    <row r="216" ht="15.75" customHeight="1" s="84"/>
    <row r="217" ht="15.75" customHeight="1" s="84">
      <c r="A217" s="100">
        <f>IF(batches!A38="","",batches!A38)</f>
        <v/>
      </c>
      <c r="B217" s="101" t="n"/>
      <c r="C217" s="101" t="n"/>
      <c r="D217" s="102" t="n"/>
      <c r="G217" s="100">
        <f>IF(batches!A39="","",batches!A39)</f>
        <v/>
      </c>
      <c r="H217" s="101" t="n"/>
      <c r="I217" s="101" t="n"/>
      <c r="J217" s="102" t="n"/>
    </row>
    <row r="218" ht="15.75" customHeight="1" s="84">
      <c r="A218" s="80" t="inlineStr">
        <is>
          <t>Level / Mode</t>
        </is>
      </c>
      <c r="B218" s="103">
        <f>IF(A217="","",batches!B38&amp;" / "&amp;batches!C38)</f>
        <v/>
      </c>
      <c r="C218" s="101" t="n"/>
      <c r="D218" s="102" t="n"/>
      <c r="G218" s="80" t="inlineStr">
        <is>
          <t>Level / Mode</t>
        </is>
      </c>
      <c r="H218" s="103">
        <f>IF(G217="","",batches!B39&amp;" / "&amp;batches!C39)</f>
        <v/>
      </c>
      <c r="I218" s="101" t="n"/>
      <c r="J218" s="102" t="n"/>
    </row>
    <row r="219" ht="15.75" customHeight="1" s="84">
      <c r="A219" s="80" t="inlineStr">
        <is>
          <t>Dates</t>
        </is>
      </c>
      <c r="B219" s="103">
        <f>IF(A217="","",TEXT(batches!D38,"yyyy-mm-dd")&amp;" to "&amp;TEXT(batches!E38,"yyyy-mm-dd"))</f>
        <v/>
      </c>
      <c r="C219" s="101" t="n"/>
      <c r="D219" s="102" t="n"/>
      <c r="G219" s="80" t="inlineStr">
        <is>
          <t>Dates</t>
        </is>
      </c>
      <c r="H219" s="103">
        <f>IF(G217="","",TEXT(batches!D39,"yyyy-mm-dd")&amp;" to "&amp;TEXT(batches!E39,"yyyy-mm-dd"))</f>
        <v/>
      </c>
      <c r="I219" s="101" t="n"/>
      <c r="J219" s="102" t="n"/>
    </row>
    <row r="220" ht="15.75" customHeight="1" s="84">
      <c r="A220" s="80" t="inlineStr">
        <is>
          <t>Duration</t>
        </is>
      </c>
      <c r="B220" s="103">
        <f>IF(OR(batches!D38="",batches!E38=""),"",batches!E38-batches!D38+1&amp;" days")</f>
        <v/>
      </c>
      <c r="C220" s="101" t="n"/>
      <c r="D220" s="102" t="n"/>
      <c r="G220" s="80" t="inlineStr">
        <is>
          <t>Duration</t>
        </is>
      </c>
      <c r="H220" s="103">
        <f>IF(OR(batches!D39="",batches!E39=""),"",batches!E39-batches!D39+1&amp;" days")</f>
        <v/>
      </c>
      <c r="I220" s="101" t="n"/>
      <c r="J220" s="102" t="n"/>
    </row>
    <row r="221" ht="15.75" customHeight="1" s="84">
      <c r="A221" s="80" t="inlineStr">
        <is>
          <t>Timing</t>
        </is>
      </c>
      <c r="B221" s="103">
        <f>IF(A217="","",batches!F38)</f>
        <v/>
      </c>
      <c r="C221" s="101" t="n"/>
      <c r="D221" s="102" t="n"/>
      <c r="G221" s="80" t="inlineStr">
        <is>
          <t>Timing</t>
        </is>
      </c>
      <c r="H221" s="103">
        <f>IF(G217="","",batches!F39)</f>
        <v/>
      </c>
      <c r="I221" s="101" t="n"/>
      <c r="J221" s="102" t="n"/>
    </row>
    <row r="222" ht="15.75" customHeight="1" s="84">
      <c r="A222" s="80" t="inlineStr">
        <is>
          <t>Capacity</t>
        </is>
      </c>
      <c r="B222" s="103">
        <f>IF(A217="","",batches!G38)</f>
        <v/>
      </c>
      <c r="C222" s="101" t="n"/>
      <c r="D222" s="102" t="n"/>
      <c r="G222" s="80" t="inlineStr">
        <is>
          <t>Capacity</t>
        </is>
      </c>
      <c r="H222" s="103">
        <f>IF(G217="","",batches!G39)</f>
        <v/>
      </c>
      <c r="I222" s="101" t="n"/>
      <c r="J222" s="102" t="n"/>
    </row>
    <row r="223" ht="15.75" customHeight="1" s="84">
      <c r="A223" s="80" t="inlineStr">
        <is>
          <t>Enrolled</t>
        </is>
      </c>
      <c r="B223" s="103">
        <f>IF(A217="","",COUNTIF(admissions!$M:$M,batches!A38))</f>
        <v/>
      </c>
      <c r="C223" s="101" t="n"/>
      <c r="D223" s="102" t="n"/>
      <c r="G223" s="80" t="inlineStr">
        <is>
          <t>Enrolled</t>
        </is>
      </c>
      <c r="H223" s="103">
        <f>IF(G217="","",COUNTIF(admissions!$M:$M,batches!A39))</f>
        <v/>
      </c>
      <c r="I223" s="101" t="n"/>
      <c r="J223" s="102" t="n"/>
    </row>
    <row r="224" ht="15.75" customHeight="1" s="84">
      <c r="A224" s="80" t="inlineStr">
        <is>
          <t>Available</t>
        </is>
      </c>
      <c r="B224" s="103">
        <f>IF(OR(batches!A38="",batches!G38=""),"",batches!G38-COUNTIF(admissions!$M:$M,batches!A38))</f>
        <v/>
      </c>
      <c r="C224" s="101" t="n"/>
      <c r="D224" s="102" t="n"/>
      <c r="G224" s="80" t="inlineStr">
        <is>
          <t>Available</t>
        </is>
      </c>
      <c r="H224" s="103">
        <f>IF(OR(batches!A39="",batches!G39=""),"",batches!G39-COUNTIF(admissions!$M:$M,batches!A39))</f>
        <v/>
      </c>
      <c r="I224" s="101" t="n"/>
      <c r="J224" s="102" t="n"/>
    </row>
    <row r="225" ht="15.75" customHeight="1" s="84">
      <c r="A225" s="104" t="inlineStr">
        <is>
          <t>Student List</t>
        </is>
      </c>
      <c r="B225" s="101" t="n"/>
      <c r="C225" s="101" t="n"/>
      <c r="D225" s="102" t="n"/>
      <c r="G225" s="104" t="inlineStr">
        <is>
          <t>Student List</t>
        </is>
      </c>
      <c r="H225" s="101" t="n"/>
      <c r="I225" s="101" t="n"/>
      <c r="J225" s="102" t="n"/>
    </row>
    <row r="226" ht="15.75" customHeight="1" s="84">
      <c r="A226" s="105">
        <f>IFERROR(__xludf.DUMMYFUNCTION("IF(batches!A38="""","""",TEXTJOIN(CHAR(10),TRUE,FILTER(admissions!$G$2:$G$78,admissions!$M$2:$M$78=batches!A38,"""")))"),"")</f>
        <v/>
      </c>
      <c r="B226" s="101" t="n"/>
      <c r="C226" s="101" t="n"/>
      <c r="D226" s="102" t="n"/>
      <c r="G226" s="105">
        <f>IFERROR(__xludf.DUMMYFUNCTION("IF(batches!A39="""","""",TEXTJOIN(CHAR(10),TRUE,FILTER(admissions!$G$2:$G$78,admissions!$M$2:$M$78=batches!A39,"""")))"),"")</f>
        <v/>
      </c>
      <c r="H226" s="101" t="n"/>
      <c r="I226" s="101" t="n"/>
      <c r="J226" s="102" t="n"/>
    </row>
    <row r="227" ht="15.75" customHeight="1" s="84"/>
    <row r="228" ht="15.75" customHeight="1" s="84"/>
    <row r="229" ht="15.75" customHeight="1" s="84">
      <c r="A229" s="100">
        <f>IF(batches!A40="","",batches!A40)</f>
        <v/>
      </c>
      <c r="B229" s="101" t="n"/>
      <c r="C229" s="101" t="n"/>
      <c r="D229" s="102" t="n"/>
      <c r="G229" s="100">
        <f>IF(batches!A41="","",batches!A41)</f>
        <v/>
      </c>
      <c r="H229" s="101" t="n"/>
      <c r="I229" s="101" t="n"/>
      <c r="J229" s="102" t="n"/>
    </row>
    <row r="230" ht="15.75" customHeight="1" s="84">
      <c r="A230" s="80" t="inlineStr">
        <is>
          <t>Level / Mode</t>
        </is>
      </c>
      <c r="B230" s="103">
        <f>IF(A229="","",batches!B40&amp;" / "&amp;batches!C40)</f>
        <v/>
      </c>
      <c r="C230" s="101" t="n"/>
      <c r="D230" s="102" t="n"/>
      <c r="G230" s="80" t="inlineStr">
        <is>
          <t>Level / Mode</t>
        </is>
      </c>
      <c r="H230" s="103">
        <f>IF(G229="","",batches!B41&amp;" / "&amp;batches!C41)</f>
        <v/>
      </c>
      <c r="I230" s="101" t="n"/>
      <c r="J230" s="102" t="n"/>
    </row>
    <row r="231" ht="15.75" customHeight="1" s="84">
      <c r="A231" s="80" t="inlineStr">
        <is>
          <t>Dates</t>
        </is>
      </c>
      <c r="B231" s="103">
        <f>IF(A229="","",TEXT(batches!D40,"yyyy-mm-dd")&amp;" to "&amp;TEXT(batches!E40,"yyyy-mm-dd"))</f>
        <v/>
      </c>
      <c r="C231" s="101" t="n"/>
      <c r="D231" s="102" t="n"/>
      <c r="G231" s="80" t="inlineStr">
        <is>
          <t>Dates</t>
        </is>
      </c>
      <c r="H231" s="103">
        <f>IF(G229="","",TEXT(batches!D41,"yyyy-mm-dd")&amp;" to "&amp;TEXT(batches!E41,"yyyy-mm-dd"))</f>
        <v/>
      </c>
      <c r="I231" s="101" t="n"/>
      <c r="J231" s="102" t="n"/>
    </row>
    <row r="232" ht="15.75" customHeight="1" s="84">
      <c r="A232" s="80" t="inlineStr">
        <is>
          <t>Duration</t>
        </is>
      </c>
      <c r="B232" s="103">
        <f>IF(OR(batches!D40="",batches!E40=""),"",batches!E40-batches!D40+1&amp;" days")</f>
        <v/>
      </c>
      <c r="C232" s="101" t="n"/>
      <c r="D232" s="102" t="n"/>
      <c r="G232" s="80" t="inlineStr">
        <is>
          <t>Duration</t>
        </is>
      </c>
      <c r="H232" s="103">
        <f>IF(OR(batches!D41="",batches!E41=""),"",batches!E41-batches!D41+1&amp;" days")</f>
        <v/>
      </c>
      <c r="I232" s="101" t="n"/>
      <c r="J232" s="102" t="n"/>
    </row>
    <row r="233" ht="15.75" customHeight="1" s="84">
      <c r="A233" s="80" t="inlineStr">
        <is>
          <t>Timing</t>
        </is>
      </c>
      <c r="B233" s="103">
        <f>IF(A229="","",batches!F40)</f>
        <v/>
      </c>
      <c r="C233" s="101" t="n"/>
      <c r="D233" s="102" t="n"/>
      <c r="G233" s="80" t="inlineStr">
        <is>
          <t>Timing</t>
        </is>
      </c>
      <c r="H233" s="103">
        <f>IF(G229="","",batches!F41)</f>
        <v/>
      </c>
      <c r="I233" s="101" t="n"/>
      <c r="J233" s="102" t="n"/>
    </row>
    <row r="234" ht="15.75" customHeight="1" s="84">
      <c r="A234" s="80" t="inlineStr">
        <is>
          <t>Capacity</t>
        </is>
      </c>
      <c r="B234" s="103">
        <f>IF(A229="","",batches!G40)</f>
        <v/>
      </c>
      <c r="C234" s="101" t="n"/>
      <c r="D234" s="102" t="n"/>
      <c r="G234" s="80" t="inlineStr">
        <is>
          <t>Capacity</t>
        </is>
      </c>
      <c r="H234" s="103">
        <f>IF(G229="","",batches!G41)</f>
        <v/>
      </c>
      <c r="I234" s="101" t="n"/>
      <c r="J234" s="102" t="n"/>
    </row>
    <row r="235" ht="15.75" customHeight="1" s="84">
      <c r="A235" s="80" t="inlineStr">
        <is>
          <t>Enrolled</t>
        </is>
      </c>
      <c r="B235" s="103">
        <f>IF(A229="","",COUNTIF(admissions!$M:$M,batches!A40))</f>
        <v/>
      </c>
      <c r="C235" s="101" t="n"/>
      <c r="D235" s="102" t="n"/>
      <c r="G235" s="80" t="inlineStr">
        <is>
          <t>Enrolled</t>
        </is>
      </c>
      <c r="H235" s="103">
        <f>IF(G229="","",COUNTIF(admissions!$M:$M,batches!A41))</f>
        <v/>
      </c>
      <c r="I235" s="101" t="n"/>
      <c r="J235" s="102" t="n"/>
    </row>
    <row r="236" ht="15.75" customHeight="1" s="84">
      <c r="A236" s="80" t="inlineStr">
        <is>
          <t>Available</t>
        </is>
      </c>
      <c r="B236" s="103">
        <f>IF(OR(batches!A40="",batches!G40=""),"",batches!G40-COUNTIF(admissions!$M:$M,batches!A40))</f>
        <v/>
      </c>
      <c r="C236" s="101" t="n"/>
      <c r="D236" s="102" t="n"/>
      <c r="G236" s="80" t="inlineStr">
        <is>
          <t>Available</t>
        </is>
      </c>
      <c r="H236" s="103">
        <f>IF(OR(batches!A41="",batches!G41=""),"",batches!G41-COUNTIF(admissions!$M:$M,batches!A41))</f>
        <v/>
      </c>
      <c r="I236" s="101" t="n"/>
      <c r="J236" s="102" t="n"/>
    </row>
    <row r="237" ht="15.75" customHeight="1" s="84">
      <c r="A237" s="104" t="inlineStr">
        <is>
          <t>Student List</t>
        </is>
      </c>
      <c r="B237" s="101" t="n"/>
      <c r="C237" s="101" t="n"/>
      <c r="D237" s="102" t="n"/>
      <c r="G237" s="104" t="inlineStr">
        <is>
          <t>Student List</t>
        </is>
      </c>
      <c r="H237" s="101" t="n"/>
      <c r="I237" s="101" t="n"/>
      <c r="J237" s="102" t="n"/>
    </row>
    <row r="238" ht="15.75" customHeight="1" s="84">
      <c r="A238" s="105">
        <f>IFERROR(__xludf.DUMMYFUNCTION("IF(batches!A40="""","""",TEXTJOIN(CHAR(10),TRUE,FILTER(admissions!$G$2:$G$78,admissions!$M$2:$M$78=batches!A40,"""")))"),"")</f>
        <v/>
      </c>
      <c r="B238" s="101" t="n"/>
      <c r="C238" s="101" t="n"/>
      <c r="D238" s="102" t="n"/>
      <c r="G238" s="105">
        <f>IFERROR(__xludf.DUMMYFUNCTION("IF(batches!A41="""","""",TEXTJOIN(CHAR(10),TRUE,FILTER(admissions!$G$2:$G$78,admissions!$M$2:$M$78=batches!A41,"""")))"),"")</f>
        <v/>
      </c>
      <c r="H238" s="101" t="n"/>
      <c r="I238" s="101" t="n"/>
      <c r="J238" s="102" t="n"/>
    </row>
    <row r="239" ht="15.75" customHeight="1" s="84"/>
    <row r="240" ht="15.75" customHeight="1" s="84"/>
    <row r="241" ht="15.75" customHeight="1" s="84">
      <c r="A241" s="100">
        <f>IF(batches!A42="","",batches!A42)</f>
        <v/>
      </c>
      <c r="B241" s="101" t="n"/>
      <c r="C241" s="101" t="n"/>
      <c r="D241" s="102" t="n"/>
      <c r="G241" s="100">
        <f>IF(batches!A43="","",batches!A43)</f>
        <v/>
      </c>
      <c r="H241" s="101" t="n"/>
      <c r="I241" s="101" t="n"/>
      <c r="J241" s="102" t="n"/>
    </row>
    <row r="242" ht="15.75" customHeight="1" s="84">
      <c r="A242" s="80" t="inlineStr">
        <is>
          <t>Level / Mode</t>
        </is>
      </c>
      <c r="B242" s="103">
        <f>IF(A241="","",batches!B42&amp;" / "&amp;batches!C42)</f>
        <v/>
      </c>
      <c r="C242" s="101" t="n"/>
      <c r="D242" s="102" t="n"/>
      <c r="G242" s="80" t="inlineStr">
        <is>
          <t>Level / Mode</t>
        </is>
      </c>
      <c r="H242" s="103">
        <f>IF(G241="","",batches!B43&amp;" / "&amp;batches!C43)</f>
        <v/>
      </c>
      <c r="I242" s="101" t="n"/>
      <c r="J242" s="102" t="n"/>
    </row>
    <row r="243" ht="15.75" customHeight="1" s="84">
      <c r="A243" s="80" t="inlineStr">
        <is>
          <t>Dates</t>
        </is>
      </c>
      <c r="B243" s="103">
        <f>IF(A241="","",TEXT(batches!D42,"yyyy-mm-dd")&amp;" to "&amp;TEXT(batches!E42,"yyyy-mm-dd"))</f>
        <v/>
      </c>
      <c r="C243" s="101" t="n"/>
      <c r="D243" s="102" t="n"/>
      <c r="G243" s="80" t="inlineStr">
        <is>
          <t>Dates</t>
        </is>
      </c>
      <c r="H243" s="103">
        <f>IF(G241="","",TEXT(batches!D43,"yyyy-mm-dd")&amp;" to "&amp;TEXT(batches!E43,"yyyy-mm-dd"))</f>
        <v/>
      </c>
      <c r="I243" s="101" t="n"/>
      <c r="J243" s="102" t="n"/>
    </row>
    <row r="244" ht="15.75" customHeight="1" s="84">
      <c r="A244" s="80" t="inlineStr">
        <is>
          <t>Duration</t>
        </is>
      </c>
      <c r="B244" s="103">
        <f>IF(OR(batches!D42="",batches!E42=""),"",batches!E42-batches!D42+1&amp;" days")</f>
        <v/>
      </c>
      <c r="C244" s="101" t="n"/>
      <c r="D244" s="102" t="n"/>
      <c r="G244" s="80" t="inlineStr">
        <is>
          <t>Duration</t>
        </is>
      </c>
      <c r="H244" s="103">
        <f>IF(OR(batches!D43="",batches!E43=""),"",batches!E43-batches!D43+1&amp;" days")</f>
        <v/>
      </c>
      <c r="I244" s="101" t="n"/>
      <c r="J244" s="102" t="n"/>
    </row>
    <row r="245" ht="15.75" customHeight="1" s="84">
      <c r="A245" s="80" t="inlineStr">
        <is>
          <t>Timing</t>
        </is>
      </c>
      <c r="B245" s="103">
        <f>IF(A241="","",batches!F42)</f>
        <v/>
      </c>
      <c r="C245" s="101" t="n"/>
      <c r="D245" s="102" t="n"/>
      <c r="G245" s="80" t="inlineStr">
        <is>
          <t>Timing</t>
        </is>
      </c>
      <c r="H245" s="103">
        <f>IF(G241="","",batches!F43)</f>
        <v/>
      </c>
      <c r="I245" s="101" t="n"/>
      <c r="J245" s="102" t="n"/>
    </row>
    <row r="246" ht="15.75" customHeight="1" s="84">
      <c r="A246" s="80" t="inlineStr">
        <is>
          <t>Capacity</t>
        </is>
      </c>
      <c r="B246" s="103">
        <f>IF(A241="","",batches!G42)</f>
        <v/>
      </c>
      <c r="C246" s="101" t="n"/>
      <c r="D246" s="102" t="n"/>
      <c r="G246" s="80" t="inlineStr">
        <is>
          <t>Capacity</t>
        </is>
      </c>
      <c r="H246" s="103">
        <f>IF(G241="","",batches!G43)</f>
        <v/>
      </c>
      <c r="I246" s="101" t="n"/>
      <c r="J246" s="102" t="n"/>
    </row>
    <row r="247" ht="15.75" customHeight="1" s="84">
      <c r="A247" s="80" t="inlineStr">
        <is>
          <t>Enrolled</t>
        </is>
      </c>
      <c r="B247" s="103">
        <f>IF(A241="","",COUNTIF(admissions!$M:$M,batches!A42))</f>
        <v/>
      </c>
      <c r="C247" s="101" t="n"/>
      <c r="D247" s="102" t="n"/>
      <c r="G247" s="80" t="inlineStr">
        <is>
          <t>Enrolled</t>
        </is>
      </c>
      <c r="H247" s="103">
        <f>IF(G241="","",COUNTIF(admissions!$M:$M,batches!A43))</f>
        <v/>
      </c>
      <c r="I247" s="101" t="n"/>
      <c r="J247" s="102" t="n"/>
    </row>
    <row r="248" ht="15.75" customHeight="1" s="84">
      <c r="A248" s="80" t="inlineStr">
        <is>
          <t>Available</t>
        </is>
      </c>
      <c r="B248" s="103">
        <f>IF(OR(batches!A42="",batches!G42=""),"",batches!G42-COUNTIF(admissions!$M:$M,batches!A42))</f>
        <v/>
      </c>
      <c r="C248" s="101" t="n"/>
      <c r="D248" s="102" t="n"/>
      <c r="G248" s="80" t="inlineStr">
        <is>
          <t>Available</t>
        </is>
      </c>
      <c r="H248" s="103">
        <f>IF(OR(batches!A43="",batches!G43=""),"",batches!G43-COUNTIF(admissions!$M:$M,batches!A43))</f>
        <v/>
      </c>
      <c r="I248" s="101" t="n"/>
      <c r="J248" s="102" t="n"/>
    </row>
    <row r="249" ht="15.75" customHeight="1" s="84">
      <c r="A249" s="104" t="inlineStr">
        <is>
          <t>Student List</t>
        </is>
      </c>
      <c r="B249" s="101" t="n"/>
      <c r="C249" s="101" t="n"/>
      <c r="D249" s="102" t="n"/>
      <c r="G249" s="104" t="inlineStr">
        <is>
          <t>Student List</t>
        </is>
      </c>
      <c r="H249" s="101" t="n"/>
      <c r="I249" s="101" t="n"/>
      <c r="J249" s="102" t="n"/>
    </row>
    <row r="250" ht="15.75" customHeight="1" s="84">
      <c r="A250" s="105">
        <f>IFERROR(__xludf.DUMMYFUNCTION("IF(batches!A42="""","""",TEXTJOIN(CHAR(10),TRUE,FILTER(admissions!$G$2:$G$78,admissions!$M$2:$M$78=batches!A42,"""")))"),"")</f>
        <v/>
      </c>
      <c r="B250" s="101" t="n"/>
      <c r="C250" s="101" t="n"/>
      <c r="D250" s="102" t="n"/>
      <c r="G250" s="105">
        <f>IFERROR(__xludf.DUMMYFUNCTION("IF(batches!A43="""","""",TEXTJOIN(CHAR(10),TRUE,FILTER(admissions!$G$2:$G$78,admissions!$M$2:$M$78=batches!A43,"""")))"),"")</f>
        <v/>
      </c>
      <c r="H250" s="101" t="n"/>
      <c r="I250" s="101" t="n"/>
      <c r="J250" s="102" t="n"/>
    </row>
    <row r="251" ht="15.75" customHeight="1" s="84"/>
    <row r="252" ht="15.75" customHeight="1" s="84"/>
    <row r="253" ht="15.75" customHeight="1" s="84">
      <c r="A253" s="100">
        <f>IF(batches!A44="","",batches!A44)</f>
        <v/>
      </c>
      <c r="B253" s="101" t="n"/>
      <c r="C253" s="101" t="n"/>
      <c r="D253" s="102" t="n"/>
      <c r="G253" s="100">
        <f>IF(batches!A45="","",batches!A45)</f>
        <v/>
      </c>
      <c r="H253" s="101" t="n"/>
      <c r="I253" s="101" t="n"/>
      <c r="J253" s="102" t="n"/>
    </row>
    <row r="254" ht="15.75" customHeight="1" s="84">
      <c r="A254" s="80" t="inlineStr">
        <is>
          <t>Level / Mode</t>
        </is>
      </c>
      <c r="B254" s="103">
        <f>IF(A253="","",batches!B44&amp;" / "&amp;batches!C44)</f>
        <v/>
      </c>
      <c r="C254" s="101" t="n"/>
      <c r="D254" s="102" t="n"/>
      <c r="G254" s="80" t="inlineStr">
        <is>
          <t>Level / Mode</t>
        </is>
      </c>
      <c r="H254" s="103">
        <f>IF(G253="","",batches!B45&amp;" / "&amp;batches!C45)</f>
        <v/>
      </c>
      <c r="I254" s="101" t="n"/>
      <c r="J254" s="102" t="n"/>
    </row>
    <row r="255" ht="15.75" customHeight="1" s="84">
      <c r="A255" s="80" t="inlineStr">
        <is>
          <t>Dates</t>
        </is>
      </c>
      <c r="B255" s="103">
        <f>IF(A253="","",TEXT(batches!D44,"yyyy-mm-dd")&amp;" to "&amp;TEXT(batches!E44,"yyyy-mm-dd"))</f>
        <v/>
      </c>
      <c r="C255" s="101" t="n"/>
      <c r="D255" s="102" t="n"/>
      <c r="G255" s="80" t="inlineStr">
        <is>
          <t>Dates</t>
        </is>
      </c>
      <c r="H255" s="103">
        <f>IF(G253="","",TEXT(batches!D45,"yyyy-mm-dd")&amp;" to "&amp;TEXT(batches!E45,"yyyy-mm-dd"))</f>
        <v/>
      </c>
      <c r="I255" s="101" t="n"/>
      <c r="J255" s="102" t="n"/>
    </row>
    <row r="256" ht="15.75" customHeight="1" s="84">
      <c r="A256" s="80" t="inlineStr">
        <is>
          <t>Duration</t>
        </is>
      </c>
      <c r="B256" s="103">
        <f>IF(OR(batches!D44="",batches!E44=""),"",batches!E44-batches!D44+1&amp;" days")</f>
        <v/>
      </c>
      <c r="C256" s="101" t="n"/>
      <c r="D256" s="102" t="n"/>
      <c r="G256" s="80" t="inlineStr">
        <is>
          <t>Duration</t>
        </is>
      </c>
      <c r="H256" s="103">
        <f>IF(OR(batches!D45="",batches!E45=""),"",batches!E45-batches!D45+1&amp;" days")</f>
        <v/>
      </c>
      <c r="I256" s="101" t="n"/>
      <c r="J256" s="102" t="n"/>
    </row>
    <row r="257" ht="15.75" customHeight="1" s="84">
      <c r="A257" s="80" t="inlineStr">
        <is>
          <t>Timing</t>
        </is>
      </c>
      <c r="B257" s="103">
        <f>IF(A253="","",batches!F44)</f>
        <v/>
      </c>
      <c r="C257" s="101" t="n"/>
      <c r="D257" s="102" t="n"/>
      <c r="G257" s="80" t="inlineStr">
        <is>
          <t>Timing</t>
        </is>
      </c>
      <c r="H257" s="103">
        <f>IF(G253="","",batches!F45)</f>
        <v/>
      </c>
      <c r="I257" s="101" t="n"/>
      <c r="J257" s="102" t="n"/>
    </row>
    <row r="258" ht="15.75" customHeight="1" s="84">
      <c r="A258" s="80" t="inlineStr">
        <is>
          <t>Capacity</t>
        </is>
      </c>
      <c r="B258" s="103">
        <f>IF(A253="","",batches!G44)</f>
        <v/>
      </c>
      <c r="C258" s="101" t="n"/>
      <c r="D258" s="102" t="n"/>
      <c r="G258" s="80" t="inlineStr">
        <is>
          <t>Capacity</t>
        </is>
      </c>
      <c r="H258" s="103">
        <f>IF(G253="","",batches!G45)</f>
        <v/>
      </c>
      <c r="I258" s="101" t="n"/>
      <c r="J258" s="102" t="n"/>
    </row>
    <row r="259" ht="15.75" customHeight="1" s="84">
      <c r="A259" s="80" t="inlineStr">
        <is>
          <t>Enrolled</t>
        </is>
      </c>
      <c r="B259" s="103">
        <f>IF(A253="","",COUNTIF(admissions!$M:$M,batches!A44))</f>
        <v/>
      </c>
      <c r="C259" s="101" t="n"/>
      <c r="D259" s="102" t="n"/>
      <c r="G259" s="80" t="inlineStr">
        <is>
          <t>Enrolled</t>
        </is>
      </c>
      <c r="H259" s="103">
        <f>IF(G253="","",COUNTIF(admissions!$M:$M,batches!A45))</f>
        <v/>
      </c>
      <c r="I259" s="101" t="n"/>
      <c r="J259" s="102" t="n"/>
    </row>
    <row r="260" ht="15.75" customHeight="1" s="84">
      <c r="A260" s="80" t="inlineStr">
        <is>
          <t>Available</t>
        </is>
      </c>
      <c r="B260" s="103">
        <f>IF(OR(batches!A44="",batches!G44=""),"",batches!G44-COUNTIF(admissions!$M:$M,batches!A44))</f>
        <v/>
      </c>
      <c r="C260" s="101" t="n"/>
      <c r="D260" s="102" t="n"/>
      <c r="G260" s="80" t="inlineStr">
        <is>
          <t>Available</t>
        </is>
      </c>
      <c r="H260" s="103">
        <f>IF(OR(batches!A45="",batches!G45=""),"",batches!G45-COUNTIF(admissions!$M:$M,batches!A45))</f>
        <v/>
      </c>
      <c r="I260" s="101" t="n"/>
      <c r="J260" s="102" t="n"/>
    </row>
    <row r="261" ht="15.75" customHeight="1" s="84">
      <c r="A261" s="104" t="inlineStr">
        <is>
          <t>Student List</t>
        </is>
      </c>
      <c r="B261" s="101" t="n"/>
      <c r="C261" s="101" t="n"/>
      <c r="D261" s="102" t="n"/>
      <c r="G261" s="104" t="inlineStr">
        <is>
          <t>Student List</t>
        </is>
      </c>
      <c r="H261" s="101" t="n"/>
      <c r="I261" s="101" t="n"/>
      <c r="J261" s="102" t="n"/>
    </row>
    <row r="262" ht="15.75" customHeight="1" s="84">
      <c r="A262" s="105">
        <f>IFERROR(__xludf.DUMMYFUNCTION("IF(batches!A44="""","""",TEXTJOIN(CHAR(10),TRUE,FILTER(admissions!$G$2:$G$78,admissions!$M$2:$M$78=batches!A44,"""")))"),"")</f>
        <v/>
      </c>
      <c r="B262" s="101" t="n"/>
      <c r="C262" s="101" t="n"/>
      <c r="D262" s="102" t="n"/>
      <c r="G262" s="105">
        <f>IFERROR(__xludf.DUMMYFUNCTION("IF(batches!A45="""","""",TEXTJOIN(CHAR(10),TRUE,FILTER(admissions!$G$2:$G$78,admissions!$M$2:$M$78=batches!A45,"""")))"),"")</f>
        <v/>
      </c>
      <c r="H262" s="101" t="n"/>
      <c r="I262" s="101" t="n"/>
      <c r="J262" s="102" t="n"/>
    </row>
    <row r="263" ht="15.75" customHeight="1" s="84"/>
    <row r="264" ht="15.75" customHeight="1" s="84"/>
    <row r="265" ht="15.75" customHeight="1" s="84">
      <c r="A265" s="100">
        <f>IF(batches!A46="","",batches!A46)</f>
        <v/>
      </c>
      <c r="B265" s="101" t="n"/>
      <c r="C265" s="101" t="n"/>
      <c r="D265" s="102" t="n"/>
      <c r="G265" s="100">
        <f>IF(batches!A47="","",batches!A47)</f>
        <v/>
      </c>
      <c r="H265" s="101" t="n"/>
      <c r="I265" s="101" t="n"/>
      <c r="J265" s="102" t="n"/>
    </row>
    <row r="266" ht="15.75" customHeight="1" s="84">
      <c r="A266" s="80" t="inlineStr">
        <is>
          <t>Level / Mode</t>
        </is>
      </c>
      <c r="B266" s="103">
        <f>IF(A265="","",batches!B46&amp;" / "&amp;batches!C46)</f>
        <v/>
      </c>
      <c r="C266" s="101" t="n"/>
      <c r="D266" s="102" t="n"/>
      <c r="G266" s="80" t="inlineStr">
        <is>
          <t>Level / Mode</t>
        </is>
      </c>
      <c r="H266" s="103">
        <f>IF(G265="","",batches!B47&amp;" / "&amp;batches!C47)</f>
        <v/>
      </c>
      <c r="I266" s="101" t="n"/>
      <c r="J266" s="102" t="n"/>
    </row>
    <row r="267" ht="15.75" customHeight="1" s="84">
      <c r="A267" s="80" t="inlineStr">
        <is>
          <t>Dates</t>
        </is>
      </c>
      <c r="B267" s="103">
        <f>IF(A265="","",TEXT(batches!D46,"yyyy-mm-dd")&amp;" to "&amp;TEXT(batches!E46,"yyyy-mm-dd"))</f>
        <v/>
      </c>
      <c r="C267" s="101" t="n"/>
      <c r="D267" s="102" t="n"/>
      <c r="G267" s="80" t="inlineStr">
        <is>
          <t>Dates</t>
        </is>
      </c>
      <c r="H267" s="103">
        <f>IF(G265="","",TEXT(batches!D47,"yyyy-mm-dd")&amp;" to "&amp;TEXT(batches!E47,"yyyy-mm-dd"))</f>
        <v/>
      </c>
      <c r="I267" s="101" t="n"/>
      <c r="J267" s="102" t="n"/>
    </row>
    <row r="268" ht="15.75" customHeight="1" s="84">
      <c r="A268" s="80" t="inlineStr">
        <is>
          <t>Duration</t>
        </is>
      </c>
      <c r="B268" s="103">
        <f>IF(OR(batches!D46="",batches!E46=""),"",batches!E46-batches!D46+1&amp;" days")</f>
        <v/>
      </c>
      <c r="C268" s="101" t="n"/>
      <c r="D268" s="102" t="n"/>
      <c r="G268" s="80" t="inlineStr">
        <is>
          <t>Duration</t>
        </is>
      </c>
      <c r="H268" s="103">
        <f>IF(OR(batches!D47="",batches!E47=""),"",batches!E47-batches!D47+1&amp;" days")</f>
        <v/>
      </c>
      <c r="I268" s="101" t="n"/>
      <c r="J268" s="102" t="n"/>
    </row>
    <row r="269" ht="15.75" customHeight="1" s="84">
      <c r="A269" s="80" t="inlineStr">
        <is>
          <t>Timing</t>
        </is>
      </c>
      <c r="B269" s="103">
        <f>IF(A265="","",batches!F46)</f>
        <v/>
      </c>
      <c r="C269" s="101" t="n"/>
      <c r="D269" s="102" t="n"/>
      <c r="G269" s="80" t="inlineStr">
        <is>
          <t>Timing</t>
        </is>
      </c>
      <c r="H269" s="103">
        <f>IF(G265="","",batches!F47)</f>
        <v/>
      </c>
      <c r="I269" s="101" t="n"/>
      <c r="J269" s="102" t="n"/>
    </row>
    <row r="270" ht="15.75" customHeight="1" s="84">
      <c r="A270" s="80" t="inlineStr">
        <is>
          <t>Capacity</t>
        </is>
      </c>
      <c r="B270" s="103">
        <f>IF(A265="","",batches!G46)</f>
        <v/>
      </c>
      <c r="C270" s="101" t="n"/>
      <c r="D270" s="102" t="n"/>
      <c r="G270" s="80" t="inlineStr">
        <is>
          <t>Capacity</t>
        </is>
      </c>
      <c r="H270" s="103">
        <f>IF(G265="","",batches!G47)</f>
        <v/>
      </c>
      <c r="I270" s="101" t="n"/>
      <c r="J270" s="102" t="n"/>
    </row>
    <row r="271" ht="15.75" customHeight="1" s="84">
      <c r="A271" s="80" t="inlineStr">
        <is>
          <t>Enrolled</t>
        </is>
      </c>
      <c r="B271" s="103">
        <f>IF(A265="","",COUNTIF(admissions!$M:$M,batches!A46))</f>
        <v/>
      </c>
      <c r="C271" s="101" t="n"/>
      <c r="D271" s="102" t="n"/>
      <c r="G271" s="80" t="inlineStr">
        <is>
          <t>Enrolled</t>
        </is>
      </c>
      <c r="H271" s="103">
        <f>IF(G265="","",COUNTIF(admissions!$M:$M,batches!A47))</f>
        <v/>
      </c>
      <c r="I271" s="101" t="n"/>
      <c r="J271" s="102" t="n"/>
    </row>
    <row r="272" ht="15.75" customHeight="1" s="84">
      <c r="A272" s="80" t="inlineStr">
        <is>
          <t>Available</t>
        </is>
      </c>
      <c r="B272" s="103">
        <f>IF(OR(batches!A46="",batches!G46=""),"",batches!G46-COUNTIF(admissions!$M:$M,batches!A46))</f>
        <v/>
      </c>
      <c r="C272" s="101" t="n"/>
      <c r="D272" s="102" t="n"/>
      <c r="G272" s="80" t="inlineStr">
        <is>
          <t>Available</t>
        </is>
      </c>
      <c r="H272" s="103">
        <f>IF(OR(batches!A47="",batches!G47=""),"",batches!G47-COUNTIF(admissions!$M:$M,batches!A47))</f>
        <v/>
      </c>
      <c r="I272" s="101" t="n"/>
      <c r="J272" s="102" t="n"/>
    </row>
    <row r="273" ht="15.75" customHeight="1" s="84">
      <c r="A273" s="104" t="inlineStr">
        <is>
          <t>Student List</t>
        </is>
      </c>
      <c r="B273" s="101" t="n"/>
      <c r="C273" s="101" t="n"/>
      <c r="D273" s="102" t="n"/>
      <c r="G273" s="104" t="inlineStr">
        <is>
          <t>Student List</t>
        </is>
      </c>
      <c r="H273" s="101" t="n"/>
      <c r="I273" s="101" t="n"/>
      <c r="J273" s="102" t="n"/>
    </row>
    <row r="274" ht="15.75" customHeight="1" s="84">
      <c r="A274" s="105">
        <f>IFERROR(__xludf.DUMMYFUNCTION("IF(batches!A46="""","""",TEXTJOIN(CHAR(10),TRUE,FILTER(admissions!$G$2:$G$78,admissions!$M$2:$M$78=batches!A46,"""")))"),"")</f>
        <v/>
      </c>
      <c r="B274" s="101" t="n"/>
      <c r="C274" s="101" t="n"/>
      <c r="D274" s="102" t="n"/>
      <c r="G274" s="105">
        <f>IFERROR(__xludf.DUMMYFUNCTION("IF(batches!A47="""","""",TEXTJOIN(CHAR(10),TRUE,FILTER(admissions!$G$2:$G$78,admissions!$M$2:$M$78=batches!A47,"""")))"),"")</f>
        <v/>
      </c>
      <c r="H274" s="101" t="n"/>
      <c r="I274" s="101" t="n"/>
      <c r="J274" s="102" t="n"/>
    </row>
    <row r="275" ht="15.75" customHeight="1" s="84"/>
    <row r="276" ht="15.75" customHeight="1" s="84"/>
    <row r="277" ht="15.75" customHeight="1" s="84">
      <c r="A277" s="100">
        <f>IF(batches!A48="","",batches!A48)</f>
        <v/>
      </c>
      <c r="B277" s="101" t="n"/>
      <c r="C277" s="101" t="n"/>
      <c r="D277" s="102" t="n"/>
      <c r="G277" s="100">
        <f>IF(batches!A49="","",batches!A49)</f>
        <v/>
      </c>
      <c r="H277" s="101" t="n"/>
      <c r="I277" s="101" t="n"/>
      <c r="J277" s="102" t="n"/>
    </row>
    <row r="278" ht="15.75" customHeight="1" s="84">
      <c r="A278" s="80" t="inlineStr">
        <is>
          <t>Level / Mode</t>
        </is>
      </c>
      <c r="B278" s="103">
        <f>IF(A277="","",batches!B48&amp;" / "&amp;batches!C48)</f>
        <v/>
      </c>
      <c r="C278" s="101" t="n"/>
      <c r="D278" s="102" t="n"/>
      <c r="G278" s="80" t="inlineStr">
        <is>
          <t>Level / Mode</t>
        </is>
      </c>
      <c r="H278" s="103">
        <f>IF(G277="","",batches!B49&amp;" / "&amp;batches!C49)</f>
        <v/>
      </c>
      <c r="I278" s="101" t="n"/>
      <c r="J278" s="102" t="n"/>
    </row>
    <row r="279" ht="15.75" customHeight="1" s="84">
      <c r="A279" s="80" t="inlineStr">
        <is>
          <t>Dates</t>
        </is>
      </c>
      <c r="B279" s="103">
        <f>IF(A277="","",TEXT(batches!D48,"yyyy-mm-dd")&amp;" to "&amp;TEXT(batches!E48,"yyyy-mm-dd"))</f>
        <v/>
      </c>
      <c r="C279" s="101" t="n"/>
      <c r="D279" s="102" t="n"/>
      <c r="G279" s="80" t="inlineStr">
        <is>
          <t>Dates</t>
        </is>
      </c>
      <c r="H279" s="103">
        <f>IF(G277="","",TEXT(batches!D49,"yyyy-mm-dd")&amp;" to "&amp;TEXT(batches!E49,"yyyy-mm-dd"))</f>
        <v/>
      </c>
      <c r="I279" s="101" t="n"/>
      <c r="J279" s="102" t="n"/>
    </row>
    <row r="280" ht="15.75" customHeight="1" s="84">
      <c r="A280" s="80" t="inlineStr">
        <is>
          <t>Duration</t>
        </is>
      </c>
      <c r="B280" s="103">
        <f>IF(OR(batches!D48="",batches!E48=""),"",batches!E48-batches!D48+1&amp;" days")</f>
        <v/>
      </c>
      <c r="C280" s="101" t="n"/>
      <c r="D280" s="102" t="n"/>
      <c r="G280" s="80" t="inlineStr">
        <is>
          <t>Duration</t>
        </is>
      </c>
      <c r="H280" s="103">
        <f>IF(OR(batches!D49="",batches!E49=""),"",batches!E49-batches!D49+1&amp;" days")</f>
        <v/>
      </c>
      <c r="I280" s="101" t="n"/>
      <c r="J280" s="102" t="n"/>
    </row>
    <row r="281" ht="15.75" customHeight="1" s="84">
      <c r="A281" s="80" t="inlineStr">
        <is>
          <t>Timing</t>
        </is>
      </c>
      <c r="B281" s="103">
        <f>IF(A277="","",batches!F48)</f>
        <v/>
      </c>
      <c r="C281" s="101" t="n"/>
      <c r="D281" s="102" t="n"/>
      <c r="G281" s="80" t="inlineStr">
        <is>
          <t>Timing</t>
        </is>
      </c>
      <c r="H281" s="103">
        <f>IF(G277="","",batches!F49)</f>
        <v/>
      </c>
      <c r="I281" s="101" t="n"/>
      <c r="J281" s="102" t="n"/>
    </row>
    <row r="282" ht="15.75" customHeight="1" s="84">
      <c r="A282" s="80" t="inlineStr">
        <is>
          <t>Capacity</t>
        </is>
      </c>
      <c r="B282" s="103">
        <f>IF(A277="","",batches!G48)</f>
        <v/>
      </c>
      <c r="C282" s="101" t="n"/>
      <c r="D282" s="102" t="n"/>
      <c r="G282" s="80" t="inlineStr">
        <is>
          <t>Capacity</t>
        </is>
      </c>
      <c r="H282" s="103">
        <f>IF(G277="","",batches!G49)</f>
        <v/>
      </c>
      <c r="I282" s="101" t="n"/>
      <c r="J282" s="102" t="n"/>
    </row>
    <row r="283" ht="15.75" customHeight="1" s="84">
      <c r="A283" s="80" t="inlineStr">
        <is>
          <t>Enrolled</t>
        </is>
      </c>
      <c r="B283" s="103">
        <f>IF(A277="","",COUNTIF(admissions!$M:$M,batches!A48))</f>
        <v/>
      </c>
      <c r="C283" s="101" t="n"/>
      <c r="D283" s="102" t="n"/>
      <c r="G283" s="80" t="inlineStr">
        <is>
          <t>Enrolled</t>
        </is>
      </c>
      <c r="H283" s="103">
        <f>IF(G277="","",COUNTIF(admissions!$M:$M,batches!A49))</f>
        <v/>
      </c>
      <c r="I283" s="101" t="n"/>
      <c r="J283" s="102" t="n"/>
    </row>
    <row r="284" ht="15.75" customHeight="1" s="84">
      <c r="A284" s="80" t="inlineStr">
        <is>
          <t>Available</t>
        </is>
      </c>
      <c r="B284" s="103">
        <f>IF(OR(batches!A48="",batches!G48=""),"",batches!G48-COUNTIF(admissions!$M:$M,batches!A48))</f>
        <v/>
      </c>
      <c r="C284" s="101" t="n"/>
      <c r="D284" s="102" t="n"/>
      <c r="G284" s="80" t="inlineStr">
        <is>
          <t>Available</t>
        </is>
      </c>
      <c r="H284" s="103">
        <f>IF(OR(batches!A49="",batches!G49=""),"",batches!G49-COUNTIF(admissions!$M:$M,batches!A49))</f>
        <v/>
      </c>
      <c r="I284" s="101" t="n"/>
      <c r="J284" s="102" t="n"/>
    </row>
    <row r="285" ht="15.75" customHeight="1" s="84">
      <c r="A285" s="104" t="inlineStr">
        <is>
          <t>Student List</t>
        </is>
      </c>
      <c r="B285" s="101" t="n"/>
      <c r="C285" s="101" t="n"/>
      <c r="D285" s="102" t="n"/>
      <c r="G285" s="104" t="inlineStr">
        <is>
          <t>Student List</t>
        </is>
      </c>
      <c r="H285" s="101" t="n"/>
      <c r="I285" s="101" t="n"/>
      <c r="J285" s="102" t="n"/>
    </row>
    <row r="286" ht="15.75" customHeight="1" s="84">
      <c r="A286" s="105">
        <f>IFERROR(__xludf.DUMMYFUNCTION("IF(batches!A48="""","""",TEXTJOIN(CHAR(10),TRUE,FILTER(admissions!$G$2:$G$78,admissions!$M$2:$M$78=batches!A48,"""")))"),"")</f>
        <v/>
      </c>
      <c r="B286" s="101" t="n"/>
      <c r="C286" s="101" t="n"/>
      <c r="D286" s="102" t="n"/>
      <c r="G286" s="105">
        <f>IFERROR(__xludf.DUMMYFUNCTION("IF(batches!A49="""","""",TEXTJOIN(CHAR(10),TRUE,FILTER(admissions!$G$2:$G$78,admissions!$M$2:$M$78=batches!A49,"""")))"),"")</f>
        <v/>
      </c>
      <c r="H286" s="101" t="n"/>
      <c r="I286" s="101" t="n"/>
      <c r="J286" s="102" t="n"/>
    </row>
    <row r="287" ht="15.75" customHeight="1" s="84"/>
    <row r="288" ht="15.75" customHeight="1" s="84"/>
    <row r="289" ht="15.75" customHeight="1" s="84">
      <c r="A289" s="100">
        <f>IF(batches!A50="","",batches!A50)</f>
        <v/>
      </c>
      <c r="B289" s="101" t="n"/>
      <c r="C289" s="101" t="n"/>
      <c r="D289" s="102" t="n"/>
      <c r="G289" s="100">
        <f>IF(batches!A51="","",batches!A51)</f>
        <v/>
      </c>
      <c r="H289" s="101" t="n"/>
      <c r="I289" s="101" t="n"/>
      <c r="J289" s="102" t="n"/>
    </row>
    <row r="290" ht="15.75" customHeight="1" s="84">
      <c r="A290" s="80" t="inlineStr">
        <is>
          <t>Level / Mode</t>
        </is>
      </c>
      <c r="B290" s="103">
        <f>IF(A289="","",batches!B50&amp;" / "&amp;batches!C50)</f>
        <v/>
      </c>
      <c r="C290" s="101" t="n"/>
      <c r="D290" s="102" t="n"/>
      <c r="G290" s="80" t="inlineStr">
        <is>
          <t>Level / Mode</t>
        </is>
      </c>
      <c r="H290" s="103">
        <f>IF(G289="","",batches!B51&amp;" / "&amp;batches!C51)</f>
        <v/>
      </c>
      <c r="I290" s="101" t="n"/>
      <c r="J290" s="102" t="n"/>
    </row>
    <row r="291" ht="15.75" customHeight="1" s="84">
      <c r="A291" s="80" t="inlineStr">
        <is>
          <t>Dates</t>
        </is>
      </c>
      <c r="B291" s="103">
        <f>IF(A289="","",TEXT(batches!D50,"yyyy-mm-dd")&amp;" to "&amp;TEXT(batches!E50,"yyyy-mm-dd"))</f>
        <v/>
      </c>
      <c r="C291" s="101" t="n"/>
      <c r="D291" s="102" t="n"/>
      <c r="G291" s="80" t="inlineStr">
        <is>
          <t>Dates</t>
        </is>
      </c>
      <c r="H291" s="103">
        <f>IF(G289="","",TEXT(batches!D51,"yyyy-mm-dd")&amp;" to "&amp;TEXT(batches!E51,"yyyy-mm-dd"))</f>
        <v/>
      </c>
      <c r="I291" s="101" t="n"/>
      <c r="J291" s="102" t="n"/>
    </row>
    <row r="292" ht="15.75" customHeight="1" s="84">
      <c r="A292" s="80" t="inlineStr">
        <is>
          <t>Duration</t>
        </is>
      </c>
      <c r="B292" s="103">
        <f>IF(OR(batches!D50="",batches!E50=""),"",batches!E50-batches!D50+1&amp;" days")</f>
        <v/>
      </c>
      <c r="C292" s="101" t="n"/>
      <c r="D292" s="102" t="n"/>
      <c r="G292" s="80" t="inlineStr">
        <is>
          <t>Duration</t>
        </is>
      </c>
      <c r="H292" s="103">
        <f>IF(OR(batches!D51="",batches!E51=""),"",batches!E51-batches!D51+1&amp;" days")</f>
        <v/>
      </c>
      <c r="I292" s="101" t="n"/>
      <c r="J292" s="102" t="n"/>
    </row>
    <row r="293" ht="15.75" customHeight="1" s="84">
      <c r="A293" s="80" t="inlineStr">
        <is>
          <t>Timing</t>
        </is>
      </c>
      <c r="B293" s="103">
        <f>IF(A289="","",batches!F50)</f>
        <v/>
      </c>
      <c r="C293" s="101" t="n"/>
      <c r="D293" s="102" t="n"/>
      <c r="G293" s="80" t="inlineStr">
        <is>
          <t>Timing</t>
        </is>
      </c>
      <c r="H293" s="103">
        <f>IF(G289="","",batches!F51)</f>
        <v/>
      </c>
      <c r="I293" s="101" t="n"/>
      <c r="J293" s="102" t="n"/>
    </row>
    <row r="294" ht="15.75" customHeight="1" s="84">
      <c r="A294" s="80" t="inlineStr">
        <is>
          <t>Capacity</t>
        </is>
      </c>
      <c r="B294" s="103">
        <f>IF(A289="","",batches!G50)</f>
        <v/>
      </c>
      <c r="C294" s="101" t="n"/>
      <c r="D294" s="102" t="n"/>
      <c r="G294" s="80" t="inlineStr">
        <is>
          <t>Capacity</t>
        </is>
      </c>
      <c r="H294" s="103">
        <f>IF(G289="","",batches!G51)</f>
        <v/>
      </c>
      <c r="I294" s="101" t="n"/>
      <c r="J294" s="102" t="n"/>
    </row>
    <row r="295" ht="15.75" customHeight="1" s="84">
      <c r="A295" s="80" t="inlineStr">
        <is>
          <t>Enrolled</t>
        </is>
      </c>
      <c r="B295" s="103">
        <f>IF(A289="","",COUNTIF(admissions!$M:$M,batches!A50))</f>
        <v/>
      </c>
      <c r="C295" s="101" t="n"/>
      <c r="D295" s="102" t="n"/>
      <c r="G295" s="80" t="inlineStr">
        <is>
          <t>Enrolled</t>
        </is>
      </c>
      <c r="H295" s="103">
        <f>IF(G289="","",COUNTIF(admissions!$M:$M,batches!A51))</f>
        <v/>
      </c>
      <c r="I295" s="101" t="n"/>
      <c r="J295" s="102" t="n"/>
    </row>
    <row r="296" ht="15.75" customHeight="1" s="84">
      <c r="A296" s="80" t="inlineStr">
        <is>
          <t>Available</t>
        </is>
      </c>
      <c r="B296" s="103">
        <f>IF(OR(batches!A50="",batches!G50=""),"",batches!G50-COUNTIF(admissions!$M:$M,batches!A50))</f>
        <v/>
      </c>
      <c r="C296" s="101" t="n"/>
      <c r="D296" s="102" t="n"/>
      <c r="G296" s="80" t="inlineStr">
        <is>
          <t>Available</t>
        </is>
      </c>
      <c r="H296" s="103">
        <f>IF(OR(batches!A51="",batches!G51=""),"",batches!G51-COUNTIF(admissions!$M:$M,batches!A51))</f>
        <v/>
      </c>
      <c r="I296" s="101" t="n"/>
      <c r="J296" s="102" t="n"/>
    </row>
    <row r="297" ht="15.75" customHeight="1" s="84">
      <c r="A297" s="104" t="inlineStr">
        <is>
          <t>Student List</t>
        </is>
      </c>
      <c r="B297" s="101" t="n"/>
      <c r="C297" s="101" t="n"/>
      <c r="D297" s="102" t="n"/>
      <c r="G297" s="104" t="inlineStr">
        <is>
          <t>Student List</t>
        </is>
      </c>
      <c r="H297" s="101" t="n"/>
      <c r="I297" s="101" t="n"/>
      <c r="J297" s="102" t="n"/>
    </row>
    <row r="298" ht="15.75" customHeight="1" s="84">
      <c r="A298" s="105">
        <f>IFERROR(__xludf.DUMMYFUNCTION("IF(batches!A50="""","""",TEXTJOIN(CHAR(10),TRUE,FILTER(admissions!$G$2:$G$78,admissions!$M$2:$M$78=batches!A50,"""")))"),"")</f>
        <v/>
      </c>
      <c r="B298" s="101" t="n"/>
      <c r="C298" s="101" t="n"/>
      <c r="D298" s="102" t="n"/>
      <c r="G298" s="105">
        <f>IFERROR(__xludf.DUMMYFUNCTION("IF(batches!A51="""","""",TEXTJOIN(CHAR(10),TRUE,FILTER(admissions!$G$2:$G$78,admissions!$M$2:$M$78=batches!A51,"""")))"),"")</f>
        <v/>
      </c>
      <c r="H298" s="101" t="n"/>
      <c r="I298" s="101" t="n"/>
      <c r="J298" s="102" t="n"/>
    </row>
    <row r="299" ht="15.75" customHeight="1" s="84"/>
    <row r="300" ht="15.75" customHeight="1" s="84"/>
    <row r="301" ht="15.75" customHeight="1" s="84">
      <c r="A301" s="100">
        <f>IF(batches!A52="","",batches!A52)</f>
        <v/>
      </c>
      <c r="B301" s="101" t="n"/>
      <c r="C301" s="101" t="n"/>
      <c r="D301" s="102" t="n"/>
      <c r="G301" s="100">
        <f>IF(batches!A53="","",batches!A53)</f>
        <v/>
      </c>
      <c r="H301" s="101" t="n"/>
      <c r="I301" s="101" t="n"/>
      <c r="J301" s="102" t="n"/>
    </row>
    <row r="302" ht="15.75" customHeight="1" s="84">
      <c r="A302" s="80" t="inlineStr">
        <is>
          <t>Level / Mode</t>
        </is>
      </c>
      <c r="B302" s="103">
        <f>IF(A301="","",batches!B52&amp;" / "&amp;batches!C52)</f>
        <v/>
      </c>
      <c r="C302" s="101" t="n"/>
      <c r="D302" s="102" t="n"/>
      <c r="G302" s="80" t="inlineStr">
        <is>
          <t>Level / Mode</t>
        </is>
      </c>
      <c r="H302" s="103">
        <f>IF(G301="","",batches!B53&amp;" / "&amp;batches!C53)</f>
        <v/>
      </c>
      <c r="I302" s="101" t="n"/>
      <c r="J302" s="102" t="n"/>
    </row>
    <row r="303" ht="15.75" customHeight="1" s="84">
      <c r="A303" s="80" t="inlineStr">
        <is>
          <t>Dates</t>
        </is>
      </c>
      <c r="B303" s="103">
        <f>IF(A301="","",TEXT(batches!D52,"yyyy-mm-dd")&amp;" to "&amp;TEXT(batches!E52,"yyyy-mm-dd"))</f>
        <v/>
      </c>
      <c r="C303" s="101" t="n"/>
      <c r="D303" s="102" t="n"/>
      <c r="G303" s="80" t="inlineStr">
        <is>
          <t>Dates</t>
        </is>
      </c>
      <c r="H303" s="103">
        <f>IF(G301="","",TEXT(batches!D53,"yyyy-mm-dd")&amp;" to "&amp;TEXT(batches!E53,"yyyy-mm-dd"))</f>
        <v/>
      </c>
      <c r="I303" s="101" t="n"/>
      <c r="J303" s="102" t="n"/>
    </row>
    <row r="304" ht="15.75" customHeight="1" s="84">
      <c r="A304" s="80" t="inlineStr">
        <is>
          <t>Duration</t>
        </is>
      </c>
      <c r="B304" s="103">
        <f>IF(OR(batches!D52="",batches!E52=""),"",batches!E52-batches!D52+1&amp;" days")</f>
        <v/>
      </c>
      <c r="C304" s="101" t="n"/>
      <c r="D304" s="102" t="n"/>
      <c r="G304" s="80" t="inlineStr">
        <is>
          <t>Duration</t>
        </is>
      </c>
      <c r="H304" s="103">
        <f>IF(OR(batches!D53="",batches!E53=""),"",batches!E53-batches!D53+1&amp;" days")</f>
        <v/>
      </c>
      <c r="I304" s="101" t="n"/>
      <c r="J304" s="102" t="n"/>
    </row>
    <row r="305" ht="15.75" customHeight="1" s="84">
      <c r="A305" s="80" t="inlineStr">
        <is>
          <t>Timing</t>
        </is>
      </c>
      <c r="B305" s="103">
        <f>IF(A301="","",batches!F52)</f>
        <v/>
      </c>
      <c r="C305" s="101" t="n"/>
      <c r="D305" s="102" t="n"/>
      <c r="G305" s="80" t="inlineStr">
        <is>
          <t>Timing</t>
        </is>
      </c>
      <c r="H305" s="103">
        <f>IF(G301="","",batches!F53)</f>
        <v/>
      </c>
      <c r="I305" s="101" t="n"/>
      <c r="J305" s="102" t="n"/>
    </row>
    <row r="306" ht="15.75" customHeight="1" s="84">
      <c r="A306" s="80" t="inlineStr">
        <is>
          <t>Capacity</t>
        </is>
      </c>
      <c r="B306" s="103">
        <f>IF(A301="","",batches!G52)</f>
        <v/>
      </c>
      <c r="C306" s="101" t="n"/>
      <c r="D306" s="102" t="n"/>
      <c r="G306" s="80" t="inlineStr">
        <is>
          <t>Capacity</t>
        </is>
      </c>
      <c r="H306" s="103">
        <f>IF(G301="","",batches!G53)</f>
        <v/>
      </c>
      <c r="I306" s="101" t="n"/>
      <c r="J306" s="102" t="n"/>
    </row>
    <row r="307" ht="15.75" customHeight="1" s="84">
      <c r="A307" s="80" t="inlineStr">
        <is>
          <t>Enrolled</t>
        </is>
      </c>
      <c r="B307" s="103">
        <f>IF(A301="","",COUNTIF(admissions!$M:$M,batches!A52))</f>
        <v/>
      </c>
      <c r="C307" s="101" t="n"/>
      <c r="D307" s="102" t="n"/>
      <c r="G307" s="80" t="inlineStr">
        <is>
          <t>Enrolled</t>
        </is>
      </c>
      <c r="H307" s="103">
        <f>IF(G301="","",COUNTIF(admissions!$M:$M,batches!A53))</f>
        <v/>
      </c>
      <c r="I307" s="101" t="n"/>
      <c r="J307" s="102" t="n"/>
    </row>
    <row r="308" ht="15.75" customHeight="1" s="84">
      <c r="A308" s="80" t="inlineStr">
        <is>
          <t>Available</t>
        </is>
      </c>
      <c r="B308" s="103">
        <f>IF(OR(batches!A52="",batches!G52=""),"",batches!G52-COUNTIF(admissions!$M:$M,batches!A52))</f>
        <v/>
      </c>
      <c r="C308" s="101" t="n"/>
      <c r="D308" s="102" t="n"/>
      <c r="G308" s="80" t="inlineStr">
        <is>
          <t>Available</t>
        </is>
      </c>
      <c r="H308" s="103">
        <f>IF(OR(batches!A53="",batches!G53=""),"",batches!G53-COUNTIF(admissions!$M:$M,batches!A53))</f>
        <v/>
      </c>
      <c r="I308" s="101" t="n"/>
      <c r="J308" s="102" t="n"/>
    </row>
    <row r="309" ht="15.75" customHeight="1" s="84">
      <c r="A309" s="104" t="inlineStr">
        <is>
          <t>Student List</t>
        </is>
      </c>
      <c r="B309" s="101" t="n"/>
      <c r="C309" s="101" t="n"/>
      <c r="D309" s="102" t="n"/>
      <c r="G309" s="104" t="inlineStr">
        <is>
          <t>Student List</t>
        </is>
      </c>
      <c r="H309" s="101" t="n"/>
      <c r="I309" s="101" t="n"/>
      <c r="J309" s="102" t="n"/>
    </row>
    <row r="310" ht="15.75" customHeight="1" s="84">
      <c r="A310" s="105">
        <f>IFERROR(__xludf.DUMMYFUNCTION("IF(batches!A52="""","""",TEXTJOIN(CHAR(10),TRUE,FILTER(admissions!$G$2:$G$78,admissions!$M$2:$M$78=batches!A52,"""")))"),"")</f>
        <v/>
      </c>
      <c r="B310" s="101" t="n"/>
      <c r="C310" s="101" t="n"/>
      <c r="D310" s="102" t="n"/>
      <c r="G310" s="105">
        <f>IFERROR(__xludf.DUMMYFUNCTION("IF(batches!A53="""","""",TEXTJOIN(CHAR(10),TRUE,FILTER(admissions!$G$2:$G$78,admissions!$M$2:$M$78=batches!A53,"""")))"),"")</f>
        <v/>
      </c>
      <c r="H310" s="101" t="n"/>
      <c r="I310" s="101" t="n"/>
      <c r="J310" s="102" t="n"/>
    </row>
    <row r="311" ht="15.75" customHeight="1" s="84"/>
    <row r="312" ht="15.75" customHeight="1" s="84"/>
    <row r="313" ht="15.75" customHeight="1" s="84">
      <c r="A313" s="100">
        <f>IF(batches!A54="","",batches!A54)</f>
        <v/>
      </c>
      <c r="B313" s="101" t="n"/>
      <c r="C313" s="101" t="n"/>
      <c r="D313" s="102" t="n"/>
      <c r="G313" s="100">
        <f>IF(batches!A55="","",batches!A55)</f>
        <v/>
      </c>
      <c r="H313" s="101" t="n"/>
      <c r="I313" s="101" t="n"/>
      <c r="J313" s="102" t="n"/>
    </row>
    <row r="314" ht="15.75" customHeight="1" s="84">
      <c r="A314" s="80" t="inlineStr">
        <is>
          <t>Level / Mode</t>
        </is>
      </c>
      <c r="B314" s="103">
        <f>IF(A313="","",batches!B54&amp;" / "&amp;batches!C54)</f>
        <v/>
      </c>
      <c r="C314" s="101" t="n"/>
      <c r="D314" s="102" t="n"/>
      <c r="G314" s="80" t="inlineStr">
        <is>
          <t>Level / Mode</t>
        </is>
      </c>
      <c r="H314" s="103">
        <f>IF(G313="","",batches!B55&amp;" / "&amp;batches!C55)</f>
        <v/>
      </c>
      <c r="I314" s="101" t="n"/>
      <c r="J314" s="102" t="n"/>
    </row>
    <row r="315" ht="15.75" customHeight="1" s="84">
      <c r="A315" s="80" t="inlineStr">
        <is>
          <t>Dates</t>
        </is>
      </c>
      <c r="B315" s="103">
        <f>IF(A313="","",TEXT(batches!D54,"yyyy-mm-dd")&amp;" to "&amp;TEXT(batches!E54,"yyyy-mm-dd"))</f>
        <v/>
      </c>
      <c r="C315" s="101" t="n"/>
      <c r="D315" s="102" t="n"/>
      <c r="G315" s="80" t="inlineStr">
        <is>
          <t>Dates</t>
        </is>
      </c>
      <c r="H315" s="103">
        <f>IF(G313="","",TEXT(batches!D55,"yyyy-mm-dd")&amp;" to "&amp;TEXT(batches!E55,"yyyy-mm-dd"))</f>
        <v/>
      </c>
      <c r="I315" s="101" t="n"/>
      <c r="J315" s="102" t="n"/>
    </row>
    <row r="316" ht="15.75" customHeight="1" s="84">
      <c r="A316" s="80" t="inlineStr">
        <is>
          <t>Duration</t>
        </is>
      </c>
      <c r="B316" s="103">
        <f>IF(OR(batches!D54="",batches!E54=""),"",batches!E54-batches!D54+1&amp;" days")</f>
        <v/>
      </c>
      <c r="C316" s="101" t="n"/>
      <c r="D316" s="102" t="n"/>
      <c r="G316" s="80" t="inlineStr">
        <is>
          <t>Duration</t>
        </is>
      </c>
      <c r="H316" s="103">
        <f>IF(OR(batches!D55="",batches!E55=""),"",batches!E55-batches!D55+1&amp;" days")</f>
        <v/>
      </c>
      <c r="I316" s="101" t="n"/>
      <c r="J316" s="102" t="n"/>
    </row>
    <row r="317" ht="15.75" customHeight="1" s="84">
      <c r="A317" s="80" t="inlineStr">
        <is>
          <t>Timing</t>
        </is>
      </c>
      <c r="B317" s="103">
        <f>IF(A313="","",batches!F54)</f>
        <v/>
      </c>
      <c r="C317" s="101" t="n"/>
      <c r="D317" s="102" t="n"/>
      <c r="G317" s="80" t="inlineStr">
        <is>
          <t>Timing</t>
        </is>
      </c>
      <c r="H317" s="103">
        <f>IF(G313="","",batches!F55)</f>
        <v/>
      </c>
      <c r="I317" s="101" t="n"/>
      <c r="J317" s="102" t="n"/>
    </row>
    <row r="318" ht="15.75" customHeight="1" s="84">
      <c r="A318" s="80" t="inlineStr">
        <is>
          <t>Capacity</t>
        </is>
      </c>
      <c r="B318" s="103">
        <f>IF(A313="","",batches!G54)</f>
        <v/>
      </c>
      <c r="C318" s="101" t="n"/>
      <c r="D318" s="102" t="n"/>
      <c r="G318" s="80" t="inlineStr">
        <is>
          <t>Capacity</t>
        </is>
      </c>
      <c r="H318" s="103">
        <f>IF(G313="","",batches!G55)</f>
        <v/>
      </c>
      <c r="I318" s="101" t="n"/>
      <c r="J318" s="102" t="n"/>
    </row>
    <row r="319" ht="15.75" customHeight="1" s="84">
      <c r="A319" s="80" t="inlineStr">
        <is>
          <t>Enrolled</t>
        </is>
      </c>
      <c r="B319" s="103">
        <f>IF(A313="","",COUNTIF(admissions!$M:$M,batches!A54))</f>
        <v/>
      </c>
      <c r="C319" s="101" t="n"/>
      <c r="D319" s="102" t="n"/>
      <c r="G319" s="80" t="inlineStr">
        <is>
          <t>Enrolled</t>
        </is>
      </c>
      <c r="H319" s="103">
        <f>IF(G313="","",COUNTIF(admissions!$M:$M,batches!A55))</f>
        <v/>
      </c>
      <c r="I319" s="101" t="n"/>
      <c r="J319" s="102" t="n"/>
    </row>
    <row r="320" ht="15.75" customHeight="1" s="84">
      <c r="A320" s="80" t="inlineStr">
        <is>
          <t>Available</t>
        </is>
      </c>
      <c r="B320" s="103">
        <f>IF(OR(batches!A54="",batches!G54=""),"",batches!G54-COUNTIF(admissions!$M:$M,batches!A54))</f>
        <v/>
      </c>
      <c r="C320" s="101" t="n"/>
      <c r="D320" s="102" t="n"/>
      <c r="G320" s="80" t="inlineStr">
        <is>
          <t>Available</t>
        </is>
      </c>
      <c r="H320" s="103">
        <f>IF(OR(batches!A55="",batches!G55=""),"",batches!G55-COUNTIF(admissions!$M:$M,batches!A55))</f>
        <v/>
      </c>
      <c r="I320" s="101" t="n"/>
      <c r="J320" s="102" t="n"/>
    </row>
    <row r="321" ht="15.75" customHeight="1" s="84">
      <c r="A321" s="104" t="inlineStr">
        <is>
          <t>Student List</t>
        </is>
      </c>
      <c r="B321" s="101" t="n"/>
      <c r="C321" s="101" t="n"/>
      <c r="D321" s="102" t="n"/>
      <c r="G321" s="104" t="inlineStr">
        <is>
          <t>Student List</t>
        </is>
      </c>
      <c r="H321" s="101" t="n"/>
      <c r="I321" s="101" t="n"/>
      <c r="J321" s="102" t="n"/>
    </row>
    <row r="322" ht="15.75" customHeight="1" s="84">
      <c r="A322" s="105">
        <f>IFERROR(__xludf.DUMMYFUNCTION("IF(batches!A54="""","""",TEXTJOIN(CHAR(10),TRUE,FILTER(admissions!$G$2:$G$78,admissions!$M$2:$M$78=batches!A54,"""")))"),"")</f>
        <v/>
      </c>
      <c r="B322" s="101" t="n"/>
      <c r="C322" s="101" t="n"/>
      <c r="D322" s="102" t="n"/>
      <c r="G322" s="105">
        <f>IFERROR(__xludf.DUMMYFUNCTION("IF(batches!A55="""","""",TEXTJOIN(CHAR(10),TRUE,FILTER(admissions!$G$2:$G$78,admissions!$M$2:$M$78=batches!A55,"""")))"),"")</f>
        <v/>
      </c>
      <c r="H322" s="101" t="n"/>
      <c r="I322" s="101" t="n"/>
      <c r="J322" s="102" t="n"/>
    </row>
    <row r="323" ht="15.75" customHeight="1" s="84"/>
    <row r="324" ht="15.75" customHeight="1" s="84"/>
    <row r="325" ht="15.75" customHeight="1" s="84">
      <c r="A325" s="100">
        <f>IF(batches!A56="","",batches!A56)</f>
        <v/>
      </c>
      <c r="B325" s="101" t="n"/>
      <c r="C325" s="101" t="n"/>
      <c r="D325" s="102" t="n"/>
      <c r="G325" s="100">
        <f>IF(batches!A57="","",batches!A57)</f>
        <v/>
      </c>
      <c r="H325" s="101" t="n"/>
      <c r="I325" s="101" t="n"/>
      <c r="J325" s="102" t="n"/>
    </row>
    <row r="326" ht="15.75" customHeight="1" s="84">
      <c r="A326" s="80" t="inlineStr">
        <is>
          <t>Level / Mode</t>
        </is>
      </c>
      <c r="B326" s="103">
        <f>IF(A325="","",batches!B56&amp;" / "&amp;batches!C56)</f>
        <v/>
      </c>
      <c r="C326" s="101" t="n"/>
      <c r="D326" s="102" t="n"/>
      <c r="G326" s="80" t="inlineStr">
        <is>
          <t>Level / Mode</t>
        </is>
      </c>
      <c r="H326" s="103">
        <f>IF(G325="","",batches!B57&amp;" / "&amp;batches!C57)</f>
        <v/>
      </c>
      <c r="I326" s="101" t="n"/>
      <c r="J326" s="102" t="n"/>
    </row>
    <row r="327" ht="15.75" customHeight="1" s="84">
      <c r="A327" s="80" t="inlineStr">
        <is>
          <t>Dates</t>
        </is>
      </c>
      <c r="B327" s="103">
        <f>IF(A325="","",TEXT(batches!D56,"yyyy-mm-dd")&amp;" to "&amp;TEXT(batches!E56,"yyyy-mm-dd"))</f>
        <v/>
      </c>
      <c r="C327" s="101" t="n"/>
      <c r="D327" s="102" t="n"/>
      <c r="G327" s="80" t="inlineStr">
        <is>
          <t>Dates</t>
        </is>
      </c>
      <c r="H327" s="103">
        <f>IF(G325="","",TEXT(batches!D57,"yyyy-mm-dd")&amp;" to "&amp;TEXT(batches!E57,"yyyy-mm-dd"))</f>
        <v/>
      </c>
      <c r="I327" s="101" t="n"/>
      <c r="J327" s="102" t="n"/>
    </row>
    <row r="328" ht="15.75" customHeight="1" s="84">
      <c r="A328" s="80" t="inlineStr">
        <is>
          <t>Duration</t>
        </is>
      </c>
      <c r="B328" s="103">
        <f>IF(OR(batches!D56="",batches!E56=""),"",batches!E56-batches!D56+1&amp;" days")</f>
        <v/>
      </c>
      <c r="C328" s="101" t="n"/>
      <c r="D328" s="102" t="n"/>
      <c r="G328" s="80" t="inlineStr">
        <is>
          <t>Duration</t>
        </is>
      </c>
      <c r="H328" s="103">
        <f>IF(OR(batches!D57="",batches!E57=""),"",batches!E57-batches!D57+1&amp;" days")</f>
        <v/>
      </c>
      <c r="I328" s="101" t="n"/>
      <c r="J328" s="102" t="n"/>
    </row>
    <row r="329" ht="15.75" customHeight="1" s="84">
      <c r="A329" s="80" t="inlineStr">
        <is>
          <t>Timing</t>
        </is>
      </c>
      <c r="B329" s="103">
        <f>IF(A325="","",batches!F56)</f>
        <v/>
      </c>
      <c r="C329" s="101" t="n"/>
      <c r="D329" s="102" t="n"/>
      <c r="G329" s="80" t="inlineStr">
        <is>
          <t>Timing</t>
        </is>
      </c>
      <c r="H329" s="103">
        <f>IF(G325="","",batches!F57)</f>
        <v/>
      </c>
      <c r="I329" s="101" t="n"/>
      <c r="J329" s="102" t="n"/>
    </row>
    <row r="330" ht="15.75" customHeight="1" s="84">
      <c r="A330" s="80" t="inlineStr">
        <is>
          <t>Capacity</t>
        </is>
      </c>
      <c r="B330" s="103">
        <f>IF(A325="","",batches!G56)</f>
        <v/>
      </c>
      <c r="C330" s="101" t="n"/>
      <c r="D330" s="102" t="n"/>
      <c r="G330" s="80" t="inlineStr">
        <is>
          <t>Capacity</t>
        </is>
      </c>
      <c r="H330" s="103">
        <f>IF(G325="","",batches!G57)</f>
        <v/>
      </c>
      <c r="I330" s="101" t="n"/>
      <c r="J330" s="102" t="n"/>
    </row>
    <row r="331" ht="15.75" customHeight="1" s="84">
      <c r="A331" s="80" t="inlineStr">
        <is>
          <t>Enrolled</t>
        </is>
      </c>
      <c r="B331" s="103">
        <f>IF(A325="","",COUNTIF(admissions!$M:$M,batches!A56))</f>
        <v/>
      </c>
      <c r="C331" s="101" t="n"/>
      <c r="D331" s="102" t="n"/>
      <c r="G331" s="80" t="inlineStr">
        <is>
          <t>Enrolled</t>
        </is>
      </c>
      <c r="H331" s="103">
        <f>IF(G325="","",COUNTIF(admissions!$M:$M,batches!A57))</f>
        <v/>
      </c>
      <c r="I331" s="101" t="n"/>
      <c r="J331" s="102" t="n"/>
    </row>
    <row r="332" ht="15.75" customHeight="1" s="84">
      <c r="A332" s="80" t="inlineStr">
        <is>
          <t>Available</t>
        </is>
      </c>
      <c r="B332" s="103">
        <f>IF(OR(batches!A56="",batches!G56=""),"",batches!G56-COUNTIF(admissions!$M:$M,batches!A56))</f>
        <v/>
      </c>
      <c r="C332" s="101" t="n"/>
      <c r="D332" s="102" t="n"/>
      <c r="G332" s="80" t="inlineStr">
        <is>
          <t>Available</t>
        </is>
      </c>
      <c r="H332" s="103">
        <f>IF(OR(batches!A57="",batches!G57=""),"",batches!G57-COUNTIF(admissions!$M:$M,batches!A57))</f>
        <v/>
      </c>
      <c r="I332" s="101" t="n"/>
      <c r="J332" s="102" t="n"/>
    </row>
    <row r="333" ht="15.75" customHeight="1" s="84">
      <c r="A333" s="104" t="inlineStr">
        <is>
          <t>Student List</t>
        </is>
      </c>
      <c r="B333" s="101" t="n"/>
      <c r="C333" s="101" t="n"/>
      <c r="D333" s="102" t="n"/>
      <c r="G333" s="104" t="inlineStr">
        <is>
          <t>Student List</t>
        </is>
      </c>
      <c r="H333" s="101" t="n"/>
      <c r="I333" s="101" t="n"/>
      <c r="J333" s="102" t="n"/>
    </row>
    <row r="334" ht="15.75" customHeight="1" s="84">
      <c r="A334" s="105">
        <f>IFERROR(__xludf.DUMMYFUNCTION("IF(batches!A56="""","""",TEXTJOIN(CHAR(10),TRUE,FILTER(admissions!$G$2:$G$78,admissions!$M$2:$M$78=batches!A56,"""")))"),"")</f>
        <v/>
      </c>
      <c r="B334" s="101" t="n"/>
      <c r="C334" s="101" t="n"/>
      <c r="D334" s="102" t="n"/>
      <c r="G334" s="105">
        <f>IFERROR(__xludf.DUMMYFUNCTION("IF(batches!A57="""","""",TEXTJOIN(CHAR(10),TRUE,FILTER(admissions!$G$2:$G$78,admissions!$M$2:$M$78=batches!A57,"""")))"),"")</f>
        <v/>
      </c>
      <c r="H334" s="101" t="n"/>
      <c r="I334" s="101" t="n"/>
      <c r="J334" s="102" t="n"/>
    </row>
    <row r="335" ht="15.75" customHeight="1" s="84"/>
    <row r="336" ht="15.75" customHeight="1" s="84"/>
    <row r="337" ht="15.75" customHeight="1" s="84">
      <c r="A337" s="100">
        <f>IF(batches!A58="","",batches!A58)</f>
        <v/>
      </c>
      <c r="B337" s="101" t="n"/>
      <c r="C337" s="101" t="n"/>
      <c r="D337" s="102" t="n"/>
      <c r="G337" s="100">
        <f>IF(batches!A59="","",batches!A59)</f>
        <v/>
      </c>
      <c r="H337" s="101" t="n"/>
      <c r="I337" s="101" t="n"/>
      <c r="J337" s="102" t="n"/>
    </row>
    <row r="338" ht="15.75" customHeight="1" s="84">
      <c r="A338" s="80" t="inlineStr">
        <is>
          <t>Level / Mode</t>
        </is>
      </c>
      <c r="B338" s="103">
        <f>IF(A337="","",batches!B58&amp;" / "&amp;batches!C58)</f>
        <v/>
      </c>
      <c r="C338" s="101" t="n"/>
      <c r="D338" s="102" t="n"/>
      <c r="G338" s="80" t="inlineStr">
        <is>
          <t>Level / Mode</t>
        </is>
      </c>
      <c r="H338" s="103">
        <f>IF(G337="","",batches!B59&amp;" / "&amp;batches!C59)</f>
        <v/>
      </c>
      <c r="I338" s="101" t="n"/>
      <c r="J338" s="102" t="n"/>
    </row>
    <row r="339" ht="15.75" customHeight="1" s="84">
      <c r="A339" s="80" t="inlineStr">
        <is>
          <t>Dates</t>
        </is>
      </c>
      <c r="B339" s="103">
        <f>IF(A337="","",TEXT(batches!D58,"yyyy-mm-dd")&amp;" to "&amp;TEXT(batches!E58,"yyyy-mm-dd"))</f>
        <v/>
      </c>
      <c r="C339" s="101" t="n"/>
      <c r="D339" s="102" t="n"/>
      <c r="G339" s="80" t="inlineStr">
        <is>
          <t>Dates</t>
        </is>
      </c>
      <c r="H339" s="103">
        <f>IF(G337="","",TEXT(batches!D59,"yyyy-mm-dd")&amp;" to "&amp;TEXT(batches!E59,"yyyy-mm-dd"))</f>
        <v/>
      </c>
      <c r="I339" s="101" t="n"/>
      <c r="J339" s="102" t="n"/>
    </row>
    <row r="340" ht="15.75" customHeight="1" s="84">
      <c r="A340" s="80" t="inlineStr">
        <is>
          <t>Duration</t>
        </is>
      </c>
      <c r="B340" s="103">
        <f>IF(OR(batches!D58="",batches!E58=""),"",batches!E58-batches!D58+1&amp;" days")</f>
        <v/>
      </c>
      <c r="C340" s="101" t="n"/>
      <c r="D340" s="102" t="n"/>
      <c r="G340" s="80" t="inlineStr">
        <is>
          <t>Duration</t>
        </is>
      </c>
      <c r="H340" s="103">
        <f>IF(OR(batches!D59="",batches!E59=""),"",batches!E59-batches!D59+1&amp;" days")</f>
        <v/>
      </c>
      <c r="I340" s="101" t="n"/>
      <c r="J340" s="102" t="n"/>
    </row>
    <row r="341" ht="15.75" customHeight="1" s="84">
      <c r="A341" s="80" t="inlineStr">
        <is>
          <t>Timing</t>
        </is>
      </c>
      <c r="B341" s="103">
        <f>IF(A337="","",batches!F58)</f>
        <v/>
      </c>
      <c r="C341" s="101" t="n"/>
      <c r="D341" s="102" t="n"/>
      <c r="G341" s="80" t="inlineStr">
        <is>
          <t>Timing</t>
        </is>
      </c>
      <c r="H341" s="103">
        <f>IF(G337="","",batches!F59)</f>
        <v/>
      </c>
      <c r="I341" s="101" t="n"/>
      <c r="J341" s="102" t="n"/>
    </row>
    <row r="342" ht="15.75" customHeight="1" s="84">
      <c r="A342" s="80" t="inlineStr">
        <is>
          <t>Capacity</t>
        </is>
      </c>
      <c r="B342" s="103">
        <f>IF(A337="","",batches!G58)</f>
        <v/>
      </c>
      <c r="C342" s="101" t="n"/>
      <c r="D342" s="102" t="n"/>
      <c r="G342" s="80" t="inlineStr">
        <is>
          <t>Capacity</t>
        </is>
      </c>
      <c r="H342" s="103">
        <f>IF(G337="","",batches!G59)</f>
        <v/>
      </c>
      <c r="I342" s="101" t="n"/>
      <c r="J342" s="102" t="n"/>
    </row>
    <row r="343" ht="15.75" customHeight="1" s="84">
      <c r="A343" s="80" t="inlineStr">
        <is>
          <t>Enrolled</t>
        </is>
      </c>
      <c r="B343" s="103">
        <f>IF(A337="","",COUNTIF(admissions!$M:$M,batches!A58))</f>
        <v/>
      </c>
      <c r="C343" s="101" t="n"/>
      <c r="D343" s="102" t="n"/>
      <c r="G343" s="80" t="inlineStr">
        <is>
          <t>Enrolled</t>
        </is>
      </c>
      <c r="H343" s="103">
        <f>IF(G337="","",COUNTIF(admissions!$M:$M,batches!A59))</f>
        <v/>
      </c>
      <c r="I343" s="101" t="n"/>
      <c r="J343" s="102" t="n"/>
    </row>
    <row r="344" ht="15.75" customHeight="1" s="84">
      <c r="A344" s="80" t="inlineStr">
        <is>
          <t>Available</t>
        </is>
      </c>
      <c r="B344" s="103">
        <f>IF(OR(batches!A58="",batches!G58=""),"",batches!G58-COUNTIF(admissions!$M:$M,batches!A58))</f>
        <v/>
      </c>
      <c r="C344" s="101" t="n"/>
      <c r="D344" s="102" t="n"/>
      <c r="G344" s="80" t="inlineStr">
        <is>
          <t>Available</t>
        </is>
      </c>
      <c r="H344" s="103">
        <f>IF(OR(batches!A59="",batches!G59=""),"",batches!G59-COUNTIF(admissions!$M:$M,batches!A59))</f>
        <v/>
      </c>
      <c r="I344" s="101" t="n"/>
      <c r="J344" s="102" t="n"/>
    </row>
    <row r="345" ht="15.75" customHeight="1" s="84">
      <c r="A345" s="104" t="inlineStr">
        <is>
          <t>Student List</t>
        </is>
      </c>
      <c r="B345" s="101" t="n"/>
      <c r="C345" s="101" t="n"/>
      <c r="D345" s="102" t="n"/>
      <c r="G345" s="104" t="inlineStr">
        <is>
          <t>Student List</t>
        </is>
      </c>
      <c r="H345" s="101" t="n"/>
      <c r="I345" s="101" t="n"/>
      <c r="J345" s="102" t="n"/>
    </row>
    <row r="346" ht="15.75" customHeight="1" s="84">
      <c r="A346" s="105">
        <f>IFERROR(__xludf.DUMMYFUNCTION("IF(batches!A58="""","""",TEXTJOIN(CHAR(10),TRUE,FILTER(admissions!$G$2:$G$78,admissions!$M$2:$M$78=batches!A58,"""")))"),"")</f>
        <v/>
      </c>
      <c r="B346" s="101" t="n"/>
      <c r="C346" s="101" t="n"/>
      <c r="D346" s="102" t="n"/>
      <c r="G346" s="105">
        <f>IFERROR(__xludf.DUMMYFUNCTION("IF(batches!A59="""","""",TEXTJOIN(CHAR(10),TRUE,FILTER(admissions!$G$2:$G$78,admissions!$M$2:$M$78=batches!A59,"""")))"),"")</f>
        <v/>
      </c>
      <c r="H346" s="101" t="n"/>
      <c r="I346" s="101" t="n"/>
      <c r="J346" s="102" t="n"/>
    </row>
    <row r="347" ht="15.75" customHeight="1" s="84"/>
    <row r="348" ht="15.75" customHeight="1" s="84"/>
    <row r="349" ht="15.75" customHeight="1" s="84">
      <c r="A349" s="100">
        <f>IF(batches!A60="","",batches!A60)</f>
        <v/>
      </c>
      <c r="B349" s="101" t="n"/>
      <c r="C349" s="101" t="n"/>
      <c r="D349" s="102" t="n"/>
      <c r="G349" s="100">
        <f>IF(batches!A61="","",batches!A61)</f>
        <v/>
      </c>
      <c r="H349" s="101" t="n"/>
      <c r="I349" s="101" t="n"/>
      <c r="J349" s="102" t="n"/>
    </row>
    <row r="350" ht="15.75" customHeight="1" s="84">
      <c r="A350" s="80" t="inlineStr">
        <is>
          <t>Level / Mode</t>
        </is>
      </c>
      <c r="B350" s="103">
        <f>IF(A349="","",batches!B60&amp;" / "&amp;batches!C60)</f>
        <v/>
      </c>
      <c r="C350" s="101" t="n"/>
      <c r="D350" s="102" t="n"/>
      <c r="G350" s="80" t="inlineStr">
        <is>
          <t>Level / Mode</t>
        </is>
      </c>
      <c r="H350" s="103">
        <f>IF(G349="","",batches!B61&amp;" / "&amp;batches!C61)</f>
        <v/>
      </c>
      <c r="I350" s="101" t="n"/>
      <c r="J350" s="102" t="n"/>
    </row>
    <row r="351" ht="15.75" customHeight="1" s="84">
      <c r="A351" s="80" t="inlineStr">
        <is>
          <t>Dates</t>
        </is>
      </c>
      <c r="B351" s="103">
        <f>IF(A349="","",TEXT(batches!D60,"yyyy-mm-dd")&amp;" to "&amp;TEXT(batches!E60,"yyyy-mm-dd"))</f>
        <v/>
      </c>
      <c r="C351" s="101" t="n"/>
      <c r="D351" s="102" t="n"/>
      <c r="G351" s="80" t="inlineStr">
        <is>
          <t>Dates</t>
        </is>
      </c>
      <c r="H351" s="103">
        <f>IF(G349="","",TEXT(batches!D61,"yyyy-mm-dd")&amp;" to "&amp;TEXT(batches!E61,"yyyy-mm-dd"))</f>
        <v/>
      </c>
      <c r="I351" s="101" t="n"/>
      <c r="J351" s="102" t="n"/>
    </row>
    <row r="352" ht="15.75" customHeight="1" s="84">
      <c r="A352" s="80" t="inlineStr">
        <is>
          <t>Duration</t>
        </is>
      </c>
      <c r="B352" s="103">
        <f>IF(OR(batches!D60="",batches!E60=""),"",batches!E60-batches!D60+1&amp;" days")</f>
        <v/>
      </c>
      <c r="C352" s="101" t="n"/>
      <c r="D352" s="102" t="n"/>
      <c r="G352" s="80" t="inlineStr">
        <is>
          <t>Duration</t>
        </is>
      </c>
      <c r="H352" s="103">
        <f>IF(OR(batches!D61="",batches!E61=""),"",batches!E61-batches!D61+1&amp;" days")</f>
        <v/>
      </c>
      <c r="I352" s="101" t="n"/>
      <c r="J352" s="102" t="n"/>
    </row>
    <row r="353" ht="15.75" customHeight="1" s="84">
      <c r="A353" s="80" t="inlineStr">
        <is>
          <t>Timing</t>
        </is>
      </c>
      <c r="B353" s="103">
        <f>IF(A349="","",batches!F60)</f>
        <v/>
      </c>
      <c r="C353" s="101" t="n"/>
      <c r="D353" s="102" t="n"/>
      <c r="G353" s="80" t="inlineStr">
        <is>
          <t>Timing</t>
        </is>
      </c>
      <c r="H353" s="103">
        <f>IF(G349="","",batches!F61)</f>
        <v/>
      </c>
      <c r="I353" s="101" t="n"/>
      <c r="J353" s="102" t="n"/>
    </row>
    <row r="354" ht="15.75" customHeight="1" s="84">
      <c r="A354" s="80" t="inlineStr">
        <is>
          <t>Capacity</t>
        </is>
      </c>
      <c r="B354" s="103">
        <f>IF(A349="","",batches!G60)</f>
        <v/>
      </c>
      <c r="C354" s="101" t="n"/>
      <c r="D354" s="102" t="n"/>
      <c r="G354" s="80" t="inlineStr">
        <is>
          <t>Capacity</t>
        </is>
      </c>
      <c r="H354" s="103">
        <f>IF(G349="","",batches!G61)</f>
        <v/>
      </c>
      <c r="I354" s="101" t="n"/>
      <c r="J354" s="102" t="n"/>
    </row>
    <row r="355" ht="15.75" customHeight="1" s="84">
      <c r="A355" s="80" t="inlineStr">
        <is>
          <t>Enrolled</t>
        </is>
      </c>
      <c r="B355" s="103">
        <f>IF(A349="","",COUNTIF(admissions!$M:$M,batches!A60))</f>
        <v/>
      </c>
      <c r="C355" s="101" t="n"/>
      <c r="D355" s="102" t="n"/>
      <c r="G355" s="80" t="inlineStr">
        <is>
          <t>Enrolled</t>
        </is>
      </c>
      <c r="H355" s="103">
        <f>IF(G349="","",COUNTIF(admissions!$M:$M,batches!A61))</f>
        <v/>
      </c>
      <c r="I355" s="101" t="n"/>
      <c r="J355" s="102" t="n"/>
    </row>
    <row r="356" ht="15.75" customHeight="1" s="84">
      <c r="A356" s="80" t="inlineStr">
        <is>
          <t>Available</t>
        </is>
      </c>
      <c r="B356" s="103">
        <f>IF(OR(batches!A60="",batches!G60=""),"",batches!G60-COUNTIF(admissions!$M:$M,batches!A60))</f>
        <v/>
      </c>
      <c r="C356" s="101" t="n"/>
      <c r="D356" s="102" t="n"/>
      <c r="G356" s="80" t="inlineStr">
        <is>
          <t>Available</t>
        </is>
      </c>
      <c r="H356" s="103">
        <f>IF(OR(batches!A61="",batches!G61=""),"",batches!G61-COUNTIF(admissions!$M:$M,batches!A61))</f>
        <v/>
      </c>
      <c r="I356" s="101" t="n"/>
      <c r="J356" s="102" t="n"/>
    </row>
    <row r="357" ht="15.75" customHeight="1" s="84">
      <c r="A357" s="104" t="inlineStr">
        <is>
          <t>Student List</t>
        </is>
      </c>
      <c r="B357" s="101" t="n"/>
      <c r="C357" s="101" t="n"/>
      <c r="D357" s="102" t="n"/>
      <c r="G357" s="104" t="inlineStr">
        <is>
          <t>Student List</t>
        </is>
      </c>
      <c r="H357" s="101" t="n"/>
      <c r="I357" s="101" t="n"/>
      <c r="J357" s="102" t="n"/>
    </row>
    <row r="358" ht="15.75" customHeight="1" s="84">
      <c r="A358" s="105">
        <f>IFERROR(__xludf.DUMMYFUNCTION("IF(batches!A60="""","""",TEXTJOIN(CHAR(10),TRUE,FILTER(admissions!$G$2:$G$78,admissions!$M$2:$M$78=batches!A60,"""")))"),"")</f>
        <v/>
      </c>
      <c r="B358" s="101" t="n"/>
      <c r="C358" s="101" t="n"/>
      <c r="D358" s="102" t="n"/>
      <c r="G358" s="105">
        <f>IFERROR(__xludf.DUMMYFUNCTION("IF(batches!A61="""","""",TEXTJOIN(CHAR(10),TRUE,FILTER(admissions!$G$2:$G$78,admissions!$M$2:$M$78=batches!A61,"""")))"),"")</f>
        <v/>
      </c>
      <c r="H358" s="101" t="n"/>
      <c r="I358" s="101" t="n"/>
      <c r="J358" s="102" t="n"/>
    </row>
    <row r="359" ht="15.75" customHeight="1" s="84"/>
    <row r="360" ht="15.75" customHeight="1" s="84"/>
    <row r="361" ht="15.75" customHeight="1" s="84">
      <c r="A361" s="100">
        <f>IF(batches!A62="","",batches!A62)</f>
        <v/>
      </c>
      <c r="B361" s="101" t="n"/>
      <c r="C361" s="101" t="n"/>
      <c r="D361" s="102" t="n"/>
      <c r="G361" s="100">
        <f>IF(batches!A63="","",batches!A63)</f>
        <v/>
      </c>
      <c r="H361" s="101" t="n"/>
      <c r="I361" s="101" t="n"/>
      <c r="J361" s="102" t="n"/>
    </row>
    <row r="362" ht="15.75" customHeight="1" s="84">
      <c r="A362" s="80" t="inlineStr">
        <is>
          <t>Level / Mode</t>
        </is>
      </c>
      <c r="B362" s="103">
        <f>IF(A361="","",batches!B62&amp;" / "&amp;batches!C62)</f>
        <v/>
      </c>
      <c r="C362" s="101" t="n"/>
      <c r="D362" s="102" t="n"/>
      <c r="G362" s="80" t="inlineStr">
        <is>
          <t>Level / Mode</t>
        </is>
      </c>
      <c r="H362" s="103">
        <f>IF(G361="","",batches!B63&amp;" / "&amp;batches!C63)</f>
        <v/>
      </c>
      <c r="I362" s="101" t="n"/>
      <c r="J362" s="102" t="n"/>
    </row>
    <row r="363" ht="15.75" customHeight="1" s="84">
      <c r="A363" s="80" t="inlineStr">
        <is>
          <t>Dates</t>
        </is>
      </c>
      <c r="B363" s="103">
        <f>IF(A361="","",TEXT(batches!D62,"yyyy-mm-dd")&amp;" to "&amp;TEXT(batches!E62,"yyyy-mm-dd"))</f>
        <v/>
      </c>
      <c r="C363" s="101" t="n"/>
      <c r="D363" s="102" t="n"/>
      <c r="G363" s="80" t="inlineStr">
        <is>
          <t>Dates</t>
        </is>
      </c>
      <c r="H363" s="103">
        <f>IF(G361="","",TEXT(batches!D63,"yyyy-mm-dd")&amp;" to "&amp;TEXT(batches!E63,"yyyy-mm-dd"))</f>
        <v/>
      </c>
      <c r="I363" s="101" t="n"/>
      <c r="J363" s="102" t="n"/>
    </row>
    <row r="364" ht="15.75" customHeight="1" s="84">
      <c r="A364" s="80" t="inlineStr">
        <is>
          <t>Duration</t>
        </is>
      </c>
      <c r="B364" s="103">
        <f>IF(OR(batches!D62="",batches!E62=""),"",batches!E62-batches!D62+1&amp;" days")</f>
        <v/>
      </c>
      <c r="C364" s="101" t="n"/>
      <c r="D364" s="102" t="n"/>
      <c r="G364" s="80" t="inlineStr">
        <is>
          <t>Duration</t>
        </is>
      </c>
      <c r="H364" s="103">
        <f>IF(OR(batches!D63="",batches!E63=""),"",batches!E63-batches!D63+1&amp;" days")</f>
        <v/>
      </c>
      <c r="I364" s="101" t="n"/>
      <c r="J364" s="102" t="n"/>
    </row>
    <row r="365" ht="15.75" customHeight="1" s="84">
      <c r="A365" s="80" t="inlineStr">
        <is>
          <t>Timing</t>
        </is>
      </c>
      <c r="B365" s="103">
        <f>IF(A361="","",batches!F62)</f>
        <v/>
      </c>
      <c r="C365" s="101" t="n"/>
      <c r="D365" s="102" t="n"/>
      <c r="G365" s="80" t="inlineStr">
        <is>
          <t>Timing</t>
        </is>
      </c>
      <c r="H365" s="103">
        <f>IF(G361="","",batches!F63)</f>
        <v/>
      </c>
      <c r="I365" s="101" t="n"/>
      <c r="J365" s="102" t="n"/>
    </row>
    <row r="366" ht="15.75" customHeight="1" s="84">
      <c r="A366" s="80" t="inlineStr">
        <is>
          <t>Capacity</t>
        </is>
      </c>
      <c r="B366" s="103">
        <f>IF(A361="","",batches!G62)</f>
        <v/>
      </c>
      <c r="C366" s="101" t="n"/>
      <c r="D366" s="102" t="n"/>
      <c r="G366" s="80" t="inlineStr">
        <is>
          <t>Capacity</t>
        </is>
      </c>
      <c r="H366" s="103">
        <f>IF(G361="","",batches!G63)</f>
        <v/>
      </c>
      <c r="I366" s="101" t="n"/>
      <c r="J366" s="102" t="n"/>
    </row>
    <row r="367" ht="15.75" customHeight="1" s="84">
      <c r="A367" s="80" t="inlineStr">
        <is>
          <t>Enrolled</t>
        </is>
      </c>
      <c r="B367" s="103">
        <f>IF(A361="","",COUNTIF(admissions!$M:$M,batches!A62))</f>
        <v/>
      </c>
      <c r="C367" s="101" t="n"/>
      <c r="D367" s="102" t="n"/>
      <c r="G367" s="80" t="inlineStr">
        <is>
          <t>Enrolled</t>
        </is>
      </c>
      <c r="H367" s="103">
        <f>IF(G361="","",COUNTIF(admissions!$M:$M,batches!A63))</f>
        <v/>
      </c>
      <c r="I367" s="101" t="n"/>
      <c r="J367" s="102" t="n"/>
    </row>
    <row r="368" ht="15.75" customHeight="1" s="84">
      <c r="A368" s="80" t="inlineStr">
        <is>
          <t>Available</t>
        </is>
      </c>
      <c r="B368" s="103">
        <f>IF(OR(batches!A62="",batches!G62=""),"",batches!G62-COUNTIF(admissions!$M:$M,batches!A62))</f>
        <v/>
      </c>
      <c r="C368" s="101" t="n"/>
      <c r="D368" s="102" t="n"/>
      <c r="G368" s="80" t="inlineStr">
        <is>
          <t>Available</t>
        </is>
      </c>
      <c r="H368" s="103">
        <f>IF(OR(batches!A63="",batches!G63=""),"",batches!G63-COUNTIF(admissions!$M:$M,batches!A63))</f>
        <v/>
      </c>
      <c r="I368" s="101" t="n"/>
      <c r="J368" s="102" t="n"/>
    </row>
    <row r="369" ht="15.75" customHeight="1" s="84">
      <c r="A369" s="104" t="inlineStr">
        <is>
          <t>Student List</t>
        </is>
      </c>
      <c r="B369" s="101" t="n"/>
      <c r="C369" s="101" t="n"/>
      <c r="D369" s="102" t="n"/>
      <c r="G369" s="104" t="inlineStr">
        <is>
          <t>Student List</t>
        </is>
      </c>
      <c r="H369" s="101" t="n"/>
      <c r="I369" s="101" t="n"/>
      <c r="J369" s="102" t="n"/>
    </row>
    <row r="370" ht="15.75" customHeight="1" s="84">
      <c r="A370" s="105">
        <f>IFERROR(__xludf.DUMMYFUNCTION("IF(batches!A62="""","""",TEXTJOIN(CHAR(10),TRUE,FILTER(admissions!$G$2:$G$78,admissions!$M$2:$M$78=batches!A62,"""")))"),"")</f>
        <v/>
      </c>
      <c r="B370" s="101" t="n"/>
      <c r="C370" s="101" t="n"/>
      <c r="D370" s="102" t="n"/>
      <c r="G370" s="105">
        <f>IFERROR(__xludf.DUMMYFUNCTION("IF(batches!A63="""","""",TEXTJOIN(CHAR(10),TRUE,FILTER(admissions!$G$2:$G$78,admissions!$M$2:$M$78=batches!A63,"""")))"),"")</f>
        <v/>
      </c>
      <c r="H370" s="101" t="n"/>
      <c r="I370" s="101" t="n"/>
      <c r="J370" s="102" t="n"/>
    </row>
    <row r="371" ht="15.75" customHeight="1" s="84"/>
    <row r="372" ht="15.75" customHeight="1" s="84"/>
    <row r="373" ht="15.75" customHeight="1" s="84">
      <c r="A373" s="100">
        <f>IF(batches!A64="","",batches!A64)</f>
        <v/>
      </c>
      <c r="B373" s="101" t="n"/>
      <c r="C373" s="101" t="n"/>
      <c r="D373" s="102" t="n"/>
      <c r="G373" s="100">
        <f>IF(batches!A65="","",batches!A65)</f>
        <v/>
      </c>
      <c r="H373" s="101" t="n"/>
      <c r="I373" s="101" t="n"/>
      <c r="J373" s="102" t="n"/>
    </row>
    <row r="374" ht="15.75" customHeight="1" s="84">
      <c r="A374" s="80" t="inlineStr">
        <is>
          <t>Level / Mode</t>
        </is>
      </c>
      <c r="B374" s="103">
        <f>IF(A373="","",batches!B64&amp;" / "&amp;batches!C64)</f>
        <v/>
      </c>
      <c r="C374" s="101" t="n"/>
      <c r="D374" s="102" t="n"/>
      <c r="G374" s="80" t="inlineStr">
        <is>
          <t>Level / Mode</t>
        </is>
      </c>
      <c r="H374" s="103">
        <f>IF(G373="","",batches!B65&amp;" / "&amp;batches!C65)</f>
        <v/>
      </c>
      <c r="I374" s="101" t="n"/>
      <c r="J374" s="102" t="n"/>
    </row>
    <row r="375" ht="15.75" customHeight="1" s="84">
      <c r="A375" s="80" t="inlineStr">
        <is>
          <t>Dates</t>
        </is>
      </c>
      <c r="B375" s="103">
        <f>IF(A373="","",TEXT(batches!D64,"yyyy-mm-dd")&amp;" to "&amp;TEXT(batches!E64,"yyyy-mm-dd"))</f>
        <v/>
      </c>
      <c r="C375" s="101" t="n"/>
      <c r="D375" s="102" t="n"/>
      <c r="G375" s="80" t="inlineStr">
        <is>
          <t>Dates</t>
        </is>
      </c>
      <c r="H375" s="103">
        <f>IF(G373="","",TEXT(batches!D65,"yyyy-mm-dd")&amp;" to "&amp;TEXT(batches!E65,"yyyy-mm-dd"))</f>
        <v/>
      </c>
      <c r="I375" s="101" t="n"/>
      <c r="J375" s="102" t="n"/>
    </row>
    <row r="376" ht="15.75" customHeight="1" s="84">
      <c r="A376" s="80" t="inlineStr">
        <is>
          <t>Duration</t>
        </is>
      </c>
      <c r="B376" s="103">
        <f>IF(OR(batches!D64="",batches!E64=""),"",batches!E64-batches!D64+1&amp;" days")</f>
        <v/>
      </c>
      <c r="C376" s="101" t="n"/>
      <c r="D376" s="102" t="n"/>
      <c r="G376" s="80" t="inlineStr">
        <is>
          <t>Duration</t>
        </is>
      </c>
      <c r="H376" s="103">
        <f>IF(OR(batches!D65="",batches!E65=""),"",batches!E65-batches!D65+1&amp;" days")</f>
        <v/>
      </c>
      <c r="I376" s="101" t="n"/>
      <c r="J376" s="102" t="n"/>
    </row>
    <row r="377" ht="15.75" customHeight="1" s="84">
      <c r="A377" s="80" t="inlineStr">
        <is>
          <t>Timing</t>
        </is>
      </c>
      <c r="B377" s="103">
        <f>IF(A373="","",batches!F64)</f>
        <v/>
      </c>
      <c r="C377" s="101" t="n"/>
      <c r="D377" s="102" t="n"/>
      <c r="G377" s="80" t="inlineStr">
        <is>
          <t>Timing</t>
        </is>
      </c>
      <c r="H377" s="103">
        <f>IF(G373="","",batches!F65)</f>
        <v/>
      </c>
      <c r="I377" s="101" t="n"/>
      <c r="J377" s="102" t="n"/>
    </row>
    <row r="378" ht="15.75" customHeight="1" s="84">
      <c r="A378" s="80" t="inlineStr">
        <is>
          <t>Capacity</t>
        </is>
      </c>
      <c r="B378" s="103">
        <f>IF(A373="","",batches!G64)</f>
        <v/>
      </c>
      <c r="C378" s="101" t="n"/>
      <c r="D378" s="102" t="n"/>
      <c r="G378" s="80" t="inlineStr">
        <is>
          <t>Capacity</t>
        </is>
      </c>
      <c r="H378" s="103">
        <f>IF(G373="","",batches!G65)</f>
        <v/>
      </c>
      <c r="I378" s="101" t="n"/>
      <c r="J378" s="102" t="n"/>
    </row>
    <row r="379" ht="15.75" customHeight="1" s="84">
      <c r="A379" s="80" t="inlineStr">
        <is>
          <t>Enrolled</t>
        </is>
      </c>
      <c r="B379" s="103">
        <f>IF(A373="","",COUNTIF(admissions!$M:$M,batches!A64))</f>
        <v/>
      </c>
      <c r="C379" s="101" t="n"/>
      <c r="D379" s="102" t="n"/>
      <c r="G379" s="80" t="inlineStr">
        <is>
          <t>Enrolled</t>
        </is>
      </c>
      <c r="H379" s="103">
        <f>IF(G373="","",COUNTIF(admissions!$M:$M,batches!A65))</f>
        <v/>
      </c>
      <c r="I379" s="101" t="n"/>
      <c r="J379" s="102" t="n"/>
    </row>
    <row r="380" ht="15.75" customHeight="1" s="84">
      <c r="A380" s="80" t="inlineStr">
        <is>
          <t>Available</t>
        </is>
      </c>
      <c r="B380" s="103">
        <f>IF(OR(batches!A64="",batches!G64=""),"",batches!G64-COUNTIF(admissions!$M:$M,batches!A64))</f>
        <v/>
      </c>
      <c r="C380" s="101" t="n"/>
      <c r="D380" s="102" t="n"/>
      <c r="G380" s="80" t="inlineStr">
        <is>
          <t>Available</t>
        </is>
      </c>
      <c r="H380" s="103">
        <f>IF(OR(batches!A65="",batches!G65=""),"",batches!G65-COUNTIF(admissions!$M:$M,batches!A65))</f>
        <v/>
      </c>
      <c r="I380" s="101" t="n"/>
      <c r="J380" s="102" t="n"/>
    </row>
    <row r="381" ht="15.75" customHeight="1" s="84">
      <c r="A381" s="104" t="inlineStr">
        <is>
          <t>Student List</t>
        </is>
      </c>
      <c r="B381" s="101" t="n"/>
      <c r="C381" s="101" t="n"/>
      <c r="D381" s="102" t="n"/>
      <c r="G381" s="104" t="inlineStr">
        <is>
          <t>Student List</t>
        </is>
      </c>
      <c r="H381" s="101" t="n"/>
      <c r="I381" s="101" t="n"/>
      <c r="J381" s="102" t="n"/>
    </row>
    <row r="382" ht="15.75" customHeight="1" s="84">
      <c r="A382" s="105">
        <f>IFERROR(__xludf.DUMMYFUNCTION("IF(batches!A64="""","""",TEXTJOIN(CHAR(10),TRUE,FILTER(admissions!$G$2:$G$78,admissions!$M$2:$M$78=batches!A64,"""")))"),"")</f>
        <v/>
      </c>
      <c r="B382" s="101" t="n"/>
      <c r="C382" s="101" t="n"/>
      <c r="D382" s="102" t="n"/>
      <c r="G382" s="105">
        <f>IFERROR(__xludf.DUMMYFUNCTION("IF(batches!A65="""","""",TEXTJOIN(CHAR(10),TRUE,FILTER(admissions!$G$2:$G$78,admissions!$M$2:$M$78=batches!A65,"""")))"),"")</f>
        <v/>
      </c>
      <c r="H382" s="101" t="n"/>
      <c r="I382" s="101" t="n"/>
      <c r="J382" s="102" t="n"/>
    </row>
    <row r="383" ht="15.75" customHeight="1" s="84"/>
    <row r="384" ht="15.75" customHeight="1" s="84"/>
    <row r="385" ht="15.75" customHeight="1" s="84">
      <c r="A385" s="100">
        <f>IF(batches!A66="","",batches!A66)</f>
        <v/>
      </c>
      <c r="B385" s="101" t="n"/>
      <c r="C385" s="101" t="n"/>
      <c r="D385" s="102" t="n"/>
      <c r="G385" s="100">
        <f>IF(batches!A67="","",batches!A67)</f>
        <v/>
      </c>
      <c r="H385" s="101" t="n"/>
      <c r="I385" s="101" t="n"/>
      <c r="J385" s="102" t="n"/>
    </row>
    <row r="386" ht="15.75" customHeight="1" s="84">
      <c r="A386" s="80" t="inlineStr">
        <is>
          <t>Level / Mode</t>
        </is>
      </c>
      <c r="B386" s="103">
        <f>IF(A385="","",batches!B66&amp;" / "&amp;batches!C66)</f>
        <v/>
      </c>
      <c r="C386" s="101" t="n"/>
      <c r="D386" s="102" t="n"/>
      <c r="G386" s="80" t="inlineStr">
        <is>
          <t>Level / Mode</t>
        </is>
      </c>
      <c r="H386" s="103">
        <f>IF(G385="","",batches!B67&amp;" / "&amp;batches!C67)</f>
        <v/>
      </c>
      <c r="I386" s="101" t="n"/>
      <c r="J386" s="102" t="n"/>
    </row>
    <row r="387" ht="15.75" customHeight="1" s="84">
      <c r="A387" s="80" t="inlineStr">
        <is>
          <t>Dates</t>
        </is>
      </c>
      <c r="B387" s="103">
        <f>IF(A385="","",TEXT(batches!D66,"yyyy-mm-dd")&amp;" to "&amp;TEXT(batches!E66,"yyyy-mm-dd"))</f>
        <v/>
      </c>
      <c r="C387" s="101" t="n"/>
      <c r="D387" s="102" t="n"/>
      <c r="G387" s="80" t="inlineStr">
        <is>
          <t>Dates</t>
        </is>
      </c>
      <c r="H387" s="103">
        <f>IF(G385="","",TEXT(batches!D67,"yyyy-mm-dd")&amp;" to "&amp;TEXT(batches!E67,"yyyy-mm-dd"))</f>
        <v/>
      </c>
      <c r="I387" s="101" t="n"/>
      <c r="J387" s="102" t="n"/>
    </row>
    <row r="388" ht="15.75" customHeight="1" s="84">
      <c r="A388" s="80" t="inlineStr">
        <is>
          <t>Duration</t>
        </is>
      </c>
      <c r="B388" s="103">
        <f>IF(OR(batches!D66="",batches!E66=""),"",batches!E66-batches!D66+1&amp;" days")</f>
        <v/>
      </c>
      <c r="C388" s="101" t="n"/>
      <c r="D388" s="102" t="n"/>
      <c r="G388" s="80" t="inlineStr">
        <is>
          <t>Duration</t>
        </is>
      </c>
      <c r="H388" s="103">
        <f>IF(OR(batches!D67="",batches!E67=""),"",batches!E67-batches!D67+1&amp;" days")</f>
        <v/>
      </c>
      <c r="I388" s="101" t="n"/>
      <c r="J388" s="102" t="n"/>
    </row>
    <row r="389" ht="15.75" customHeight="1" s="84">
      <c r="A389" s="80" t="inlineStr">
        <is>
          <t>Timing</t>
        </is>
      </c>
      <c r="B389" s="103">
        <f>IF(A385="","",batches!F66)</f>
        <v/>
      </c>
      <c r="C389" s="101" t="n"/>
      <c r="D389" s="102" t="n"/>
      <c r="G389" s="80" t="inlineStr">
        <is>
          <t>Timing</t>
        </is>
      </c>
      <c r="H389" s="103">
        <f>IF(G385="","",batches!F67)</f>
        <v/>
      </c>
      <c r="I389" s="101" t="n"/>
      <c r="J389" s="102" t="n"/>
    </row>
    <row r="390" ht="15.75" customHeight="1" s="84">
      <c r="A390" s="80" t="inlineStr">
        <is>
          <t>Capacity</t>
        </is>
      </c>
      <c r="B390" s="103">
        <f>IF(A385="","",batches!G66)</f>
        <v/>
      </c>
      <c r="C390" s="101" t="n"/>
      <c r="D390" s="102" t="n"/>
      <c r="G390" s="80" t="inlineStr">
        <is>
          <t>Capacity</t>
        </is>
      </c>
      <c r="H390" s="103">
        <f>IF(G385="","",batches!G67)</f>
        <v/>
      </c>
      <c r="I390" s="101" t="n"/>
      <c r="J390" s="102" t="n"/>
    </row>
    <row r="391" ht="15.75" customHeight="1" s="84">
      <c r="A391" s="80" t="inlineStr">
        <is>
          <t>Enrolled</t>
        </is>
      </c>
      <c r="B391" s="103">
        <f>IF(A385="","",COUNTIF(admissions!$M:$M,batches!A66))</f>
        <v/>
      </c>
      <c r="C391" s="101" t="n"/>
      <c r="D391" s="102" t="n"/>
      <c r="G391" s="80" t="inlineStr">
        <is>
          <t>Enrolled</t>
        </is>
      </c>
      <c r="H391" s="103">
        <f>IF(G385="","",COUNTIF(admissions!$M:$M,batches!A67))</f>
        <v/>
      </c>
      <c r="I391" s="101" t="n"/>
      <c r="J391" s="102" t="n"/>
    </row>
    <row r="392" ht="15.75" customHeight="1" s="84">
      <c r="A392" s="80" t="inlineStr">
        <is>
          <t>Available</t>
        </is>
      </c>
      <c r="B392" s="103">
        <f>IF(OR(batches!A66="",batches!G66=""),"",batches!G66-COUNTIF(admissions!$M:$M,batches!A66))</f>
        <v/>
      </c>
      <c r="C392" s="101" t="n"/>
      <c r="D392" s="102" t="n"/>
      <c r="G392" s="80" t="inlineStr">
        <is>
          <t>Available</t>
        </is>
      </c>
      <c r="H392" s="103">
        <f>IF(OR(batches!A67="",batches!G67=""),"",batches!G67-COUNTIF(admissions!$M:$M,batches!A67))</f>
        <v/>
      </c>
      <c r="I392" s="101" t="n"/>
      <c r="J392" s="102" t="n"/>
    </row>
    <row r="393" ht="15.75" customHeight="1" s="84">
      <c r="A393" s="104" t="inlineStr">
        <is>
          <t>Student List</t>
        </is>
      </c>
      <c r="B393" s="101" t="n"/>
      <c r="C393" s="101" t="n"/>
      <c r="D393" s="102" t="n"/>
      <c r="G393" s="104" t="inlineStr">
        <is>
          <t>Student List</t>
        </is>
      </c>
      <c r="H393" s="101" t="n"/>
      <c r="I393" s="101" t="n"/>
      <c r="J393" s="102" t="n"/>
    </row>
    <row r="394" ht="15.75" customHeight="1" s="84">
      <c r="A394" s="105">
        <f>IFERROR(__xludf.DUMMYFUNCTION("IF(batches!A66="""","""",TEXTJOIN(CHAR(10),TRUE,FILTER(admissions!$G$2:$G$78,admissions!$M$2:$M$78=batches!A66,"""")))"),"")</f>
        <v/>
      </c>
      <c r="B394" s="101" t="n"/>
      <c r="C394" s="101" t="n"/>
      <c r="D394" s="102" t="n"/>
      <c r="G394" s="105">
        <f>IFERROR(__xludf.DUMMYFUNCTION("IF(batches!A67="""","""",TEXTJOIN(CHAR(10),TRUE,FILTER(admissions!$G$2:$G$78,admissions!$M$2:$M$78=batches!A67,"""")))"),"")</f>
        <v/>
      </c>
      <c r="H394" s="101" t="n"/>
      <c r="I394" s="101" t="n"/>
      <c r="J394" s="102" t="n"/>
    </row>
    <row r="395" ht="15.75" customHeight="1" s="84"/>
    <row r="396" ht="15.75" customHeight="1" s="84"/>
    <row r="397" ht="15.75" customHeight="1" s="84">
      <c r="A397" s="100">
        <f>IF(batches!A68="","",batches!A68)</f>
        <v/>
      </c>
      <c r="B397" s="101" t="n"/>
      <c r="C397" s="101" t="n"/>
      <c r="D397" s="102" t="n"/>
      <c r="G397" s="100">
        <f>IF(batches!A69="","",batches!A69)</f>
        <v/>
      </c>
      <c r="H397" s="101" t="n"/>
      <c r="I397" s="101" t="n"/>
      <c r="J397" s="102" t="n"/>
    </row>
    <row r="398" ht="15.75" customHeight="1" s="84">
      <c r="A398" s="80" t="inlineStr">
        <is>
          <t>Level / Mode</t>
        </is>
      </c>
      <c r="B398" s="103">
        <f>IF(A397="","",batches!B68&amp;" / "&amp;batches!C68)</f>
        <v/>
      </c>
      <c r="C398" s="101" t="n"/>
      <c r="D398" s="102" t="n"/>
      <c r="G398" s="80" t="inlineStr">
        <is>
          <t>Level / Mode</t>
        </is>
      </c>
      <c r="H398" s="103">
        <f>IF(G397="","",batches!B69&amp;" / "&amp;batches!C69)</f>
        <v/>
      </c>
      <c r="I398" s="101" t="n"/>
      <c r="J398" s="102" t="n"/>
    </row>
    <row r="399" ht="15.75" customHeight="1" s="84">
      <c r="A399" s="80" t="inlineStr">
        <is>
          <t>Dates</t>
        </is>
      </c>
      <c r="B399" s="103">
        <f>IF(A397="","",TEXT(batches!D68,"yyyy-mm-dd")&amp;" to "&amp;TEXT(batches!E68,"yyyy-mm-dd"))</f>
        <v/>
      </c>
      <c r="C399" s="101" t="n"/>
      <c r="D399" s="102" t="n"/>
      <c r="G399" s="80" t="inlineStr">
        <is>
          <t>Dates</t>
        </is>
      </c>
      <c r="H399" s="103">
        <f>IF(G397="","",TEXT(batches!D69,"yyyy-mm-dd")&amp;" to "&amp;TEXT(batches!E69,"yyyy-mm-dd"))</f>
        <v/>
      </c>
      <c r="I399" s="101" t="n"/>
      <c r="J399" s="102" t="n"/>
    </row>
    <row r="400" ht="15.75" customHeight="1" s="84">
      <c r="A400" s="80" t="inlineStr">
        <is>
          <t>Duration</t>
        </is>
      </c>
      <c r="B400" s="103">
        <f>IF(OR(batches!D68="",batches!E68=""),"",batches!E68-batches!D68+1&amp;" days")</f>
        <v/>
      </c>
      <c r="C400" s="101" t="n"/>
      <c r="D400" s="102" t="n"/>
      <c r="G400" s="80" t="inlineStr">
        <is>
          <t>Duration</t>
        </is>
      </c>
      <c r="H400" s="103">
        <f>IF(OR(batches!D69="",batches!E69=""),"",batches!E69-batches!D69+1&amp;" days")</f>
        <v/>
      </c>
      <c r="I400" s="101" t="n"/>
      <c r="J400" s="102" t="n"/>
    </row>
    <row r="401" ht="15.75" customHeight="1" s="84">
      <c r="A401" s="80" t="inlineStr">
        <is>
          <t>Timing</t>
        </is>
      </c>
      <c r="B401" s="103">
        <f>IF(A397="","",batches!F68)</f>
        <v/>
      </c>
      <c r="C401" s="101" t="n"/>
      <c r="D401" s="102" t="n"/>
      <c r="G401" s="80" t="inlineStr">
        <is>
          <t>Timing</t>
        </is>
      </c>
      <c r="H401" s="103">
        <f>IF(G397="","",batches!F69)</f>
        <v/>
      </c>
      <c r="I401" s="101" t="n"/>
      <c r="J401" s="102" t="n"/>
    </row>
    <row r="402" ht="15.75" customHeight="1" s="84">
      <c r="A402" s="80" t="inlineStr">
        <is>
          <t>Capacity</t>
        </is>
      </c>
      <c r="B402" s="103">
        <f>IF(A397="","",batches!G68)</f>
        <v/>
      </c>
      <c r="C402" s="101" t="n"/>
      <c r="D402" s="102" t="n"/>
      <c r="G402" s="80" t="inlineStr">
        <is>
          <t>Capacity</t>
        </is>
      </c>
      <c r="H402" s="103">
        <f>IF(G397="","",batches!G69)</f>
        <v/>
      </c>
      <c r="I402" s="101" t="n"/>
      <c r="J402" s="102" t="n"/>
    </row>
    <row r="403" ht="15.75" customHeight="1" s="84">
      <c r="A403" s="80" t="inlineStr">
        <is>
          <t>Enrolled</t>
        </is>
      </c>
      <c r="B403" s="103">
        <f>IF(A397="","",COUNTIF(admissions!$M:$M,batches!A68))</f>
        <v/>
      </c>
      <c r="C403" s="101" t="n"/>
      <c r="D403" s="102" t="n"/>
      <c r="G403" s="80" t="inlineStr">
        <is>
          <t>Enrolled</t>
        </is>
      </c>
      <c r="H403" s="103">
        <f>IF(G397="","",COUNTIF(admissions!$M:$M,batches!A69))</f>
        <v/>
      </c>
      <c r="I403" s="101" t="n"/>
      <c r="J403" s="102" t="n"/>
    </row>
    <row r="404" ht="15.75" customHeight="1" s="84">
      <c r="A404" s="80" t="inlineStr">
        <is>
          <t>Available</t>
        </is>
      </c>
      <c r="B404" s="103">
        <f>IF(OR(batches!A68="",batches!G68=""),"",batches!G68-COUNTIF(admissions!$M:$M,batches!A68))</f>
        <v/>
      </c>
      <c r="C404" s="101" t="n"/>
      <c r="D404" s="102" t="n"/>
      <c r="G404" s="80" t="inlineStr">
        <is>
          <t>Available</t>
        </is>
      </c>
      <c r="H404" s="103">
        <f>IF(OR(batches!A69="",batches!G69=""),"",batches!G69-COUNTIF(admissions!$M:$M,batches!A69))</f>
        <v/>
      </c>
      <c r="I404" s="101" t="n"/>
      <c r="J404" s="102" t="n"/>
    </row>
    <row r="405" ht="15.75" customHeight="1" s="84">
      <c r="A405" s="104" t="inlineStr">
        <is>
          <t>Student List</t>
        </is>
      </c>
      <c r="B405" s="101" t="n"/>
      <c r="C405" s="101" t="n"/>
      <c r="D405" s="102" t="n"/>
      <c r="G405" s="104" t="inlineStr">
        <is>
          <t>Student List</t>
        </is>
      </c>
      <c r="H405" s="101" t="n"/>
      <c r="I405" s="101" t="n"/>
      <c r="J405" s="102" t="n"/>
    </row>
    <row r="406" ht="15.75" customHeight="1" s="84">
      <c r="A406" s="105">
        <f>IFERROR(__xludf.DUMMYFUNCTION("IF(batches!A68="""","""",TEXTJOIN(CHAR(10),TRUE,FILTER(admissions!$G$2:$G$78,admissions!$M$2:$M$78=batches!A68,"""")))"),"")</f>
        <v/>
      </c>
      <c r="B406" s="101" t="n"/>
      <c r="C406" s="101" t="n"/>
      <c r="D406" s="102" t="n"/>
      <c r="G406" s="105">
        <f>IFERROR(__xludf.DUMMYFUNCTION("IF(batches!A69="""","""",TEXTJOIN(CHAR(10),TRUE,FILTER(admissions!$G$2:$G$78,admissions!$M$2:$M$78=batches!A69,"""")))"),"")</f>
        <v/>
      </c>
      <c r="H406" s="101" t="n"/>
      <c r="I406" s="101" t="n"/>
      <c r="J406" s="102" t="n"/>
    </row>
    <row r="407" ht="15.75" customHeight="1" s="84"/>
    <row r="408" ht="15.75" customHeight="1" s="84"/>
    <row r="409" ht="15.75" customHeight="1" s="84">
      <c r="A409" s="100">
        <f>IF(batches!A70="","",batches!A70)</f>
        <v/>
      </c>
      <c r="B409" s="101" t="n"/>
      <c r="C409" s="101" t="n"/>
      <c r="D409" s="102" t="n"/>
      <c r="G409" s="100">
        <f>IF(batches!A71="","",batches!A71)</f>
        <v/>
      </c>
      <c r="H409" s="101" t="n"/>
      <c r="I409" s="101" t="n"/>
      <c r="J409" s="102" t="n"/>
    </row>
    <row r="410" ht="15.75" customHeight="1" s="84">
      <c r="A410" s="80" t="inlineStr">
        <is>
          <t>Level / Mode</t>
        </is>
      </c>
      <c r="B410" s="103">
        <f>IF(A409="","",batches!B70&amp;" / "&amp;batches!C70)</f>
        <v/>
      </c>
      <c r="C410" s="101" t="n"/>
      <c r="D410" s="102" t="n"/>
      <c r="G410" s="80" t="inlineStr">
        <is>
          <t>Level / Mode</t>
        </is>
      </c>
      <c r="H410" s="103">
        <f>IF(G409="","",batches!B71&amp;" / "&amp;batches!C71)</f>
        <v/>
      </c>
      <c r="I410" s="101" t="n"/>
      <c r="J410" s="102" t="n"/>
    </row>
    <row r="411" ht="15.75" customHeight="1" s="84">
      <c r="A411" s="80" t="inlineStr">
        <is>
          <t>Dates</t>
        </is>
      </c>
      <c r="B411" s="103">
        <f>IF(A409="","",TEXT(batches!D70,"yyyy-mm-dd")&amp;" to "&amp;TEXT(batches!E70,"yyyy-mm-dd"))</f>
        <v/>
      </c>
      <c r="C411" s="101" t="n"/>
      <c r="D411" s="102" t="n"/>
      <c r="G411" s="80" t="inlineStr">
        <is>
          <t>Dates</t>
        </is>
      </c>
      <c r="H411" s="103">
        <f>IF(G409="","",TEXT(batches!D71,"yyyy-mm-dd")&amp;" to "&amp;TEXT(batches!E71,"yyyy-mm-dd"))</f>
        <v/>
      </c>
      <c r="I411" s="101" t="n"/>
      <c r="J411" s="102" t="n"/>
    </row>
    <row r="412" ht="15.75" customHeight="1" s="84">
      <c r="A412" s="80" t="inlineStr">
        <is>
          <t>Duration</t>
        </is>
      </c>
      <c r="B412" s="103">
        <f>IF(OR(batches!D70="",batches!E70=""),"",batches!E70-batches!D70+1&amp;" days")</f>
        <v/>
      </c>
      <c r="C412" s="101" t="n"/>
      <c r="D412" s="102" t="n"/>
      <c r="G412" s="80" t="inlineStr">
        <is>
          <t>Duration</t>
        </is>
      </c>
      <c r="H412" s="103">
        <f>IF(OR(batches!D71="",batches!E71=""),"",batches!E71-batches!D71+1&amp;" days")</f>
        <v/>
      </c>
      <c r="I412" s="101" t="n"/>
      <c r="J412" s="102" t="n"/>
    </row>
    <row r="413" ht="15.75" customHeight="1" s="84">
      <c r="A413" s="80" t="inlineStr">
        <is>
          <t>Timing</t>
        </is>
      </c>
      <c r="B413" s="103">
        <f>IF(A409="","",batches!F70)</f>
        <v/>
      </c>
      <c r="C413" s="101" t="n"/>
      <c r="D413" s="102" t="n"/>
      <c r="G413" s="80" t="inlineStr">
        <is>
          <t>Timing</t>
        </is>
      </c>
      <c r="H413" s="103">
        <f>IF(G409="","",batches!F71)</f>
        <v/>
      </c>
      <c r="I413" s="101" t="n"/>
      <c r="J413" s="102" t="n"/>
    </row>
    <row r="414" ht="15.75" customHeight="1" s="84">
      <c r="A414" s="80" t="inlineStr">
        <is>
          <t>Capacity</t>
        </is>
      </c>
      <c r="B414" s="103">
        <f>IF(A409="","",batches!G70)</f>
        <v/>
      </c>
      <c r="C414" s="101" t="n"/>
      <c r="D414" s="102" t="n"/>
      <c r="G414" s="80" t="inlineStr">
        <is>
          <t>Capacity</t>
        </is>
      </c>
      <c r="H414" s="103">
        <f>IF(G409="","",batches!G71)</f>
        <v/>
      </c>
      <c r="I414" s="101" t="n"/>
      <c r="J414" s="102" t="n"/>
    </row>
    <row r="415" ht="15.75" customHeight="1" s="84">
      <c r="A415" s="80" t="inlineStr">
        <is>
          <t>Enrolled</t>
        </is>
      </c>
      <c r="B415" s="103">
        <f>IF(A409="","",COUNTIF(admissions!$M:$M,batches!A70))</f>
        <v/>
      </c>
      <c r="C415" s="101" t="n"/>
      <c r="D415" s="102" t="n"/>
      <c r="G415" s="80" t="inlineStr">
        <is>
          <t>Enrolled</t>
        </is>
      </c>
      <c r="H415" s="103">
        <f>IF(G409="","",COUNTIF(admissions!$M:$M,batches!A71))</f>
        <v/>
      </c>
      <c r="I415" s="101" t="n"/>
      <c r="J415" s="102" t="n"/>
    </row>
    <row r="416" ht="15.75" customHeight="1" s="84">
      <c r="A416" s="80" t="inlineStr">
        <is>
          <t>Available</t>
        </is>
      </c>
      <c r="B416" s="103">
        <f>IF(OR(batches!A70="",batches!G70=""),"",batches!G70-COUNTIF(admissions!$M:$M,batches!A70))</f>
        <v/>
      </c>
      <c r="C416" s="101" t="n"/>
      <c r="D416" s="102" t="n"/>
      <c r="G416" s="80" t="inlineStr">
        <is>
          <t>Available</t>
        </is>
      </c>
      <c r="H416" s="103">
        <f>IF(OR(batches!A71="",batches!G71=""),"",batches!G71-COUNTIF(admissions!$M:$M,batches!A71))</f>
        <v/>
      </c>
      <c r="I416" s="101" t="n"/>
      <c r="J416" s="102" t="n"/>
    </row>
    <row r="417" ht="15.75" customHeight="1" s="84">
      <c r="A417" s="104" t="inlineStr">
        <is>
          <t>Student List</t>
        </is>
      </c>
      <c r="B417" s="101" t="n"/>
      <c r="C417" s="101" t="n"/>
      <c r="D417" s="102" t="n"/>
      <c r="G417" s="104" t="inlineStr">
        <is>
          <t>Student List</t>
        </is>
      </c>
      <c r="H417" s="101" t="n"/>
      <c r="I417" s="101" t="n"/>
      <c r="J417" s="102" t="n"/>
    </row>
    <row r="418" ht="15.75" customHeight="1" s="84">
      <c r="A418" s="105">
        <f>IFERROR(__xludf.DUMMYFUNCTION("IF(batches!A70="""","""",TEXTJOIN(CHAR(10),TRUE,FILTER(admissions!$G$2:$G$78,admissions!$M$2:$M$78=batches!A70,"""")))"),"")</f>
        <v/>
      </c>
      <c r="B418" s="101" t="n"/>
      <c r="C418" s="101" t="n"/>
      <c r="D418" s="102" t="n"/>
      <c r="G418" s="105">
        <f>IFERROR(__xludf.DUMMYFUNCTION("IF(batches!A71="""","""",TEXTJOIN(CHAR(10),TRUE,FILTER(admissions!$G$2:$G$78,admissions!$M$2:$M$78=batches!A71,"""")))"),"")</f>
        <v/>
      </c>
      <c r="H418" s="101" t="n"/>
      <c r="I418" s="101" t="n"/>
      <c r="J418" s="102" t="n"/>
    </row>
    <row r="419" ht="15.75" customHeight="1" s="84"/>
    <row r="420" ht="15.75" customHeight="1" s="84"/>
    <row r="421" ht="15.75" customHeight="1" s="84">
      <c r="A421" s="100">
        <f>IF(batches!A72="","",batches!A72)</f>
        <v/>
      </c>
      <c r="B421" s="101" t="n"/>
      <c r="C421" s="101" t="n"/>
      <c r="D421" s="102" t="n"/>
      <c r="G421" s="100">
        <f>IF(batches!A73="","",batches!A73)</f>
        <v/>
      </c>
      <c r="H421" s="101" t="n"/>
      <c r="I421" s="101" t="n"/>
      <c r="J421" s="102" t="n"/>
    </row>
    <row r="422" ht="15.75" customHeight="1" s="84">
      <c r="A422" s="80" t="inlineStr">
        <is>
          <t>Level / Mode</t>
        </is>
      </c>
      <c r="B422" s="103">
        <f>IF(A421="","",batches!B72&amp;" / "&amp;batches!C72)</f>
        <v/>
      </c>
      <c r="C422" s="101" t="n"/>
      <c r="D422" s="102" t="n"/>
      <c r="G422" s="80" t="inlineStr">
        <is>
          <t>Level / Mode</t>
        </is>
      </c>
      <c r="H422" s="103">
        <f>IF(G421="","",batches!B73&amp;" / "&amp;batches!C73)</f>
        <v/>
      </c>
      <c r="I422" s="101" t="n"/>
      <c r="J422" s="102" t="n"/>
    </row>
    <row r="423" ht="15.75" customHeight="1" s="84">
      <c r="A423" s="80" t="inlineStr">
        <is>
          <t>Dates</t>
        </is>
      </c>
      <c r="B423" s="103">
        <f>IF(A421="","",TEXT(batches!D72,"yyyy-mm-dd")&amp;" to "&amp;TEXT(batches!E72,"yyyy-mm-dd"))</f>
        <v/>
      </c>
      <c r="C423" s="101" t="n"/>
      <c r="D423" s="102" t="n"/>
      <c r="G423" s="80" t="inlineStr">
        <is>
          <t>Dates</t>
        </is>
      </c>
      <c r="H423" s="103">
        <f>IF(G421="","",TEXT(batches!D73,"yyyy-mm-dd")&amp;" to "&amp;TEXT(batches!E73,"yyyy-mm-dd"))</f>
        <v/>
      </c>
      <c r="I423" s="101" t="n"/>
      <c r="J423" s="102" t="n"/>
    </row>
    <row r="424" ht="15.75" customHeight="1" s="84">
      <c r="A424" s="80" t="inlineStr">
        <is>
          <t>Duration</t>
        </is>
      </c>
      <c r="B424" s="103">
        <f>IF(OR(batches!D72="",batches!E72=""),"",batches!E72-batches!D72+1&amp;" days")</f>
        <v/>
      </c>
      <c r="C424" s="101" t="n"/>
      <c r="D424" s="102" t="n"/>
      <c r="G424" s="80" t="inlineStr">
        <is>
          <t>Duration</t>
        </is>
      </c>
      <c r="H424" s="103">
        <f>IF(OR(batches!D73="",batches!E73=""),"",batches!E73-batches!D73+1&amp;" days")</f>
        <v/>
      </c>
      <c r="I424" s="101" t="n"/>
      <c r="J424" s="102" t="n"/>
    </row>
    <row r="425" ht="15.75" customHeight="1" s="84">
      <c r="A425" s="80" t="inlineStr">
        <is>
          <t>Timing</t>
        </is>
      </c>
      <c r="B425" s="103">
        <f>IF(A421="","",batches!F72)</f>
        <v/>
      </c>
      <c r="C425" s="101" t="n"/>
      <c r="D425" s="102" t="n"/>
      <c r="G425" s="80" t="inlineStr">
        <is>
          <t>Timing</t>
        </is>
      </c>
      <c r="H425" s="103">
        <f>IF(G421="","",batches!F73)</f>
        <v/>
      </c>
      <c r="I425" s="101" t="n"/>
      <c r="J425" s="102" t="n"/>
    </row>
    <row r="426" ht="15.75" customHeight="1" s="84">
      <c r="A426" s="80" t="inlineStr">
        <is>
          <t>Capacity</t>
        </is>
      </c>
      <c r="B426" s="103">
        <f>IF(A421="","",batches!G72)</f>
        <v/>
      </c>
      <c r="C426" s="101" t="n"/>
      <c r="D426" s="102" t="n"/>
      <c r="G426" s="80" t="inlineStr">
        <is>
          <t>Capacity</t>
        </is>
      </c>
      <c r="H426" s="103">
        <f>IF(G421="","",batches!G73)</f>
        <v/>
      </c>
      <c r="I426" s="101" t="n"/>
      <c r="J426" s="102" t="n"/>
    </row>
    <row r="427" ht="15.75" customHeight="1" s="84">
      <c r="A427" s="80" t="inlineStr">
        <is>
          <t>Enrolled</t>
        </is>
      </c>
      <c r="B427" s="103">
        <f>IF(A421="","",COUNTIF(admissions!$M:$M,batches!A72))</f>
        <v/>
      </c>
      <c r="C427" s="101" t="n"/>
      <c r="D427" s="102" t="n"/>
      <c r="G427" s="80" t="inlineStr">
        <is>
          <t>Enrolled</t>
        </is>
      </c>
      <c r="H427" s="103">
        <f>IF(G421="","",COUNTIF(admissions!$M:$M,batches!A73))</f>
        <v/>
      </c>
      <c r="I427" s="101" t="n"/>
      <c r="J427" s="102" t="n"/>
    </row>
    <row r="428" ht="15.75" customHeight="1" s="84">
      <c r="A428" s="80" t="inlineStr">
        <is>
          <t>Available</t>
        </is>
      </c>
      <c r="B428" s="103">
        <f>IF(OR(batches!A72="",batches!G72=""),"",batches!G72-COUNTIF(admissions!$M:$M,batches!A72))</f>
        <v/>
      </c>
      <c r="C428" s="101" t="n"/>
      <c r="D428" s="102" t="n"/>
      <c r="G428" s="80" t="inlineStr">
        <is>
          <t>Available</t>
        </is>
      </c>
      <c r="H428" s="103">
        <f>IF(OR(batches!A73="",batches!G73=""),"",batches!G73-COUNTIF(admissions!$M:$M,batches!A73))</f>
        <v/>
      </c>
      <c r="I428" s="101" t="n"/>
      <c r="J428" s="102" t="n"/>
    </row>
    <row r="429" ht="15.75" customHeight="1" s="84">
      <c r="A429" s="104" t="inlineStr">
        <is>
          <t>Student List</t>
        </is>
      </c>
      <c r="B429" s="101" t="n"/>
      <c r="C429" s="101" t="n"/>
      <c r="D429" s="102" t="n"/>
      <c r="G429" s="104" t="inlineStr">
        <is>
          <t>Student List</t>
        </is>
      </c>
      <c r="H429" s="101" t="n"/>
      <c r="I429" s="101" t="n"/>
      <c r="J429" s="102" t="n"/>
    </row>
    <row r="430" ht="15.75" customHeight="1" s="84">
      <c r="A430" s="105">
        <f>IFERROR(__xludf.DUMMYFUNCTION("IF(batches!A72="""","""",TEXTJOIN(CHAR(10),TRUE,FILTER(admissions!$G$2:$G$78,admissions!$M$2:$M$78=batches!A72,"""")))"),"")</f>
        <v/>
      </c>
      <c r="B430" s="101" t="n"/>
      <c r="C430" s="101" t="n"/>
      <c r="D430" s="102" t="n"/>
      <c r="G430" s="105">
        <f>IFERROR(__xludf.DUMMYFUNCTION("IF(batches!A73="""","""",TEXTJOIN(CHAR(10),TRUE,FILTER(admissions!$G$2:$G$78,admissions!$M$2:$M$78=batches!A73,"""")))"),"")</f>
        <v/>
      </c>
      <c r="H430" s="101" t="n"/>
      <c r="I430" s="101" t="n"/>
      <c r="J430" s="102" t="n"/>
    </row>
    <row r="431" ht="15.75" customHeight="1" s="84"/>
    <row r="432" ht="15.75" customHeight="1" s="84"/>
    <row r="433" ht="15.75" customHeight="1" s="84">
      <c r="A433" s="100">
        <f>IF(batches!A74="","",batches!A74)</f>
        <v/>
      </c>
      <c r="B433" s="101" t="n"/>
      <c r="C433" s="101" t="n"/>
      <c r="D433" s="102" t="n"/>
      <c r="G433" s="100">
        <f>IF(batches!A75="","",batches!A75)</f>
        <v/>
      </c>
      <c r="H433" s="101" t="n"/>
      <c r="I433" s="101" t="n"/>
      <c r="J433" s="102" t="n"/>
    </row>
    <row r="434" ht="15.75" customHeight="1" s="84">
      <c r="A434" s="80" t="inlineStr">
        <is>
          <t>Level / Mode</t>
        </is>
      </c>
      <c r="B434" s="103">
        <f>IF(A433="","",batches!B74&amp;" / "&amp;batches!C74)</f>
        <v/>
      </c>
      <c r="C434" s="101" t="n"/>
      <c r="D434" s="102" t="n"/>
      <c r="G434" s="80" t="inlineStr">
        <is>
          <t>Level / Mode</t>
        </is>
      </c>
      <c r="H434" s="103">
        <f>IF(G433="","",batches!B75&amp;" / "&amp;batches!C75)</f>
        <v/>
      </c>
      <c r="I434" s="101" t="n"/>
      <c r="J434" s="102" t="n"/>
    </row>
    <row r="435" ht="15.75" customHeight="1" s="84">
      <c r="A435" s="80" t="inlineStr">
        <is>
          <t>Dates</t>
        </is>
      </c>
      <c r="B435" s="103">
        <f>IF(A433="","",TEXT(batches!D74,"yyyy-mm-dd")&amp;" to "&amp;TEXT(batches!E74,"yyyy-mm-dd"))</f>
        <v/>
      </c>
      <c r="C435" s="101" t="n"/>
      <c r="D435" s="102" t="n"/>
      <c r="G435" s="80" t="inlineStr">
        <is>
          <t>Dates</t>
        </is>
      </c>
      <c r="H435" s="103">
        <f>IF(G433="","",TEXT(batches!D75,"yyyy-mm-dd")&amp;" to "&amp;TEXT(batches!E75,"yyyy-mm-dd"))</f>
        <v/>
      </c>
      <c r="I435" s="101" t="n"/>
      <c r="J435" s="102" t="n"/>
    </row>
    <row r="436" ht="15.75" customHeight="1" s="84">
      <c r="A436" s="80" t="inlineStr">
        <is>
          <t>Duration</t>
        </is>
      </c>
      <c r="B436" s="103">
        <f>IF(OR(batches!D74="",batches!E74=""),"",batches!E74-batches!D74+1&amp;" days")</f>
        <v/>
      </c>
      <c r="C436" s="101" t="n"/>
      <c r="D436" s="102" t="n"/>
      <c r="G436" s="80" t="inlineStr">
        <is>
          <t>Duration</t>
        </is>
      </c>
      <c r="H436" s="103">
        <f>IF(OR(batches!D75="",batches!E75=""),"",batches!E75-batches!D75+1&amp;" days")</f>
        <v/>
      </c>
      <c r="I436" s="101" t="n"/>
      <c r="J436" s="102" t="n"/>
    </row>
    <row r="437" ht="15.75" customHeight="1" s="84">
      <c r="A437" s="80" t="inlineStr">
        <is>
          <t>Timing</t>
        </is>
      </c>
      <c r="B437" s="103">
        <f>IF(A433="","",batches!F74)</f>
        <v/>
      </c>
      <c r="C437" s="101" t="n"/>
      <c r="D437" s="102" t="n"/>
      <c r="G437" s="80" t="inlineStr">
        <is>
          <t>Timing</t>
        </is>
      </c>
      <c r="H437" s="103">
        <f>IF(G433="","",batches!F75)</f>
        <v/>
      </c>
      <c r="I437" s="101" t="n"/>
      <c r="J437" s="102" t="n"/>
    </row>
    <row r="438" ht="15.75" customHeight="1" s="84">
      <c r="A438" s="80" t="inlineStr">
        <is>
          <t>Capacity</t>
        </is>
      </c>
      <c r="B438" s="103">
        <f>IF(A433="","",batches!G74)</f>
        <v/>
      </c>
      <c r="C438" s="101" t="n"/>
      <c r="D438" s="102" t="n"/>
      <c r="G438" s="80" t="inlineStr">
        <is>
          <t>Capacity</t>
        </is>
      </c>
      <c r="H438" s="103">
        <f>IF(G433="","",batches!G75)</f>
        <v/>
      </c>
      <c r="I438" s="101" t="n"/>
      <c r="J438" s="102" t="n"/>
    </row>
    <row r="439" ht="15.75" customHeight="1" s="84">
      <c r="A439" s="80" t="inlineStr">
        <is>
          <t>Enrolled</t>
        </is>
      </c>
      <c r="B439" s="103">
        <f>IF(A433="","",COUNTIF(admissions!$M:$M,batches!A74))</f>
        <v/>
      </c>
      <c r="C439" s="101" t="n"/>
      <c r="D439" s="102" t="n"/>
      <c r="G439" s="80" t="inlineStr">
        <is>
          <t>Enrolled</t>
        </is>
      </c>
      <c r="H439" s="103">
        <f>IF(G433="","",COUNTIF(admissions!$M:$M,batches!A75))</f>
        <v/>
      </c>
      <c r="I439" s="101" t="n"/>
      <c r="J439" s="102" t="n"/>
    </row>
    <row r="440" ht="15.75" customHeight="1" s="84">
      <c r="A440" s="80" t="inlineStr">
        <is>
          <t>Available</t>
        </is>
      </c>
      <c r="B440" s="103">
        <f>IF(OR(batches!A74="",batches!G74=""),"",batches!G74-COUNTIF(admissions!$M:$M,batches!A74))</f>
        <v/>
      </c>
      <c r="C440" s="101" t="n"/>
      <c r="D440" s="102" t="n"/>
      <c r="G440" s="80" t="inlineStr">
        <is>
          <t>Available</t>
        </is>
      </c>
      <c r="H440" s="103">
        <f>IF(OR(batches!A75="",batches!G75=""),"",batches!G75-COUNTIF(admissions!$M:$M,batches!A75))</f>
        <v/>
      </c>
      <c r="I440" s="101" t="n"/>
      <c r="J440" s="102" t="n"/>
    </row>
    <row r="441" ht="15.75" customHeight="1" s="84">
      <c r="A441" s="104" t="inlineStr">
        <is>
          <t>Student List</t>
        </is>
      </c>
      <c r="B441" s="101" t="n"/>
      <c r="C441" s="101" t="n"/>
      <c r="D441" s="102" t="n"/>
      <c r="G441" s="104" t="inlineStr">
        <is>
          <t>Student List</t>
        </is>
      </c>
      <c r="H441" s="101" t="n"/>
      <c r="I441" s="101" t="n"/>
      <c r="J441" s="102" t="n"/>
    </row>
    <row r="442" ht="15.75" customHeight="1" s="84">
      <c r="A442" s="105">
        <f>IFERROR(__xludf.DUMMYFUNCTION("IF(batches!A74="""","""",TEXTJOIN(CHAR(10),TRUE,FILTER(admissions!$G$2:$G$78,admissions!$M$2:$M$78=batches!A74,"""")))"),"")</f>
        <v/>
      </c>
      <c r="B442" s="101" t="n"/>
      <c r="C442" s="101" t="n"/>
      <c r="D442" s="102" t="n"/>
      <c r="G442" s="105">
        <f>IFERROR(__xludf.DUMMYFUNCTION("IF(batches!A75="""","""",TEXTJOIN(CHAR(10),TRUE,FILTER(admissions!$G$2:$G$78,admissions!$M$2:$M$78=batches!A75,"""")))"),"")</f>
        <v/>
      </c>
      <c r="H442" s="101" t="n"/>
      <c r="I442" s="101" t="n"/>
      <c r="J442" s="102" t="n"/>
    </row>
    <row r="443" ht="15.75" customHeight="1" s="84"/>
    <row r="444" ht="15.75" customHeight="1" s="84"/>
    <row r="445" ht="15.75" customHeight="1" s="84">
      <c r="A445" s="100">
        <f>IF(batches!A76="","",batches!A76)</f>
        <v/>
      </c>
      <c r="B445" s="101" t="n"/>
      <c r="C445" s="101" t="n"/>
      <c r="D445" s="102" t="n"/>
      <c r="G445" s="100">
        <f>IF(batches!A77="","",batches!A77)</f>
        <v/>
      </c>
      <c r="H445" s="101" t="n"/>
      <c r="I445" s="101" t="n"/>
      <c r="J445" s="102" t="n"/>
    </row>
    <row r="446" ht="15.75" customHeight="1" s="84">
      <c r="A446" s="80" t="inlineStr">
        <is>
          <t>Level / Mode</t>
        </is>
      </c>
      <c r="B446" s="103">
        <f>IF(A445="","",batches!B76&amp;" / "&amp;batches!C76)</f>
        <v/>
      </c>
      <c r="C446" s="101" t="n"/>
      <c r="D446" s="102" t="n"/>
      <c r="G446" s="80" t="inlineStr">
        <is>
          <t>Level / Mode</t>
        </is>
      </c>
      <c r="H446" s="103">
        <f>IF(G445="","",batches!B77&amp;" / "&amp;batches!C77)</f>
        <v/>
      </c>
      <c r="I446" s="101" t="n"/>
      <c r="J446" s="102" t="n"/>
    </row>
    <row r="447" ht="15.75" customHeight="1" s="84">
      <c r="A447" s="80" t="inlineStr">
        <is>
          <t>Dates</t>
        </is>
      </c>
      <c r="B447" s="103">
        <f>IF(A445="","",TEXT(batches!D76,"yyyy-mm-dd")&amp;" to "&amp;TEXT(batches!E76,"yyyy-mm-dd"))</f>
        <v/>
      </c>
      <c r="C447" s="101" t="n"/>
      <c r="D447" s="102" t="n"/>
      <c r="G447" s="80" t="inlineStr">
        <is>
          <t>Dates</t>
        </is>
      </c>
      <c r="H447" s="103">
        <f>IF(G445="","",TEXT(batches!D77,"yyyy-mm-dd")&amp;" to "&amp;TEXT(batches!E77,"yyyy-mm-dd"))</f>
        <v/>
      </c>
      <c r="I447" s="101" t="n"/>
      <c r="J447" s="102" t="n"/>
    </row>
    <row r="448" ht="15.75" customHeight="1" s="84">
      <c r="A448" s="80" t="inlineStr">
        <is>
          <t>Duration</t>
        </is>
      </c>
      <c r="B448" s="103">
        <f>IF(OR(batches!D76="",batches!E76=""),"",batches!E76-batches!D76+1&amp;" days")</f>
        <v/>
      </c>
      <c r="C448" s="101" t="n"/>
      <c r="D448" s="102" t="n"/>
      <c r="G448" s="80" t="inlineStr">
        <is>
          <t>Duration</t>
        </is>
      </c>
      <c r="H448" s="103">
        <f>IF(OR(batches!D77="",batches!E77=""),"",batches!E77-batches!D77+1&amp;" days")</f>
        <v/>
      </c>
      <c r="I448" s="101" t="n"/>
      <c r="J448" s="102" t="n"/>
    </row>
    <row r="449" ht="15.75" customHeight="1" s="84">
      <c r="A449" s="80" t="inlineStr">
        <is>
          <t>Timing</t>
        </is>
      </c>
      <c r="B449" s="103">
        <f>IF(A445="","",batches!F76)</f>
        <v/>
      </c>
      <c r="C449" s="101" t="n"/>
      <c r="D449" s="102" t="n"/>
      <c r="G449" s="80" t="inlineStr">
        <is>
          <t>Timing</t>
        </is>
      </c>
      <c r="H449" s="103">
        <f>IF(G445="","",batches!F77)</f>
        <v/>
      </c>
      <c r="I449" s="101" t="n"/>
      <c r="J449" s="102" t="n"/>
    </row>
    <row r="450" ht="15.75" customHeight="1" s="84">
      <c r="A450" s="80" t="inlineStr">
        <is>
          <t>Capacity</t>
        </is>
      </c>
      <c r="B450" s="103">
        <f>IF(A445="","",batches!G76)</f>
        <v/>
      </c>
      <c r="C450" s="101" t="n"/>
      <c r="D450" s="102" t="n"/>
      <c r="G450" s="80" t="inlineStr">
        <is>
          <t>Capacity</t>
        </is>
      </c>
      <c r="H450" s="103">
        <f>IF(G445="","",batches!G77)</f>
        <v/>
      </c>
      <c r="I450" s="101" t="n"/>
      <c r="J450" s="102" t="n"/>
    </row>
    <row r="451" ht="15.75" customHeight="1" s="84">
      <c r="A451" s="80" t="inlineStr">
        <is>
          <t>Enrolled</t>
        </is>
      </c>
      <c r="B451" s="103">
        <f>IF(A445="","",COUNTIF(admissions!$M:$M,batches!A76))</f>
        <v/>
      </c>
      <c r="C451" s="101" t="n"/>
      <c r="D451" s="102" t="n"/>
      <c r="G451" s="80" t="inlineStr">
        <is>
          <t>Enrolled</t>
        </is>
      </c>
      <c r="H451" s="103">
        <f>IF(G445="","",COUNTIF(admissions!$M:$M,batches!A77))</f>
        <v/>
      </c>
      <c r="I451" s="101" t="n"/>
      <c r="J451" s="102" t="n"/>
    </row>
    <row r="452" ht="15.75" customHeight="1" s="84">
      <c r="A452" s="80" t="inlineStr">
        <is>
          <t>Available</t>
        </is>
      </c>
      <c r="B452" s="103">
        <f>IF(OR(batches!A76="",batches!G76=""),"",batches!G76-COUNTIF(admissions!$M:$M,batches!A76))</f>
        <v/>
      </c>
      <c r="C452" s="101" t="n"/>
      <c r="D452" s="102" t="n"/>
      <c r="G452" s="80" t="inlineStr">
        <is>
          <t>Available</t>
        </is>
      </c>
      <c r="H452" s="103">
        <f>IF(OR(batches!A77="",batches!G77=""),"",batches!G77-COUNTIF(admissions!$M:$M,batches!A77))</f>
        <v/>
      </c>
      <c r="I452" s="101" t="n"/>
      <c r="J452" s="102" t="n"/>
    </row>
    <row r="453" ht="15.75" customHeight="1" s="84">
      <c r="A453" s="104" t="inlineStr">
        <is>
          <t>Student List</t>
        </is>
      </c>
      <c r="B453" s="101" t="n"/>
      <c r="C453" s="101" t="n"/>
      <c r="D453" s="102" t="n"/>
      <c r="G453" s="104" t="inlineStr">
        <is>
          <t>Student List</t>
        </is>
      </c>
      <c r="H453" s="101" t="n"/>
      <c r="I453" s="101" t="n"/>
      <c r="J453" s="102" t="n"/>
    </row>
    <row r="454" ht="15.75" customHeight="1" s="84">
      <c r="A454" s="105">
        <f>IFERROR(__xludf.DUMMYFUNCTION("IF(batches!A76="""","""",TEXTJOIN(CHAR(10),TRUE,FILTER(admissions!$G$2:$G$78,admissions!$M$2:$M$78=batches!A76,"""")))"),"")</f>
        <v/>
      </c>
      <c r="B454" s="101" t="n"/>
      <c r="C454" s="101" t="n"/>
      <c r="D454" s="102" t="n"/>
      <c r="G454" s="105">
        <f>IFERROR(__xludf.DUMMYFUNCTION("IF(batches!A77="""","""",TEXTJOIN(CHAR(10),TRUE,FILTER(admissions!$G$2:$G$78,admissions!$M$2:$M$78=batches!A77,"""")))"),"")</f>
        <v/>
      </c>
      <c r="H454" s="101" t="n"/>
      <c r="I454" s="101" t="n"/>
      <c r="J454" s="102" t="n"/>
    </row>
    <row r="455" ht="15.75" customHeight="1" s="84"/>
    <row r="456" ht="15.75" customHeight="1" s="84"/>
    <row r="457" ht="15.75" customHeight="1" s="84">
      <c r="A457" s="100">
        <f>IF(batches!A78="","",batches!A78)</f>
        <v/>
      </c>
      <c r="B457" s="101" t="n"/>
      <c r="C457" s="101" t="n"/>
      <c r="D457" s="102" t="n"/>
      <c r="G457" s="100">
        <f>IF(batches!A79="","",batches!A79)</f>
        <v/>
      </c>
      <c r="H457" s="101" t="n"/>
      <c r="I457" s="101" t="n"/>
      <c r="J457" s="102" t="n"/>
    </row>
    <row r="458" ht="15.75" customHeight="1" s="84">
      <c r="A458" s="80" t="inlineStr">
        <is>
          <t>Level / Mode</t>
        </is>
      </c>
      <c r="B458" s="103">
        <f>IF(A457="","",batches!B78&amp;" / "&amp;batches!C78)</f>
        <v/>
      </c>
      <c r="C458" s="101" t="n"/>
      <c r="D458" s="102" t="n"/>
      <c r="G458" s="80" t="inlineStr">
        <is>
          <t>Level / Mode</t>
        </is>
      </c>
      <c r="H458" s="103">
        <f>IF(G457="","",batches!B79&amp;" / "&amp;batches!C79)</f>
        <v/>
      </c>
      <c r="I458" s="101" t="n"/>
      <c r="J458" s="102" t="n"/>
    </row>
    <row r="459" ht="15.75" customHeight="1" s="84">
      <c r="A459" s="80" t="inlineStr">
        <is>
          <t>Dates</t>
        </is>
      </c>
      <c r="B459" s="103">
        <f>IF(A457="","",TEXT(batches!D78,"yyyy-mm-dd")&amp;" to "&amp;TEXT(batches!E78,"yyyy-mm-dd"))</f>
        <v/>
      </c>
      <c r="C459" s="101" t="n"/>
      <c r="D459" s="102" t="n"/>
      <c r="G459" s="80" t="inlineStr">
        <is>
          <t>Dates</t>
        </is>
      </c>
      <c r="H459" s="103">
        <f>IF(G457="","",TEXT(batches!D79,"yyyy-mm-dd")&amp;" to "&amp;TEXT(batches!E79,"yyyy-mm-dd"))</f>
        <v/>
      </c>
      <c r="I459" s="101" t="n"/>
      <c r="J459" s="102" t="n"/>
    </row>
    <row r="460" ht="15.75" customHeight="1" s="84">
      <c r="A460" s="80" t="inlineStr">
        <is>
          <t>Duration</t>
        </is>
      </c>
      <c r="B460" s="103">
        <f>IF(OR(batches!D78="",batches!E78=""),"",batches!E78-batches!D78+1&amp;" days")</f>
        <v/>
      </c>
      <c r="C460" s="101" t="n"/>
      <c r="D460" s="102" t="n"/>
      <c r="G460" s="80" t="inlineStr">
        <is>
          <t>Duration</t>
        </is>
      </c>
      <c r="H460" s="103">
        <f>IF(OR(batches!D79="",batches!E79=""),"",batches!E79-batches!D79+1&amp;" days")</f>
        <v/>
      </c>
      <c r="I460" s="101" t="n"/>
      <c r="J460" s="102" t="n"/>
    </row>
    <row r="461" ht="15.75" customHeight="1" s="84">
      <c r="A461" s="80" t="inlineStr">
        <is>
          <t>Timing</t>
        </is>
      </c>
      <c r="B461" s="103">
        <f>IF(A457="","",batches!F78)</f>
        <v/>
      </c>
      <c r="C461" s="101" t="n"/>
      <c r="D461" s="102" t="n"/>
      <c r="G461" s="80" t="inlineStr">
        <is>
          <t>Timing</t>
        </is>
      </c>
      <c r="H461" s="103">
        <f>IF(G457="","",batches!F79)</f>
        <v/>
      </c>
      <c r="I461" s="101" t="n"/>
      <c r="J461" s="102" t="n"/>
    </row>
    <row r="462" ht="15.75" customHeight="1" s="84">
      <c r="A462" s="80" t="inlineStr">
        <is>
          <t>Capacity</t>
        </is>
      </c>
      <c r="B462" s="103">
        <f>IF(A457="","",batches!G78)</f>
        <v/>
      </c>
      <c r="C462" s="101" t="n"/>
      <c r="D462" s="102" t="n"/>
      <c r="G462" s="80" t="inlineStr">
        <is>
          <t>Capacity</t>
        </is>
      </c>
      <c r="H462" s="103">
        <f>IF(G457="","",batches!G79)</f>
        <v/>
      </c>
      <c r="I462" s="101" t="n"/>
      <c r="J462" s="102" t="n"/>
    </row>
    <row r="463" ht="15.75" customHeight="1" s="84">
      <c r="A463" s="80" t="inlineStr">
        <is>
          <t>Enrolled</t>
        </is>
      </c>
      <c r="B463" s="103">
        <f>IF(A457="","",COUNTIF(admissions!$M:$M,batches!A78))</f>
        <v/>
      </c>
      <c r="C463" s="101" t="n"/>
      <c r="D463" s="102" t="n"/>
      <c r="G463" s="80" t="inlineStr">
        <is>
          <t>Enrolled</t>
        </is>
      </c>
      <c r="H463" s="103">
        <f>IF(G457="","",COUNTIF(admissions!$M:$M,batches!A79))</f>
        <v/>
      </c>
      <c r="I463" s="101" t="n"/>
      <c r="J463" s="102" t="n"/>
    </row>
    <row r="464" ht="15.75" customHeight="1" s="84">
      <c r="A464" s="80" t="inlineStr">
        <is>
          <t>Available</t>
        </is>
      </c>
      <c r="B464" s="103">
        <f>IF(OR(batches!A78="",batches!G78=""),"",batches!G78-COUNTIF(admissions!$M:$M,batches!A78))</f>
        <v/>
      </c>
      <c r="C464" s="101" t="n"/>
      <c r="D464" s="102" t="n"/>
      <c r="G464" s="80" t="inlineStr">
        <is>
          <t>Available</t>
        </is>
      </c>
      <c r="H464" s="103">
        <f>IF(OR(batches!A79="",batches!G79=""),"",batches!G79-COUNTIF(admissions!$M:$M,batches!A79))</f>
        <v/>
      </c>
      <c r="I464" s="101" t="n"/>
      <c r="J464" s="102" t="n"/>
    </row>
    <row r="465" ht="15.75" customHeight="1" s="84">
      <c r="A465" s="104" t="inlineStr">
        <is>
          <t>Student List</t>
        </is>
      </c>
      <c r="B465" s="101" t="n"/>
      <c r="C465" s="101" t="n"/>
      <c r="D465" s="102" t="n"/>
      <c r="G465" s="104" t="inlineStr">
        <is>
          <t>Student List</t>
        </is>
      </c>
      <c r="H465" s="101" t="n"/>
      <c r="I465" s="101" t="n"/>
      <c r="J465" s="102" t="n"/>
    </row>
    <row r="466" ht="15.75" customHeight="1" s="84">
      <c r="A466" s="105">
        <f>IFERROR(__xludf.DUMMYFUNCTION("IF(batches!A78="""","""",TEXTJOIN(CHAR(10),TRUE,FILTER(admissions!$G$2:$G$78,admissions!$M$2:$M$78=batches!A78,"""")))"),"")</f>
        <v/>
      </c>
      <c r="B466" s="101" t="n"/>
      <c r="C466" s="101" t="n"/>
      <c r="D466" s="102" t="n"/>
      <c r="G466" s="105">
        <f>IFERROR(__xludf.DUMMYFUNCTION("IF(batches!A79="""","""",TEXTJOIN(CHAR(10),TRUE,FILTER(admissions!$G$2:$G$78,admissions!$M$2:$M$78=batches!A79,"""")))"),"")</f>
        <v/>
      </c>
      <c r="H466" s="101" t="n"/>
      <c r="I466" s="101" t="n"/>
      <c r="J466" s="102" t="n"/>
    </row>
    <row r="467" ht="15.75" customHeight="1" s="84"/>
    <row r="468" ht="15.75" customHeight="1" s="84"/>
    <row r="469" ht="15.75" customHeight="1" s="84">
      <c r="A469" s="100">
        <f>IF(batches!A80="","",batches!A80)</f>
        <v/>
      </c>
      <c r="B469" s="101" t="n"/>
      <c r="C469" s="101" t="n"/>
      <c r="D469" s="102" t="n"/>
      <c r="G469" s="100">
        <f>IF(batches!A81="","",batches!A81)</f>
        <v/>
      </c>
      <c r="H469" s="101" t="n"/>
      <c r="I469" s="101" t="n"/>
      <c r="J469" s="102" t="n"/>
    </row>
    <row r="470" ht="15.75" customHeight="1" s="84">
      <c r="A470" s="80" t="inlineStr">
        <is>
          <t>Level / Mode</t>
        </is>
      </c>
      <c r="B470" s="103">
        <f>IF(A469="","",batches!B80&amp;" / "&amp;batches!C80)</f>
        <v/>
      </c>
      <c r="C470" s="101" t="n"/>
      <c r="D470" s="102" t="n"/>
      <c r="G470" s="80" t="inlineStr">
        <is>
          <t>Level / Mode</t>
        </is>
      </c>
      <c r="H470" s="103">
        <f>IF(G469="","",batches!B81&amp;" / "&amp;batches!C81)</f>
        <v/>
      </c>
      <c r="I470" s="101" t="n"/>
      <c r="J470" s="102" t="n"/>
    </row>
    <row r="471" ht="15.75" customHeight="1" s="84">
      <c r="A471" s="80" t="inlineStr">
        <is>
          <t>Dates</t>
        </is>
      </c>
      <c r="B471" s="103">
        <f>IF(A469="","",TEXT(batches!D80,"yyyy-mm-dd")&amp;" to "&amp;TEXT(batches!E80,"yyyy-mm-dd"))</f>
        <v/>
      </c>
      <c r="C471" s="101" t="n"/>
      <c r="D471" s="102" t="n"/>
      <c r="G471" s="80" t="inlineStr">
        <is>
          <t>Dates</t>
        </is>
      </c>
      <c r="H471" s="103">
        <f>IF(G469="","",TEXT(batches!D81,"yyyy-mm-dd")&amp;" to "&amp;TEXT(batches!E81,"yyyy-mm-dd"))</f>
        <v/>
      </c>
      <c r="I471" s="101" t="n"/>
      <c r="J471" s="102" t="n"/>
    </row>
    <row r="472" ht="15.75" customHeight="1" s="84">
      <c r="A472" s="80" t="inlineStr">
        <is>
          <t>Duration</t>
        </is>
      </c>
      <c r="B472" s="103">
        <f>IF(OR(batches!D80="",batches!E80=""),"",batches!E80-batches!D80+1&amp;" days")</f>
        <v/>
      </c>
      <c r="C472" s="101" t="n"/>
      <c r="D472" s="102" t="n"/>
      <c r="G472" s="80" t="inlineStr">
        <is>
          <t>Duration</t>
        </is>
      </c>
      <c r="H472" s="103">
        <f>IF(OR(batches!D81="",batches!E81=""),"",batches!E81-batches!D81+1&amp;" days")</f>
        <v/>
      </c>
      <c r="I472" s="101" t="n"/>
      <c r="J472" s="102" t="n"/>
    </row>
    <row r="473" ht="15.75" customHeight="1" s="84">
      <c r="A473" s="80" t="inlineStr">
        <is>
          <t>Timing</t>
        </is>
      </c>
      <c r="B473" s="103">
        <f>IF(A469="","",batches!F80)</f>
        <v/>
      </c>
      <c r="C473" s="101" t="n"/>
      <c r="D473" s="102" t="n"/>
      <c r="G473" s="80" t="inlineStr">
        <is>
          <t>Timing</t>
        </is>
      </c>
      <c r="H473" s="103">
        <f>IF(G469="","",batches!F81)</f>
        <v/>
      </c>
      <c r="I473" s="101" t="n"/>
      <c r="J473" s="102" t="n"/>
    </row>
    <row r="474" ht="15.75" customHeight="1" s="84">
      <c r="A474" s="80" t="inlineStr">
        <is>
          <t>Capacity</t>
        </is>
      </c>
      <c r="B474" s="103">
        <f>IF(A469="","",batches!G80)</f>
        <v/>
      </c>
      <c r="C474" s="101" t="n"/>
      <c r="D474" s="102" t="n"/>
      <c r="G474" s="80" t="inlineStr">
        <is>
          <t>Capacity</t>
        </is>
      </c>
      <c r="H474" s="103">
        <f>IF(G469="","",batches!G81)</f>
        <v/>
      </c>
      <c r="I474" s="101" t="n"/>
      <c r="J474" s="102" t="n"/>
    </row>
    <row r="475" ht="15.75" customHeight="1" s="84">
      <c r="A475" s="80" t="inlineStr">
        <is>
          <t>Enrolled</t>
        </is>
      </c>
      <c r="B475" s="103">
        <f>IF(A469="","",COUNTIF(admissions!$M:$M,batches!A80))</f>
        <v/>
      </c>
      <c r="C475" s="101" t="n"/>
      <c r="D475" s="102" t="n"/>
      <c r="G475" s="80" t="inlineStr">
        <is>
          <t>Enrolled</t>
        </is>
      </c>
      <c r="H475" s="103">
        <f>IF(G469="","",COUNTIF(admissions!$M:$M,batches!A81))</f>
        <v/>
      </c>
      <c r="I475" s="101" t="n"/>
      <c r="J475" s="102" t="n"/>
    </row>
    <row r="476" ht="15.75" customHeight="1" s="84">
      <c r="A476" s="80" t="inlineStr">
        <is>
          <t>Available</t>
        </is>
      </c>
      <c r="B476" s="103">
        <f>IF(OR(batches!A80="",batches!G80=""),"",batches!G80-COUNTIF(admissions!$M:$M,batches!A80))</f>
        <v/>
      </c>
      <c r="C476" s="101" t="n"/>
      <c r="D476" s="102" t="n"/>
      <c r="G476" s="80" t="inlineStr">
        <is>
          <t>Available</t>
        </is>
      </c>
      <c r="H476" s="103">
        <f>IF(OR(batches!A81="",batches!G81=""),"",batches!G81-COUNTIF(admissions!$M:$M,batches!A81))</f>
        <v/>
      </c>
      <c r="I476" s="101" t="n"/>
      <c r="J476" s="102" t="n"/>
    </row>
    <row r="477" ht="15.75" customHeight="1" s="84">
      <c r="A477" s="104" t="inlineStr">
        <is>
          <t>Student List</t>
        </is>
      </c>
      <c r="B477" s="101" t="n"/>
      <c r="C477" s="101" t="n"/>
      <c r="D477" s="102" t="n"/>
      <c r="G477" s="104" t="inlineStr">
        <is>
          <t>Student List</t>
        </is>
      </c>
      <c r="H477" s="101" t="n"/>
      <c r="I477" s="101" t="n"/>
      <c r="J477" s="102" t="n"/>
    </row>
    <row r="478" ht="15.75" customHeight="1" s="84">
      <c r="A478" s="105">
        <f>IFERROR(__xludf.DUMMYFUNCTION("IF(batches!A80="""","""",TEXTJOIN(CHAR(10),TRUE,FILTER(admissions!$G$2:$G$78,admissions!$M$2:$M$78=batches!A80,"""")))"),"")</f>
        <v/>
      </c>
      <c r="B478" s="101" t="n"/>
      <c r="C478" s="101" t="n"/>
      <c r="D478" s="102" t="n"/>
      <c r="G478" s="105">
        <f>IFERROR(__xludf.DUMMYFUNCTION("IF(batches!A81="""","""",TEXTJOIN(CHAR(10),TRUE,FILTER(admissions!$G$2:$G$78,admissions!$M$2:$M$78=batches!A81,"""")))"),"")</f>
        <v/>
      </c>
      <c r="H478" s="101" t="n"/>
      <c r="I478" s="101" t="n"/>
      <c r="J478" s="102" t="n"/>
    </row>
    <row r="479" ht="15.75" customHeight="1" s="84"/>
    <row r="480" ht="15.75" customHeight="1" s="84"/>
    <row r="481" ht="15.75" customHeight="1" s="84">
      <c r="A481" s="100">
        <f>IF(batches!A82="","",batches!A82)</f>
        <v/>
      </c>
      <c r="B481" s="101" t="n"/>
      <c r="C481" s="101" t="n"/>
      <c r="D481" s="102" t="n"/>
      <c r="G481" s="100">
        <f>IF(batches!A83="","",batches!A83)</f>
        <v/>
      </c>
      <c r="H481" s="101" t="n"/>
      <c r="I481" s="101" t="n"/>
      <c r="J481" s="102" t="n"/>
    </row>
    <row r="482" ht="15.75" customHeight="1" s="84">
      <c r="A482" s="80" t="inlineStr">
        <is>
          <t>Level / Mode</t>
        </is>
      </c>
      <c r="B482" s="103">
        <f>IF(A481="","",batches!B82&amp;" / "&amp;batches!C82)</f>
        <v/>
      </c>
      <c r="C482" s="101" t="n"/>
      <c r="D482" s="102" t="n"/>
      <c r="G482" s="80" t="inlineStr">
        <is>
          <t>Level / Mode</t>
        </is>
      </c>
      <c r="H482" s="103">
        <f>IF(G481="","",batches!B83&amp;" / "&amp;batches!C83)</f>
        <v/>
      </c>
      <c r="I482" s="101" t="n"/>
      <c r="J482" s="102" t="n"/>
    </row>
    <row r="483" ht="15.75" customHeight="1" s="84">
      <c r="A483" s="80" t="inlineStr">
        <is>
          <t>Dates</t>
        </is>
      </c>
      <c r="B483" s="103">
        <f>IF(A481="","",TEXT(batches!D82,"yyyy-mm-dd")&amp;" to "&amp;TEXT(batches!E82,"yyyy-mm-dd"))</f>
        <v/>
      </c>
      <c r="C483" s="101" t="n"/>
      <c r="D483" s="102" t="n"/>
      <c r="G483" s="80" t="inlineStr">
        <is>
          <t>Dates</t>
        </is>
      </c>
      <c r="H483" s="103">
        <f>IF(G481="","",TEXT(batches!D83,"yyyy-mm-dd")&amp;" to "&amp;TEXT(batches!E83,"yyyy-mm-dd"))</f>
        <v/>
      </c>
      <c r="I483" s="101" t="n"/>
      <c r="J483" s="102" t="n"/>
    </row>
    <row r="484" ht="15.75" customHeight="1" s="84">
      <c r="A484" s="80" t="inlineStr">
        <is>
          <t>Duration</t>
        </is>
      </c>
      <c r="B484" s="103">
        <f>IF(OR(batches!D82="",batches!E82=""),"",batches!E82-batches!D82+1&amp;" days")</f>
        <v/>
      </c>
      <c r="C484" s="101" t="n"/>
      <c r="D484" s="102" t="n"/>
      <c r="G484" s="80" t="inlineStr">
        <is>
          <t>Duration</t>
        </is>
      </c>
      <c r="H484" s="103">
        <f>IF(OR(batches!D83="",batches!E83=""),"",batches!E83-batches!D83+1&amp;" days")</f>
        <v/>
      </c>
      <c r="I484" s="101" t="n"/>
      <c r="J484" s="102" t="n"/>
    </row>
    <row r="485" ht="15.75" customHeight="1" s="84">
      <c r="A485" s="80" t="inlineStr">
        <is>
          <t>Timing</t>
        </is>
      </c>
      <c r="B485" s="103">
        <f>IF(A481="","",batches!F82)</f>
        <v/>
      </c>
      <c r="C485" s="101" t="n"/>
      <c r="D485" s="102" t="n"/>
      <c r="G485" s="80" t="inlineStr">
        <is>
          <t>Timing</t>
        </is>
      </c>
      <c r="H485" s="103">
        <f>IF(G481="","",batches!F83)</f>
        <v/>
      </c>
      <c r="I485" s="101" t="n"/>
      <c r="J485" s="102" t="n"/>
    </row>
    <row r="486" ht="15.75" customHeight="1" s="84">
      <c r="A486" s="80" t="inlineStr">
        <is>
          <t>Capacity</t>
        </is>
      </c>
      <c r="B486" s="103">
        <f>IF(A481="","",batches!G82)</f>
        <v/>
      </c>
      <c r="C486" s="101" t="n"/>
      <c r="D486" s="102" t="n"/>
      <c r="G486" s="80" t="inlineStr">
        <is>
          <t>Capacity</t>
        </is>
      </c>
      <c r="H486" s="103">
        <f>IF(G481="","",batches!G83)</f>
        <v/>
      </c>
      <c r="I486" s="101" t="n"/>
      <c r="J486" s="102" t="n"/>
    </row>
    <row r="487" ht="15.75" customHeight="1" s="84">
      <c r="A487" s="80" t="inlineStr">
        <is>
          <t>Enrolled</t>
        </is>
      </c>
      <c r="B487" s="103">
        <f>IF(A481="","",COUNTIF(admissions!$M:$M,batches!A82))</f>
        <v/>
      </c>
      <c r="C487" s="101" t="n"/>
      <c r="D487" s="102" t="n"/>
      <c r="G487" s="80" t="inlineStr">
        <is>
          <t>Enrolled</t>
        </is>
      </c>
      <c r="H487" s="103">
        <f>IF(G481="","",COUNTIF(admissions!$M:$M,batches!A83))</f>
        <v/>
      </c>
      <c r="I487" s="101" t="n"/>
      <c r="J487" s="102" t="n"/>
    </row>
    <row r="488" ht="15.75" customHeight="1" s="84">
      <c r="A488" s="80" t="inlineStr">
        <is>
          <t>Available</t>
        </is>
      </c>
      <c r="B488" s="103">
        <f>IF(OR(batches!A82="",batches!G82=""),"",batches!G82-COUNTIF(admissions!$M:$M,batches!A82))</f>
        <v/>
      </c>
      <c r="C488" s="101" t="n"/>
      <c r="D488" s="102" t="n"/>
      <c r="G488" s="80" t="inlineStr">
        <is>
          <t>Available</t>
        </is>
      </c>
      <c r="H488" s="103">
        <f>IF(OR(batches!A83="",batches!G83=""),"",batches!G83-COUNTIF(admissions!$M:$M,batches!A83))</f>
        <v/>
      </c>
      <c r="I488" s="101" t="n"/>
      <c r="J488" s="102" t="n"/>
    </row>
    <row r="489" ht="15.75" customHeight="1" s="84">
      <c r="A489" s="104" t="inlineStr">
        <is>
          <t>Student List</t>
        </is>
      </c>
      <c r="B489" s="101" t="n"/>
      <c r="C489" s="101" t="n"/>
      <c r="D489" s="102" t="n"/>
      <c r="G489" s="104" t="inlineStr">
        <is>
          <t>Student List</t>
        </is>
      </c>
      <c r="H489" s="101" t="n"/>
      <c r="I489" s="101" t="n"/>
      <c r="J489" s="102" t="n"/>
    </row>
    <row r="490" ht="15.75" customHeight="1" s="84">
      <c r="A490" s="105">
        <f>IFERROR(__xludf.DUMMYFUNCTION("IF(batches!A82="""","""",TEXTJOIN(CHAR(10),TRUE,FILTER(admissions!$G$2:$G$78,admissions!$M$2:$M$78=batches!A82,"""")))"),"")</f>
        <v/>
      </c>
      <c r="B490" s="101" t="n"/>
      <c r="C490" s="101" t="n"/>
      <c r="D490" s="102" t="n"/>
      <c r="G490" s="105">
        <f>IFERROR(__xludf.DUMMYFUNCTION("IF(batches!A83="""","""",TEXTJOIN(CHAR(10),TRUE,FILTER(admissions!$G$2:$G$78,admissions!$M$2:$M$78=batches!A83,"""")))"),"")</f>
        <v/>
      </c>
      <c r="H490" s="101" t="n"/>
      <c r="I490" s="101" t="n"/>
      <c r="J490" s="102" t="n"/>
    </row>
    <row r="491" ht="15.75" customHeight="1" s="84"/>
    <row r="492" ht="15.75" customHeight="1" s="84"/>
    <row r="493" ht="15.75" customHeight="1" s="84">
      <c r="A493" s="100">
        <f>IF(batches!A84="","",batches!A84)</f>
        <v/>
      </c>
      <c r="B493" s="101" t="n"/>
      <c r="C493" s="101" t="n"/>
      <c r="D493" s="102" t="n"/>
      <c r="G493" s="100">
        <f>IF(batches!A85="","",batches!A85)</f>
        <v/>
      </c>
      <c r="H493" s="101" t="n"/>
      <c r="I493" s="101" t="n"/>
      <c r="J493" s="102" t="n"/>
    </row>
    <row r="494" ht="15.75" customHeight="1" s="84">
      <c r="A494" s="80" t="inlineStr">
        <is>
          <t>Level / Mode</t>
        </is>
      </c>
      <c r="B494" s="103">
        <f>IF(A493="","",batches!B84&amp;" / "&amp;batches!C84)</f>
        <v/>
      </c>
      <c r="C494" s="101" t="n"/>
      <c r="D494" s="102" t="n"/>
      <c r="G494" s="80" t="inlineStr">
        <is>
          <t>Level / Mode</t>
        </is>
      </c>
      <c r="H494" s="103">
        <f>IF(G493="","",batches!B85&amp;" / "&amp;batches!C85)</f>
        <v/>
      </c>
      <c r="I494" s="101" t="n"/>
      <c r="J494" s="102" t="n"/>
    </row>
    <row r="495" ht="15.75" customHeight="1" s="84">
      <c r="A495" s="80" t="inlineStr">
        <is>
          <t>Dates</t>
        </is>
      </c>
      <c r="B495" s="103">
        <f>IF(A493="","",TEXT(batches!D84,"yyyy-mm-dd")&amp;" to "&amp;TEXT(batches!E84,"yyyy-mm-dd"))</f>
        <v/>
      </c>
      <c r="C495" s="101" t="n"/>
      <c r="D495" s="102" t="n"/>
      <c r="G495" s="80" t="inlineStr">
        <is>
          <t>Dates</t>
        </is>
      </c>
      <c r="H495" s="103">
        <f>IF(G493="","",TEXT(batches!D85,"yyyy-mm-dd")&amp;" to "&amp;TEXT(batches!E85,"yyyy-mm-dd"))</f>
        <v/>
      </c>
      <c r="I495" s="101" t="n"/>
      <c r="J495" s="102" t="n"/>
    </row>
    <row r="496" ht="15.75" customHeight="1" s="84">
      <c r="A496" s="80" t="inlineStr">
        <is>
          <t>Duration</t>
        </is>
      </c>
      <c r="B496" s="103">
        <f>IF(OR(batches!D84="",batches!E84=""),"",batches!E84-batches!D84+1&amp;" days")</f>
        <v/>
      </c>
      <c r="C496" s="101" t="n"/>
      <c r="D496" s="102" t="n"/>
      <c r="G496" s="80" t="inlineStr">
        <is>
          <t>Duration</t>
        </is>
      </c>
      <c r="H496" s="103">
        <f>IF(OR(batches!D85="",batches!E85=""),"",batches!E85-batches!D85+1&amp;" days")</f>
        <v/>
      </c>
      <c r="I496" s="101" t="n"/>
      <c r="J496" s="102" t="n"/>
    </row>
    <row r="497" ht="15.75" customHeight="1" s="84">
      <c r="A497" s="80" t="inlineStr">
        <is>
          <t>Timing</t>
        </is>
      </c>
      <c r="B497" s="103">
        <f>IF(A493="","",batches!F84)</f>
        <v/>
      </c>
      <c r="C497" s="101" t="n"/>
      <c r="D497" s="102" t="n"/>
      <c r="G497" s="80" t="inlineStr">
        <is>
          <t>Timing</t>
        </is>
      </c>
      <c r="H497" s="103">
        <f>IF(G493="","",batches!F85)</f>
        <v/>
      </c>
      <c r="I497" s="101" t="n"/>
      <c r="J497" s="102" t="n"/>
    </row>
    <row r="498" ht="15.75" customHeight="1" s="84">
      <c r="A498" s="80" t="inlineStr">
        <is>
          <t>Capacity</t>
        </is>
      </c>
      <c r="B498" s="103">
        <f>IF(A493="","",batches!G84)</f>
        <v/>
      </c>
      <c r="C498" s="101" t="n"/>
      <c r="D498" s="102" t="n"/>
      <c r="G498" s="80" t="inlineStr">
        <is>
          <t>Capacity</t>
        </is>
      </c>
      <c r="H498" s="103">
        <f>IF(G493="","",batches!G85)</f>
        <v/>
      </c>
      <c r="I498" s="101" t="n"/>
      <c r="J498" s="102" t="n"/>
    </row>
    <row r="499" ht="15.75" customHeight="1" s="84">
      <c r="A499" s="80" t="inlineStr">
        <is>
          <t>Enrolled</t>
        </is>
      </c>
      <c r="B499" s="103">
        <f>IF(A493="","",COUNTIF(admissions!$M:$M,batches!A84))</f>
        <v/>
      </c>
      <c r="C499" s="101" t="n"/>
      <c r="D499" s="102" t="n"/>
      <c r="G499" s="80" t="inlineStr">
        <is>
          <t>Enrolled</t>
        </is>
      </c>
      <c r="H499" s="103">
        <f>IF(G493="","",COUNTIF(admissions!$M:$M,batches!A85))</f>
        <v/>
      </c>
      <c r="I499" s="101" t="n"/>
      <c r="J499" s="102" t="n"/>
    </row>
    <row r="500" ht="15.75" customHeight="1" s="84">
      <c r="A500" s="80" t="inlineStr">
        <is>
          <t>Available</t>
        </is>
      </c>
      <c r="B500" s="103">
        <f>IF(OR(batches!A84="",batches!G84=""),"",batches!G84-COUNTIF(admissions!$M:$M,batches!A84))</f>
        <v/>
      </c>
      <c r="C500" s="101" t="n"/>
      <c r="D500" s="102" t="n"/>
      <c r="G500" s="80" t="inlineStr">
        <is>
          <t>Available</t>
        </is>
      </c>
      <c r="H500" s="103">
        <f>IF(OR(batches!A85="",batches!G85=""),"",batches!G85-COUNTIF(admissions!$M:$M,batches!A85))</f>
        <v/>
      </c>
      <c r="I500" s="101" t="n"/>
      <c r="J500" s="102" t="n"/>
    </row>
    <row r="501" ht="15.75" customHeight="1" s="84">
      <c r="A501" s="104" t="inlineStr">
        <is>
          <t>Student List</t>
        </is>
      </c>
      <c r="B501" s="101" t="n"/>
      <c r="C501" s="101" t="n"/>
      <c r="D501" s="102" t="n"/>
      <c r="G501" s="104" t="inlineStr">
        <is>
          <t>Student List</t>
        </is>
      </c>
      <c r="H501" s="101" t="n"/>
      <c r="I501" s="101" t="n"/>
      <c r="J501" s="102" t="n"/>
    </row>
    <row r="502" ht="15.75" customHeight="1" s="84">
      <c r="A502" s="105">
        <f>IFERROR(__xludf.DUMMYFUNCTION("IF(batches!A84="""","""",TEXTJOIN(CHAR(10),TRUE,FILTER(admissions!$G$2:$G$78,admissions!$M$2:$M$78=batches!A84,"""")))"),"")</f>
        <v/>
      </c>
      <c r="B502" s="101" t="n"/>
      <c r="C502" s="101" t="n"/>
      <c r="D502" s="102" t="n"/>
      <c r="G502" s="105">
        <f>IFERROR(__xludf.DUMMYFUNCTION("IF(batches!A85="""","""",TEXTJOIN(CHAR(10),TRUE,FILTER(admissions!$G$2:$G$78,admissions!$M$2:$M$78=batches!A85,"""")))"),"")</f>
        <v/>
      </c>
      <c r="H502" s="101" t="n"/>
      <c r="I502" s="101" t="n"/>
      <c r="J502" s="102" t="n"/>
    </row>
    <row r="503" ht="15.75" customHeight="1" s="84"/>
    <row r="504" ht="15.75" customHeight="1" s="84"/>
    <row r="505" ht="15.75" customHeight="1" s="84">
      <c r="A505" s="100">
        <f>IF(batches!A86="","",batches!A86)</f>
        <v/>
      </c>
      <c r="B505" s="101" t="n"/>
      <c r="C505" s="101" t="n"/>
      <c r="D505" s="102" t="n"/>
      <c r="G505" s="100">
        <f>IF(batches!A87="","",batches!A87)</f>
        <v/>
      </c>
      <c r="H505" s="101" t="n"/>
      <c r="I505" s="101" t="n"/>
      <c r="J505" s="102" t="n"/>
    </row>
    <row r="506" ht="15.75" customHeight="1" s="84">
      <c r="A506" s="80" t="inlineStr">
        <is>
          <t>Level / Mode</t>
        </is>
      </c>
      <c r="B506" s="103">
        <f>IF(A505="","",batches!B86&amp;" / "&amp;batches!C86)</f>
        <v/>
      </c>
      <c r="C506" s="101" t="n"/>
      <c r="D506" s="102" t="n"/>
      <c r="G506" s="80" t="inlineStr">
        <is>
          <t>Level / Mode</t>
        </is>
      </c>
      <c r="H506" s="103">
        <f>IF(G505="","",batches!B87&amp;" / "&amp;batches!C87)</f>
        <v/>
      </c>
      <c r="I506" s="101" t="n"/>
      <c r="J506" s="102" t="n"/>
    </row>
    <row r="507" ht="15.75" customHeight="1" s="84">
      <c r="A507" s="80" t="inlineStr">
        <is>
          <t>Dates</t>
        </is>
      </c>
      <c r="B507" s="103">
        <f>IF(A505="","",TEXT(batches!D86,"yyyy-mm-dd")&amp;" to "&amp;TEXT(batches!E86,"yyyy-mm-dd"))</f>
        <v/>
      </c>
      <c r="C507" s="101" t="n"/>
      <c r="D507" s="102" t="n"/>
      <c r="G507" s="80" t="inlineStr">
        <is>
          <t>Dates</t>
        </is>
      </c>
      <c r="H507" s="103">
        <f>IF(G505="","",TEXT(batches!D87,"yyyy-mm-dd")&amp;" to "&amp;TEXT(batches!E87,"yyyy-mm-dd"))</f>
        <v/>
      </c>
      <c r="I507" s="101" t="n"/>
      <c r="J507" s="102" t="n"/>
    </row>
    <row r="508" ht="15.75" customHeight="1" s="84">
      <c r="A508" s="80" t="inlineStr">
        <is>
          <t>Duration</t>
        </is>
      </c>
      <c r="B508" s="103">
        <f>IF(OR(batches!D86="",batches!E86=""),"",batches!E86-batches!D86+1&amp;" days")</f>
        <v/>
      </c>
      <c r="C508" s="101" t="n"/>
      <c r="D508" s="102" t="n"/>
      <c r="G508" s="80" t="inlineStr">
        <is>
          <t>Duration</t>
        </is>
      </c>
      <c r="H508" s="103">
        <f>IF(OR(batches!D87="",batches!E87=""),"",batches!E87-batches!D87+1&amp;" days")</f>
        <v/>
      </c>
      <c r="I508" s="101" t="n"/>
      <c r="J508" s="102" t="n"/>
    </row>
    <row r="509" ht="15.75" customHeight="1" s="84">
      <c r="A509" s="80" t="inlineStr">
        <is>
          <t>Timing</t>
        </is>
      </c>
      <c r="B509" s="103">
        <f>IF(A505="","",batches!F86)</f>
        <v/>
      </c>
      <c r="C509" s="101" t="n"/>
      <c r="D509" s="102" t="n"/>
      <c r="G509" s="80" t="inlineStr">
        <is>
          <t>Timing</t>
        </is>
      </c>
      <c r="H509" s="103">
        <f>IF(G505="","",batches!F87)</f>
        <v/>
      </c>
      <c r="I509" s="101" t="n"/>
      <c r="J509" s="102" t="n"/>
    </row>
    <row r="510" ht="15.75" customHeight="1" s="84">
      <c r="A510" s="80" t="inlineStr">
        <is>
          <t>Capacity</t>
        </is>
      </c>
      <c r="B510" s="103">
        <f>IF(A505="","",batches!G86)</f>
        <v/>
      </c>
      <c r="C510" s="101" t="n"/>
      <c r="D510" s="102" t="n"/>
      <c r="G510" s="80" t="inlineStr">
        <is>
          <t>Capacity</t>
        </is>
      </c>
      <c r="H510" s="103">
        <f>IF(G505="","",batches!G87)</f>
        <v/>
      </c>
      <c r="I510" s="101" t="n"/>
      <c r="J510" s="102" t="n"/>
    </row>
    <row r="511" ht="15.75" customHeight="1" s="84">
      <c r="A511" s="80" t="inlineStr">
        <is>
          <t>Enrolled</t>
        </is>
      </c>
      <c r="B511" s="103">
        <f>IF(A505="","",COUNTIF(admissions!$M:$M,batches!A86))</f>
        <v/>
      </c>
      <c r="C511" s="101" t="n"/>
      <c r="D511" s="102" t="n"/>
      <c r="G511" s="80" t="inlineStr">
        <is>
          <t>Enrolled</t>
        </is>
      </c>
      <c r="H511" s="103">
        <f>IF(G505="","",COUNTIF(admissions!$M:$M,batches!A87))</f>
        <v/>
      </c>
      <c r="I511" s="101" t="n"/>
      <c r="J511" s="102" t="n"/>
    </row>
    <row r="512" ht="15.75" customHeight="1" s="84">
      <c r="A512" s="80" t="inlineStr">
        <is>
          <t>Available</t>
        </is>
      </c>
      <c r="B512" s="103">
        <f>IF(OR(batches!A86="",batches!G86=""),"",batches!G86-COUNTIF(admissions!$M:$M,batches!A86))</f>
        <v/>
      </c>
      <c r="C512" s="101" t="n"/>
      <c r="D512" s="102" t="n"/>
      <c r="G512" s="80" t="inlineStr">
        <is>
          <t>Available</t>
        </is>
      </c>
      <c r="H512" s="103">
        <f>IF(OR(batches!A87="",batches!G87=""),"",batches!G87-COUNTIF(admissions!$M:$M,batches!A87))</f>
        <v/>
      </c>
      <c r="I512" s="101" t="n"/>
      <c r="J512" s="102" t="n"/>
    </row>
    <row r="513" ht="15.75" customHeight="1" s="84">
      <c r="A513" s="104" t="inlineStr">
        <is>
          <t>Student List</t>
        </is>
      </c>
      <c r="B513" s="101" t="n"/>
      <c r="C513" s="101" t="n"/>
      <c r="D513" s="102" t="n"/>
      <c r="G513" s="104" t="inlineStr">
        <is>
          <t>Student List</t>
        </is>
      </c>
      <c r="H513" s="101" t="n"/>
      <c r="I513" s="101" t="n"/>
      <c r="J513" s="102" t="n"/>
    </row>
    <row r="514" ht="15.75" customHeight="1" s="84">
      <c r="A514" s="105">
        <f>IFERROR(__xludf.DUMMYFUNCTION("IF(batches!A86="""","""",TEXTJOIN(CHAR(10),TRUE,FILTER(admissions!$G$2:$G$78,admissions!$M$2:$M$78=batches!A86,"""")))"),"")</f>
        <v/>
      </c>
      <c r="B514" s="101" t="n"/>
      <c r="C514" s="101" t="n"/>
      <c r="D514" s="102" t="n"/>
      <c r="G514" s="105">
        <f>IFERROR(__xludf.DUMMYFUNCTION("IF(batches!A87="""","""",TEXTJOIN(CHAR(10),TRUE,FILTER(admissions!$G$2:$G$78,admissions!$M$2:$M$78=batches!A87,"""")))"),"")</f>
        <v/>
      </c>
      <c r="H514" s="101" t="n"/>
      <c r="I514" s="101" t="n"/>
      <c r="J514" s="102" t="n"/>
    </row>
    <row r="515" ht="15.75" customHeight="1" s="84"/>
    <row r="516" ht="15.75" customHeight="1" s="84"/>
    <row r="517" ht="15.75" customHeight="1" s="84">
      <c r="A517" s="100">
        <f>IF(batches!A88="","",batches!A88)</f>
        <v/>
      </c>
      <c r="B517" s="101" t="n"/>
      <c r="C517" s="101" t="n"/>
      <c r="D517" s="102" t="n"/>
      <c r="G517" s="100">
        <f>IF(batches!A89="","",batches!A89)</f>
        <v/>
      </c>
      <c r="H517" s="101" t="n"/>
      <c r="I517" s="101" t="n"/>
      <c r="J517" s="102" t="n"/>
    </row>
    <row r="518" ht="15.75" customHeight="1" s="84">
      <c r="A518" s="80" t="inlineStr">
        <is>
          <t>Level / Mode</t>
        </is>
      </c>
      <c r="B518" s="103">
        <f>IF(A517="","",batches!B88&amp;" / "&amp;batches!C88)</f>
        <v/>
      </c>
      <c r="C518" s="101" t="n"/>
      <c r="D518" s="102" t="n"/>
      <c r="G518" s="80" t="inlineStr">
        <is>
          <t>Level / Mode</t>
        </is>
      </c>
      <c r="H518" s="103">
        <f>IF(G517="","",batches!B89&amp;" / "&amp;batches!C89)</f>
        <v/>
      </c>
      <c r="I518" s="101" t="n"/>
      <c r="J518" s="102" t="n"/>
    </row>
    <row r="519" ht="15.75" customHeight="1" s="84">
      <c r="A519" s="80" t="inlineStr">
        <is>
          <t>Dates</t>
        </is>
      </c>
      <c r="B519" s="103">
        <f>IF(A517="","",TEXT(batches!D88,"yyyy-mm-dd")&amp;" to "&amp;TEXT(batches!E88,"yyyy-mm-dd"))</f>
        <v/>
      </c>
      <c r="C519" s="101" t="n"/>
      <c r="D519" s="102" t="n"/>
      <c r="G519" s="80" t="inlineStr">
        <is>
          <t>Dates</t>
        </is>
      </c>
      <c r="H519" s="103">
        <f>IF(G517="","",TEXT(batches!D89,"yyyy-mm-dd")&amp;" to "&amp;TEXT(batches!E89,"yyyy-mm-dd"))</f>
        <v/>
      </c>
      <c r="I519" s="101" t="n"/>
      <c r="J519" s="102" t="n"/>
    </row>
    <row r="520" ht="15.75" customHeight="1" s="84">
      <c r="A520" s="80" t="inlineStr">
        <is>
          <t>Duration</t>
        </is>
      </c>
      <c r="B520" s="103">
        <f>IF(OR(batches!D88="",batches!E88=""),"",batches!E88-batches!D88+1&amp;" days")</f>
        <v/>
      </c>
      <c r="C520" s="101" t="n"/>
      <c r="D520" s="102" t="n"/>
      <c r="G520" s="80" t="inlineStr">
        <is>
          <t>Duration</t>
        </is>
      </c>
      <c r="H520" s="103">
        <f>IF(OR(batches!D89="",batches!E89=""),"",batches!E89-batches!D89+1&amp;" days")</f>
        <v/>
      </c>
      <c r="I520" s="101" t="n"/>
      <c r="J520" s="102" t="n"/>
    </row>
    <row r="521" ht="15.75" customHeight="1" s="84">
      <c r="A521" s="80" t="inlineStr">
        <is>
          <t>Timing</t>
        </is>
      </c>
      <c r="B521" s="103">
        <f>IF(A517="","",batches!F88)</f>
        <v/>
      </c>
      <c r="C521" s="101" t="n"/>
      <c r="D521" s="102" t="n"/>
      <c r="G521" s="80" t="inlineStr">
        <is>
          <t>Timing</t>
        </is>
      </c>
      <c r="H521" s="103">
        <f>IF(G517="","",batches!F89)</f>
        <v/>
      </c>
      <c r="I521" s="101" t="n"/>
      <c r="J521" s="102" t="n"/>
    </row>
    <row r="522" ht="15.75" customHeight="1" s="84">
      <c r="A522" s="80" t="inlineStr">
        <is>
          <t>Capacity</t>
        </is>
      </c>
      <c r="B522" s="103">
        <f>IF(A517="","",batches!G88)</f>
        <v/>
      </c>
      <c r="C522" s="101" t="n"/>
      <c r="D522" s="102" t="n"/>
      <c r="G522" s="80" t="inlineStr">
        <is>
          <t>Capacity</t>
        </is>
      </c>
      <c r="H522" s="103">
        <f>IF(G517="","",batches!G89)</f>
        <v/>
      </c>
      <c r="I522" s="101" t="n"/>
      <c r="J522" s="102" t="n"/>
    </row>
    <row r="523" ht="15.75" customHeight="1" s="84">
      <c r="A523" s="80" t="inlineStr">
        <is>
          <t>Enrolled</t>
        </is>
      </c>
      <c r="B523" s="103">
        <f>IF(A517="","",COUNTIF(admissions!$M:$M,batches!A88))</f>
        <v/>
      </c>
      <c r="C523" s="101" t="n"/>
      <c r="D523" s="102" t="n"/>
      <c r="G523" s="80" t="inlineStr">
        <is>
          <t>Enrolled</t>
        </is>
      </c>
      <c r="H523" s="103">
        <f>IF(G517="","",COUNTIF(admissions!$M:$M,batches!A89))</f>
        <v/>
      </c>
      <c r="I523" s="101" t="n"/>
      <c r="J523" s="102" t="n"/>
    </row>
    <row r="524" ht="15.75" customHeight="1" s="84">
      <c r="A524" s="80" t="inlineStr">
        <is>
          <t>Available</t>
        </is>
      </c>
      <c r="B524" s="103">
        <f>IF(OR(batches!A88="",batches!G88=""),"",batches!G88-COUNTIF(admissions!$M:$M,batches!A88))</f>
        <v/>
      </c>
      <c r="C524" s="101" t="n"/>
      <c r="D524" s="102" t="n"/>
      <c r="G524" s="80" t="inlineStr">
        <is>
          <t>Available</t>
        </is>
      </c>
      <c r="H524" s="103">
        <f>IF(OR(batches!A89="",batches!G89=""),"",batches!G89-COUNTIF(admissions!$M:$M,batches!A89))</f>
        <v/>
      </c>
      <c r="I524" s="101" t="n"/>
      <c r="J524" s="102" t="n"/>
    </row>
    <row r="525" ht="15.75" customHeight="1" s="84">
      <c r="A525" s="104" t="inlineStr">
        <is>
          <t>Student List</t>
        </is>
      </c>
      <c r="B525" s="101" t="n"/>
      <c r="C525" s="101" t="n"/>
      <c r="D525" s="102" t="n"/>
      <c r="G525" s="104" t="inlineStr">
        <is>
          <t>Student List</t>
        </is>
      </c>
      <c r="H525" s="101" t="n"/>
      <c r="I525" s="101" t="n"/>
      <c r="J525" s="102" t="n"/>
    </row>
    <row r="526" ht="15.75" customHeight="1" s="84">
      <c r="A526" s="105">
        <f>IFERROR(__xludf.DUMMYFUNCTION("IF(batches!A88="""","""",TEXTJOIN(CHAR(10),TRUE,FILTER(admissions!$G$2:$G$78,admissions!$M$2:$M$78=batches!A88,"""")))"),"")</f>
        <v/>
      </c>
      <c r="B526" s="101" t="n"/>
      <c r="C526" s="101" t="n"/>
      <c r="D526" s="102" t="n"/>
      <c r="G526" s="105">
        <f>IFERROR(__xludf.DUMMYFUNCTION("IF(batches!A89="""","""",TEXTJOIN(CHAR(10),TRUE,FILTER(admissions!$G$2:$G$78,admissions!$M$2:$M$78=batches!A89,"""")))"),"")</f>
        <v/>
      </c>
      <c r="H526" s="101" t="n"/>
      <c r="I526" s="101" t="n"/>
      <c r="J526" s="102" t="n"/>
    </row>
    <row r="527" ht="15.75" customHeight="1" s="84"/>
    <row r="528" ht="15.75" customHeight="1" s="84"/>
    <row r="529" ht="15.75" customHeight="1" s="84">
      <c r="A529" s="100">
        <f>IF(batches!A90="","",batches!A90)</f>
        <v/>
      </c>
      <c r="B529" s="101" t="n"/>
      <c r="C529" s="101" t="n"/>
      <c r="D529" s="102" t="n"/>
      <c r="G529" s="100">
        <f>IF(batches!A91="","",batches!A91)</f>
        <v/>
      </c>
      <c r="H529" s="101" t="n"/>
      <c r="I529" s="101" t="n"/>
      <c r="J529" s="102" t="n"/>
    </row>
    <row r="530" ht="15.75" customHeight="1" s="84">
      <c r="A530" s="80" t="inlineStr">
        <is>
          <t>Level / Mode</t>
        </is>
      </c>
      <c r="B530" s="103">
        <f>IF(A529="","",batches!B90&amp;" / "&amp;batches!C90)</f>
        <v/>
      </c>
      <c r="C530" s="101" t="n"/>
      <c r="D530" s="102" t="n"/>
      <c r="G530" s="80" t="inlineStr">
        <is>
          <t>Level / Mode</t>
        </is>
      </c>
      <c r="H530" s="103">
        <f>IF(G529="","",batches!B91&amp;" / "&amp;batches!C91)</f>
        <v/>
      </c>
      <c r="I530" s="101" t="n"/>
      <c r="J530" s="102" t="n"/>
    </row>
    <row r="531" ht="15.75" customHeight="1" s="84">
      <c r="A531" s="80" t="inlineStr">
        <is>
          <t>Dates</t>
        </is>
      </c>
      <c r="B531" s="103">
        <f>IF(A529="","",TEXT(batches!D90,"yyyy-mm-dd")&amp;" to "&amp;TEXT(batches!E90,"yyyy-mm-dd"))</f>
        <v/>
      </c>
      <c r="C531" s="101" t="n"/>
      <c r="D531" s="102" t="n"/>
      <c r="G531" s="80" t="inlineStr">
        <is>
          <t>Dates</t>
        </is>
      </c>
      <c r="H531" s="103">
        <f>IF(G529="","",TEXT(batches!D91,"yyyy-mm-dd")&amp;" to "&amp;TEXT(batches!E91,"yyyy-mm-dd"))</f>
        <v/>
      </c>
      <c r="I531" s="101" t="n"/>
      <c r="J531" s="102" t="n"/>
    </row>
    <row r="532" ht="15.75" customHeight="1" s="84">
      <c r="A532" s="80" t="inlineStr">
        <is>
          <t>Duration</t>
        </is>
      </c>
      <c r="B532" s="103">
        <f>IF(OR(batches!D90="",batches!E90=""),"",batches!E90-batches!D90+1&amp;" days")</f>
        <v/>
      </c>
      <c r="C532" s="101" t="n"/>
      <c r="D532" s="102" t="n"/>
      <c r="G532" s="80" t="inlineStr">
        <is>
          <t>Duration</t>
        </is>
      </c>
      <c r="H532" s="103">
        <f>IF(OR(batches!D91="",batches!E91=""),"",batches!E91-batches!D91+1&amp;" days")</f>
        <v/>
      </c>
      <c r="I532" s="101" t="n"/>
      <c r="J532" s="102" t="n"/>
    </row>
    <row r="533" ht="15.75" customHeight="1" s="84">
      <c r="A533" s="80" t="inlineStr">
        <is>
          <t>Timing</t>
        </is>
      </c>
      <c r="B533" s="103">
        <f>IF(A529="","",batches!F90)</f>
        <v/>
      </c>
      <c r="C533" s="101" t="n"/>
      <c r="D533" s="102" t="n"/>
      <c r="G533" s="80" t="inlineStr">
        <is>
          <t>Timing</t>
        </is>
      </c>
      <c r="H533" s="103">
        <f>IF(G529="","",batches!F91)</f>
        <v/>
      </c>
      <c r="I533" s="101" t="n"/>
      <c r="J533" s="102" t="n"/>
    </row>
    <row r="534" ht="15.75" customHeight="1" s="84">
      <c r="A534" s="80" t="inlineStr">
        <is>
          <t>Capacity</t>
        </is>
      </c>
      <c r="B534" s="103">
        <f>IF(A529="","",batches!G90)</f>
        <v/>
      </c>
      <c r="C534" s="101" t="n"/>
      <c r="D534" s="102" t="n"/>
      <c r="G534" s="80" t="inlineStr">
        <is>
          <t>Capacity</t>
        </is>
      </c>
      <c r="H534" s="103">
        <f>IF(G529="","",batches!G91)</f>
        <v/>
      </c>
      <c r="I534" s="101" t="n"/>
      <c r="J534" s="102" t="n"/>
    </row>
    <row r="535" ht="15.75" customHeight="1" s="84">
      <c r="A535" s="80" t="inlineStr">
        <is>
          <t>Enrolled</t>
        </is>
      </c>
      <c r="B535" s="103">
        <f>IF(A529="","",COUNTIF(admissions!$M:$M,batches!A90))</f>
        <v/>
      </c>
      <c r="C535" s="101" t="n"/>
      <c r="D535" s="102" t="n"/>
      <c r="G535" s="80" t="inlineStr">
        <is>
          <t>Enrolled</t>
        </is>
      </c>
      <c r="H535" s="103">
        <f>IF(G529="","",COUNTIF(admissions!$M:$M,batches!A91))</f>
        <v/>
      </c>
      <c r="I535" s="101" t="n"/>
      <c r="J535" s="102" t="n"/>
    </row>
    <row r="536" ht="15.75" customHeight="1" s="84">
      <c r="A536" s="80" t="inlineStr">
        <is>
          <t>Available</t>
        </is>
      </c>
      <c r="B536" s="103">
        <f>IF(OR(batches!A90="",batches!G90=""),"",batches!G90-COUNTIF(admissions!$M:$M,batches!A90))</f>
        <v/>
      </c>
      <c r="C536" s="101" t="n"/>
      <c r="D536" s="102" t="n"/>
      <c r="G536" s="80" t="inlineStr">
        <is>
          <t>Available</t>
        </is>
      </c>
      <c r="H536" s="103">
        <f>IF(OR(batches!A91="",batches!G91=""),"",batches!G91-COUNTIF(admissions!$M:$M,batches!A91))</f>
        <v/>
      </c>
      <c r="I536" s="101" t="n"/>
      <c r="J536" s="102" t="n"/>
    </row>
    <row r="537" ht="15.75" customHeight="1" s="84">
      <c r="A537" s="104" t="inlineStr">
        <is>
          <t>Student List</t>
        </is>
      </c>
      <c r="B537" s="101" t="n"/>
      <c r="C537" s="101" t="n"/>
      <c r="D537" s="102" t="n"/>
      <c r="G537" s="104" t="inlineStr">
        <is>
          <t>Student List</t>
        </is>
      </c>
      <c r="H537" s="101" t="n"/>
      <c r="I537" s="101" t="n"/>
      <c r="J537" s="102" t="n"/>
    </row>
    <row r="538" ht="15.75" customHeight="1" s="84">
      <c r="A538" s="105">
        <f>IFERROR(__xludf.DUMMYFUNCTION("IF(batches!A90="""","""",TEXTJOIN(CHAR(10),TRUE,FILTER(admissions!$G$2:$G$78,admissions!$M$2:$M$78=batches!A90,"""")))"),"")</f>
        <v/>
      </c>
      <c r="B538" s="101" t="n"/>
      <c r="C538" s="101" t="n"/>
      <c r="D538" s="102" t="n"/>
      <c r="G538" s="105">
        <f>IFERROR(__xludf.DUMMYFUNCTION("IF(batches!A91="""","""",TEXTJOIN(CHAR(10),TRUE,FILTER(admissions!$G$2:$G$78,admissions!$M$2:$M$78=batches!A91,"""")))"),"")</f>
        <v/>
      </c>
      <c r="H538" s="101" t="n"/>
      <c r="I538" s="101" t="n"/>
      <c r="J538" s="102" t="n"/>
    </row>
    <row r="539" ht="15.75" customHeight="1" s="84"/>
    <row r="540" ht="15.75" customHeight="1" s="84"/>
    <row r="541" ht="15.75" customHeight="1" s="84">
      <c r="A541" s="100">
        <f>IF(batches!A92="","",batches!A92)</f>
        <v/>
      </c>
      <c r="B541" s="101" t="n"/>
      <c r="C541" s="101" t="n"/>
      <c r="D541" s="102" t="n"/>
      <c r="G541" s="100">
        <f>IF(batches!A93="","",batches!A93)</f>
        <v/>
      </c>
      <c r="H541" s="101" t="n"/>
      <c r="I541" s="101" t="n"/>
      <c r="J541" s="102" t="n"/>
    </row>
    <row r="542" ht="15.75" customHeight="1" s="84">
      <c r="A542" s="80" t="inlineStr">
        <is>
          <t>Level / Mode</t>
        </is>
      </c>
      <c r="B542" s="103">
        <f>IF(A541="","",batches!B92&amp;" / "&amp;batches!C92)</f>
        <v/>
      </c>
      <c r="C542" s="101" t="n"/>
      <c r="D542" s="102" t="n"/>
      <c r="G542" s="80" t="inlineStr">
        <is>
          <t>Level / Mode</t>
        </is>
      </c>
      <c r="H542" s="103">
        <f>IF(G541="","",batches!B93&amp;" / "&amp;batches!C93)</f>
        <v/>
      </c>
      <c r="I542" s="101" t="n"/>
      <c r="J542" s="102" t="n"/>
    </row>
    <row r="543" ht="15.75" customHeight="1" s="84">
      <c r="A543" s="80" t="inlineStr">
        <is>
          <t>Dates</t>
        </is>
      </c>
      <c r="B543" s="103">
        <f>IF(A541="","",TEXT(batches!D92,"yyyy-mm-dd")&amp;" to "&amp;TEXT(batches!E92,"yyyy-mm-dd"))</f>
        <v/>
      </c>
      <c r="C543" s="101" t="n"/>
      <c r="D543" s="102" t="n"/>
      <c r="G543" s="80" t="inlineStr">
        <is>
          <t>Dates</t>
        </is>
      </c>
      <c r="H543" s="103">
        <f>IF(G541="","",TEXT(batches!D93,"yyyy-mm-dd")&amp;" to "&amp;TEXT(batches!E93,"yyyy-mm-dd"))</f>
        <v/>
      </c>
      <c r="I543" s="101" t="n"/>
      <c r="J543" s="102" t="n"/>
    </row>
    <row r="544" ht="15.75" customHeight="1" s="84">
      <c r="A544" s="80" t="inlineStr">
        <is>
          <t>Duration</t>
        </is>
      </c>
      <c r="B544" s="103">
        <f>IF(OR(batches!D92="",batches!E92=""),"",batches!E92-batches!D92+1&amp;" days")</f>
        <v/>
      </c>
      <c r="C544" s="101" t="n"/>
      <c r="D544" s="102" t="n"/>
      <c r="G544" s="80" t="inlineStr">
        <is>
          <t>Duration</t>
        </is>
      </c>
      <c r="H544" s="103">
        <f>IF(OR(batches!D93="",batches!E93=""),"",batches!E93-batches!D93+1&amp;" days")</f>
        <v/>
      </c>
      <c r="I544" s="101" t="n"/>
      <c r="J544" s="102" t="n"/>
    </row>
    <row r="545" ht="15.75" customHeight="1" s="84">
      <c r="A545" s="80" t="inlineStr">
        <is>
          <t>Timing</t>
        </is>
      </c>
      <c r="B545" s="103">
        <f>IF(A541="","",batches!F92)</f>
        <v/>
      </c>
      <c r="C545" s="101" t="n"/>
      <c r="D545" s="102" t="n"/>
      <c r="G545" s="80" t="inlineStr">
        <is>
          <t>Timing</t>
        </is>
      </c>
      <c r="H545" s="103">
        <f>IF(G541="","",batches!F93)</f>
        <v/>
      </c>
      <c r="I545" s="101" t="n"/>
      <c r="J545" s="102" t="n"/>
    </row>
    <row r="546" ht="15.75" customHeight="1" s="84">
      <c r="A546" s="80" t="inlineStr">
        <is>
          <t>Capacity</t>
        </is>
      </c>
      <c r="B546" s="103">
        <f>IF(A541="","",batches!G92)</f>
        <v/>
      </c>
      <c r="C546" s="101" t="n"/>
      <c r="D546" s="102" t="n"/>
      <c r="G546" s="80" t="inlineStr">
        <is>
          <t>Capacity</t>
        </is>
      </c>
      <c r="H546" s="103">
        <f>IF(G541="","",batches!G93)</f>
        <v/>
      </c>
      <c r="I546" s="101" t="n"/>
      <c r="J546" s="102" t="n"/>
    </row>
    <row r="547" ht="15.75" customHeight="1" s="84">
      <c r="A547" s="80" t="inlineStr">
        <is>
          <t>Enrolled</t>
        </is>
      </c>
      <c r="B547" s="103">
        <f>IF(A541="","",COUNTIF(admissions!$M:$M,batches!A92))</f>
        <v/>
      </c>
      <c r="C547" s="101" t="n"/>
      <c r="D547" s="102" t="n"/>
      <c r="G547" s="80" t="inlineStr">
        <is>
          <t>Enrolled</t>
        </is>
      </c>
      <c r="H547" s="103">
        <f>IF(G541="","",COUNTIF(admissions!$M:$M,batches!A93))</f>
        <v/>
      </c>
      <c r="I547" s="101" t="n"/>
      <c r="J547" s="102" t="n"/>
    </row>
    <row r="548" ht="15.75" customHeight="1" s="84">
      <c r="A548" s="80" t="inlineStr">
        <is>
          <t>Available</t>
        </is>
      </c>
      <c r="B548" s="103">
        <f>IF(OR(batches!A92="",batches!G92=""),"",batches!G92-COUNTIF(admissions!$M:$M,batches!A92))</f>
        <v/>
      </c>
      <c r="C548" s="101" t="n"/>
      <c r="D548" s="102" t="n"/>
      <c r="G548" s="80" t="inlineStr">
        <is>
          <t>Available</t>
        </is>
      </c>
      <c r="H548" s="103">
        <f>IF(OR(batches!A93="",batches!G93=""),"",batches!G93-COUNTIF(admissions!$M:$M,batches!A93))</f>
        <v/>
      </c>
      <c r="I548" s="101" t="n"/>
      <c r="J548" s="102" t="n"/>
    </row>
    <row r="549" ht="15.75" customHeight="1" s="84">
      <c r="A549" s="104" t="inlineStr">
        <is>
          <t>Student List</t>
        </is>
      </c>
      <c r="B549" s="101" t="n"/>
      <c r="C549" s="101" t="n"/>
      <c r="D549" s="102" t="n"/>
      <c r="G549" s="104" t="inlineStr">
        <is>
          <t>Student List</t>
        </is>
      </c>
      <c r="H549" s="101" t="n"/>
      <c r="I549" s="101" t="n"/>
      <c r="J549" s="102" t="n"/>
    </row>
    <row r="550" ht="15.75" customHeight="1" s="84">
      <c r="A550" s="105">
        <f>IFERROR(__xludf.DUMMYFUNCTION("IF(batches!A92="""","""",TEXTJOIN(CHAR(10),TRUE,FILTER(admissions!$G$2:$G$78,admissions!$M$2:$M$78=batches!A92,"""")))"),"")</f>
        <v/>
      </c>
      <c r="B550" s="101" t="n"/>
      <c r="C550" s="101" t="n"/>
      <c r="D550" s="102" t="n"/>
      <c r="G550" s="105">
        <f>IFERROR(__xludf.DUMMYFUNCTION("IF(batches!A93="""","""",TEXTJOIN(CHAR(10),TRUE,FILTER(admissions!$G$2:$G$78,admissions!$M$2:$M$78=batches!A93,"""")))"),"")</f>
        <v/>
      </c>
      <c r="H550" s="101" t="n"/>
      <c r="I550" s="101" t="n"/>
      <c r="J550" s="102" t="n"/>
    </row>
    <row r="551" ht="15.75" customHeight="1" s="84"/>
    <row r="552" ht="15.75" customHeight="1" s="84"/>
    <row r="553" ht="15.75" customHeight="1" s="84">
      <c r="A553" s="100">
        <f>IF(batches!A94="","",batches!A94)</f>
        <v/>
      </c>
      <c r="B553" s="101" t="n"/>
      <c r="C553" s="101" t="n"/>
      <c r="D553" s="102" t="n"/>
      <c r="G553" s="100">
        <f>IF(batches!A95="","",batches!A95)</f>
        <v/>
      </c>
      <c r="H553" s="101" t="n"/>
      <c r="I553" s="101" t="n"/>
      <c r="J553" s="102" t="n"/>
    </row>
    <row r="554" ht="15.75" customHeight="1" s="84">
      <c r="A554" s="80" t="inlineStr">
        <is>
          <t>Level / Mode</t>
        </is>
      </c>
      <c r="B554" s="103">
        <f>IF(A553="","",batches!B94&amp;" / "&amp;batches!C94)</f>
        <v/>
      </c>
      <c r="C554" s="101" t="n"/>
      <c r="D554" s="102" t="n"/>
      <c r="G554" s="80" t="inlineStr">
        <is>
          <t>Level / Mode</t>
        </is>
      </c>
      <c r="H554" s="103">
        <f>IF(G553="","",batches!B95&amp;" / "&amp;batches!C95)</f>
        <v/>
      </c>
      <c r="I554" s="101" t="n"/>
      <c r="J554" s="102" t="n"/>
    </row>
    <row r="555" ht="15.75" customHeight="1" s="84">
      <c r="A555" s="80" t="inlineStr">
        <is>
          <t>Dates</t>
        </is>
      </c>
      <c r="B555" s="103">
        <f>IF(A553="","",TEXT(batches!D94,"yyyy-mm-dd")&amp;" to "&amp;TEXT(batches!E94,"yyyy-mm-dd"))</f>
        <v/>
      </c>
      <c r="C555" s="101" t="n"/>
      <c r="D555" s="102" t="n"/>
      <c r="G555" s="80" t="inlineStr">
        <is>
          <t>Dates</t>
        </is>
      </c>
      <c r="H555" s="103">
        <f>IF(G553="","",TEXT(batches!D95,"yyyy-mm-dd")&amp;" to "&amp;TEXT(batches!E95,"yyyy-mm-dd"))</f>
        <v/>
      </c>
      <c r="I555" s="101" t="n"/>
      <c r="J555" s="102" t="n"/>
    </row>
    <row r="556" ht="15.75" customHeight="1" s="84">
      <c r="A556" s="80" t="inlineStr">
        <is>
          <t>Duration</t>
        </is>
      </c>
      <c r="B556" s="103">
        <f>IF(OR(batches!D94="",batches!E94=""),"",batches!E94-batches!D94+1&amp;" days")</f>
        <v/>
      </c>
      <c r="C556" s="101" t="n"/>
      <c r="D556" s="102" t="n"/>
      <c r="G556" s="80" t="inlineStr">
        <is>
          <t>Duration</t>
        </is>
      </c>
      <c r="H556" s="103">
        <f>IF(OR(batches!D95="",batches!E95=""),"",batches!E95-batches!D95+1&amp;" days")</f>
        <v/>
      </c>
      <c r="I556" s="101" t="n"/>
      <c r="J556" s="102" t="n"/>
    </row>
    <row r="557" ht="15.75" customHeight="1" s="84">
      <c r="A557" s="80" t="inlineStr">
        <is>
          <t>Timing</t>
        </is>
      </c>
      <c r="B557" s="103">
        <f>IF(A553="","",batches!F94)</f>
        <v/>
      </c>
      <c r="C557" s="101" t="n"/>
      <c r="D557" s="102" t="n"/>
      <c r="G557" s="80" t="inlineStr">
        <is>
          <t>Timing</t>
        </is>
      </c>
      <c r="H557" s="103">
        <f>IF(G553="","",batches!F95)</f>
        <v/>
      </c>
      <c r="I557" s="101" t="n"/>
      <c r="J557" s="102" t="n"/>
    </row>
    <row r="558" ht="15.75" customHeight="1" s="84">
      <c r="A558" s="80" t="inlineStr">
        <is>
          <t>Capacity</t>
        </is>
      </c>
      <c r="B558" s="103">
        <f>IF(A553="","",batches!G94)</f>
        <v/>
      </c>
      <c r="C558" s="101" t="n"/>
      <c r="D558" s="102" t="n"/>
      <c r="G558" s="80" t="inlineStr">
        <is>
          <t>Capacity</t>
        </is>
      </c>
      <c r="H558" s="103">
        <f>IF(G553="","",batches!G95)</f>
        <v/>
      </c>
      <c r="I558" s="101" t="n"/>
      <c r="J558" s="102" t="n"/>
    </row>
    <row r="559" ht="15.75" customHeight="1" s="84">
      <c r="A559" s="80" t="inlineStr">
        <is>
          <t>Enrolled</t>
        </is>
      </c>
      <c r="B559" s="103">
        <f>IF(A553="","",COUNTIF(admissions!$M:$M,batches!A94))</f>
        <v/>
      </c>
      <c r="C559" s="101" t="n"/>
      <c r="D559" s="102" t="n"/>
      <c r="G559" s="80" t="inlineStr">
        <is>
          <t>Enrolled</t>
        </is>
      </c>
      <c r="H559" s="103">
        <f>IF(G553="","",COUNTIF(admissions!$M:$M,batches!A95))</f>
        <v/>
      </c>
      <c r="I559" s="101" t="n"/>
      <c r="J559" s="102" t="n"/>
    </row>
    <row r="560" ht="15.75" customHeight="1" s="84">
      <c r="A560" s="80" t="inlineStr">
        <is>
          <t>Available</t>
        </is>
      </c>
      <c r="B560" s="103">
        <f>IF(OR(batches!A94="",batches!G94=""),"",batches!G94-COUNTIF(admissions!$M:$M,batches!A94))</f>
        <v/>
      </c>
      <c r="C560" s="101" t="n"/>
      <c r="D560" s="102" t="n"/>
      <c r="G560" s="80" t="inlineStr">
        <is>
          <t>Available</t>
        </is>
      </c>
      <c r="H560" s="103">
        <f>IF(OR(batches!A95="",batches!G95=""),"",batches!G95-COUNTIF(admissions!$M:$M,batches!A95))</f>
        <v/>
      </c>
      <c r="I560" s="101" t="n"/>
      <c r="J560" s="102" t="n"/>
    </row>
    <row r="561" ht="15.75" customHeight="1" s="84">
      <c r="A561" s="104" t="inlineStr">
        <is>
          <t>Student List</t>
        </is>
      </c>
      <c r="B561" s="101" t="n"/>
      <c r="C561" s="101" t="n"/>
      <c r="D561" s="102" t="n"/>
      <c r="G561" s="104" t="inlineStr">
        <is>
          <t>Student List</t>
        </is>
      </c>
      <c r="H561" s="101" t="n"/>
      <c r="I561" s="101" t="n"/>
      <c r="J561" s="102" t="n"/>
    </row>
    <row r="562" ht="15.75" customHeight="1" s="84">
      <c r="A562" s="105">
        <f>IFERROR(__xludf.DUMMYFUNCTION("IF(batches!A94="""","""",TEXTJOIN(CHAR(10),TRUE,FILTER(admissions!$G$2:$G$78,admissions!$M$2:$M$78=batches!A94,"""")))"),"")</f>
        <v/>
      </c>
      <c r="B562" s="101" t="n"/>
      <c r="C562" s="101" t="n"/>
      <c r="D562" s="102" t="n"/>
      <c r="G562" s="105">
        <f>IFERROR(__xludf.DUMMYFUNCTION("IF(batches!A95="""","""",TEXTJOIN(CHAR(10),TRUE,FILTER(admissions!$G$2:$G$78,admissions!$M$2:$M$78=batches!A95,"""")))"),"")</f>
        <v/>
      </c>
      <c r="H562" s="101" t="n"/>
      <c r="I562" s="101" t="n"/>
      <c r="J562" s="102" t="n"/>
    </row>
    <row r="563" ht="15.75" customHeight="1" s="84"/>
    <row r="564" ht="15.75" customHeight="1" s="84"/>
    <row r="565" ht="15.75" customHeight="1" s="84">
      <c r="A565" s="100">
        <f>IF(batches!A96="","",batches!A96)</f>
        <v/>
      </c>
      <c r="B565" s="101" t="n"/>
      <c r="C565" s="101" t="n"/>
      <c r="D565" s="102" t="n"/>
      <c r="G565" s="100">
        <f>IF(batches!A97="","",batches!A97)</f>
        <v/>
      </c>
      <c r="H565" s="101" t="n"/>
      <c r="I565" s="101" t="n"/>
      <c r="J565" s="102" t="n"/>
    </row>
    <row r="566" ht="15.75" customHeight="1" s="84">
      <c r="A566" s="80" t="inlineStr">
        <is>
          <t>Level / Mode</t>
        </is>
      </c>
      <c r="B566" s="103">
        <f>IF(A565="","",batches!B96&amp;" / "&amp;batches!C96)</f>
        <v/>
      </c>
      <c r="C566" s="101" t="n"/>
      <c r="D566" s="102" t="n"/>
      <c r="G566" s="80" t="inlineStr">
        <is>
          <t>Level / Mode</t>
        </is>
      </c>
      <c r="H566" s="103">
        <f>IF(G565="","",batches!B97&amp;" / "&amp;batches!C97)</f>
        <v/>
      </c>
      <c r="I566" s="101" t="n"/>
      <c r="J566" s="102" t="n"/>
    </row>
    <row r="567" ht="15.75" customHeight="1" s="84">
      <c r="A567" s="80" t="inlineStr">
        <is>
          <t>Dates</t>
        </is>
      </c>
      <c r="B567" s="103">
        <f>IF(A565="","",TEXT(batches!D96,"yyyy-mm-dd")&amp;" to "&amp;TEXT(batches!E96,"yyyy-mm-dd"))</f>
        <v/>
      </c>
      <c r="C567" s="101" t="n"/>
      <c r="D567" s="102" t="n"/>
      <c r="G567" s="80" t="inlineStr">
        <is>
          <t>Dates</t>
        </is>
      </c>
      <c r="H567" s="103">
        <f>IF(G565="","",TEXT(batches!D97,"yyyy-mm-dd")&amp;" to "&amp;TEXT(batches!E97,"yyyy-mm-dd"))</f>
        <v/>
      </c>
      <c r="I567" s="101" t="n"/>
      <c r="J567" s="102" t="n"/>
    </row>
    <row r="568" ht="15.75" customHeight="1" s="84">
      <c r="A568" s="80" t="inlineStr">
        <is>
          <t>Duration</t>
        </is>
      </c>
      <c r="B568" s="103">
        <f>IF(OR(batches!D96="",batches!E96=""),"",batches!E96-batches!D96+1&amp;" days")</f>
        <v/>
      </c>
      <c r="C568" s="101" t="n"/>
      <c r="D568" s="102" t="n"/>
      <c r="G568" s="80" t="inlineStr">
        <is>
          <t>Duration</t>
        </is>
      </c>
      <c r="H568" s="103">
        <f>IF(OR(batches!D97="",batches!E97=""),"",batches!E97-batches!D97+1&amp;" days")</f>
        <v/>
      </c>
      <c r="I568" s="101" t="n"/>
      <c r="J568" s="102" t="n"/>
    </row>
    <row r="569" ht="15.75" customHeight="1" s="84">
      <c r="A569" s="80" t="inlineStr">
        <is>
          <t>Timing</t>
        </is>
      </c>
      <c r="B569" s="103">
        <f>IF(A565="","",batches!F96)</f>
        <v/>
      </c>
      <c r="C569" s="101" t="n"/>
      <c r="D569" s="102" t="n"/>
      <c r="G569" s="80" t="inlineStr">
        <is>
          <t>Timing</t>
        </is>
      </c>
      <c r="H569" s="103">
        <f>IF(G565="","",batches!F97)</f>
        <v/>
      </c>
      <c r="I569" s="101" t="n"/>
      <c r="J569" s="102" t="n"/>
    </row>
    <row r="570" ht="15.75" customHeight="1" s="84">
      <c r="A570" s="80" t="inlineStr">
        <is>
          <t>Capacity</t>
        </is>
      </c>
      <c r="B570" s="103">
        <f>IF(A565="","",batches!G96)</f>
        <v/>
      </c>
      <c r="C570" s="101" t="n"/>
      <c r="D570" s="102" t="n"/>
      <c r="G570" s="80" t="inlineStr">
        <is>
          <t>Capacity</t>
        </is>
      </c>
      <c r="H570" s="103">
        <f>IF(G565="","",batches!G97)</f>
        <v/>
      </c>
      <c r="I570" s="101" t="n"/>
      <c r="J570" s="102" t="n"/>
    </row>
    <row r="571" ht="15.75" customHeight="1" s="84">
      <c r="A571" s="80" t="inlineStr">
        <is>
          <t>Enrolled</t>
        </is>
      </c>
      <c r="B571" s="103">
        <f>IF(A565="","",COUNTIF(admissions!$M:$M,batches!A96))</f>
        <v/>
      </c>
      <c r="C571" s="101" t="n"/>
      <c r="D571" s="102" t="n"/>
      <c r="G571" s="80" t="inlineStr">
        <is>
          <t>Enrolled</t>
        </is>
      </c>
      <c r="H571" s="103">
        <f>IF(G565="","",COUNTIF(admissions!$M:$M,batches!A97))</f>
        <v/>
      </c>
      <c r="I571" s="101" t="n"/>
      <c r="J571" s="102" t="n"/>
    </row>
    <row r="572" ht="15.75" customHeight="1" s="84">
      <c r="A572" s="80" t="inlineStr">
        <is>
          <t>Available</t>
        </is>
      </c>
      <c r="B572" s="103">
        <f>IF(OR(batches!A96="",batches!G96=""),"",batches!G96-COUNTIF(admissions!$M:$M,batches!A96))</f>
        <v/>
      </c>
      <c r="C572" s="101" t="n"/>
      <c r="D572" s="102" t="n"/>
      <c r="G572" s="80" t="inlineStr">
        <is>
          <t>Available</t>
        </is>
      </c>
      <c r="H572" s="103">
        <f>IF(OR(batches!A97="",batches!G97=""),"",batches!G97-COUNTIF(admissions!$M:$M,batches!A97))</f>
        <v/>
      </c>
      <c r="I572" s="101" t="n"/>
      <c r="J572" s="102" t="n"/>
    </row>
    <row r="573" ht="15.75" customHeight="1" s="84">
      <c r="A573" s="104" t="inlineStr">
        <is>
          <t>Student List</t>
        </is>
      </c>
      <c r="B573" s="101" t="n"/>
      <c r="C573" s="101" t="n"/>
      <c r="D573" s="102" t="n"/>
      <c r="G573" s="104" t="inlineStr">
        <is>
          <t>Student List</t>
        </is>
      </c>
      <c r="H573" s="101" t="n"/>
      <c r="I573" s="101" t="n"/>
      <c r="J573" s="102" t="n"/>
    </row>
    <row r="574" ht="15.75" customHeight="1" s="84">
      <c r="A574" s="105">
        <f>IFERROR(__xludf.DUMMYFUNCTION("IF(batches!A96="""","""",TEXTJOIN(CHAR(10),TRUE,FILTER(admissions!$G$2:$G$78,admissions!$M$2:$M$78=batches!A96,"""")))"),"")</f>
        <v/>
      </c>
      <c r="B574" s="101" t="n"/>
      <c r="C574" s="101" t="n"/>
      <c r="D574" s="102" t="n"/>
      <c r="G574" s="105">
        <f>IFERROR(__xludf.DUMMYFUNCTION("IF(batches!A97="""","""",TEXTJOIN(CHAR(10),TRUE,FILTER(admissions!$G$2:$G$78,admissions!$M$2:$M$78=batches!A97,"""")))"),"")</f>
        <v/>
      </c>
      <c r="H574" s="101" t="n"/>
      <c r="I574" s="101" t="n"/>
      <c r="J574" s="102" t="n"/>
    </row>
    <row r="575" ht="15.75" customHeight="1" s="84"/>
    <row r="576" ht="15.75" customHeight="1" s="84"/>
    <row r="577" ht="15.75" customHeight="1" s="84">
      <c r="A577" s="100">
        <f>IF(batches!A98="","",batches!A98)</f>
        <v/>
      </c>
      <c r="B577" s="101" t="n"/>
      <c r="C577" s="101" t="n"/>
      <c r="D577" s="102" t="n"/>
      <c r="G577" s="100">
        <f>IF(batches!A99="","",batches!A99)</f>
        <v/>
      </c>
      <c r="H577" s="101" t="n"/>
      <c r="I577" s="101" t="n"/>
      <c r="J577" s="102" t="n"/>
    </row>
    <row r="578" ht="15.75" customHeight="1" s="84">
      <c r="A578" s="80" t="inlineStr">
        <is>
          <t>Level / Mode</t>
        </is>
      </c>
      <c r="B578" s="103">
        <f>IF(A577="","",batches!B98&amp;" / "&amp;batches!C98)</f>
        <v/>
      </c>
      <c r="C578" s="101" t="n"/>
      <c r="D578" s="102" t="n"/>
      <c r="G578" s="80" t="inlineStr">
        <is>
          <t>Level / Mode</t>
        </is>
      </c>
      <c r="H578" s="103">
        <f>IF(G577="","",batches!B99&amp;" / "&amp;batches!C99)</f>
        <v/>
      </c>
      <c r="I578" s="101" t="n"/>
      <c r="J578" s="102" t="n"/>
    </row>
    <row r="579" ht="15.75" customHeight="1" s="84">
      <c r="A579" s="80" t="inlineStr">
        <is>
          <t>Dates</t>
        </is>
      </c>
      <c r="B579" s="103">
        <f>IF(A577="","",TEXT(batches!D98,"yyyy-mm-dd")&amp;" to "&amp;TEXT(batches!E98,"yyyy-mm-dd"))</f>
        <v/>
      </c>
      <c r="C579" s="101" t="n"/>
      <c r="D579" s="102" t="n"/>
      <c r="G579" s="80" t="inlineStr">
        <is>
          <t>Dates</t>
        </is>
      </c>
      <c r="H579" s="103">
        <f>IF(G577="","",TEXT(batches!D99,"yyyy-mm-dd")&amp;" to "&amp;TEXT(batches!E99,"yyyy-mm-dd"))</f>
        <v/>
      </c>
      <c r="I579" s="101" t="n"/>
      <c r="J579" s="102" t="n"/>
    </row>
    <row r="580" ht="15.75" customHeight="1" s="84">
      <c r="A580" s="80" t="inlineStr">
        <is>
          <t>Duration</t>
        </is>
      </c>
      <c r="B580" s="103">
        <f>IF(OR(batches!D98="",batches!E98=""),"",batches!E98-batches!D98+1&amp;" days")</f>
        <v/>
      </c>
      <c r="C580" s="101" t="n"/>
      <c r="D580" s="102" t="n"/>
      <c r="G580" s="80" t="inlineStr">
        <is>
          <t>Duration</t>
        </is>
      </c>
      <c r="H580" s="103">
        <f>IF(OR(batches!D99="",batches!E99=""),"",batches!E99-batches!D99+1&amp;" days")</f>
        <v/>
      </c>
      <c r="I580" s="101" t="n"/>
      <c r="J580" s="102" t="n"/>
    </row>
    <row r="581" ht="15.75" customHeight="1" s="84">
      <c r="A581" s="80" t="inlineStr">
        <is>
          <t>Timing</t>
        </is>
      </c>
      <c r="B581" s="103">
        <f>IF(A577="","",batches!F98)</f>
        <v/>
      </c>
      <c r="C581" s="101" t="n"/>
      <c r="D581" s="102" t="n"/>
      <c r="G581" s="80" t="inlineStr">
        <is>
          <t>Timing</t>
        </is>
      </c>
      <c r="H581" s="103">
        <f>IF(G577="","",batches!F99)</f>
        <v/>
      </c>
      <c r="I581" s="101" t="n"/>
      <c r="J581" s="102" t="n"/>
    </row>
    <row r="582" ht="15.75" customHeight="1" s="84">
      <c r="A582" s="80" t="inlineStr">
        <is>
          <t>Capacity</t>
        </is>
      </c>
      <c r="B582" s="103">
        <f>IF(A577="","",batches!G98)</f>
        <v/>
      </c>
      <c r="C582" s="101" t="n"/>
      <c r="D582" s="102" t="n"/>
      <c r="G582" s="80" t="inlineStr">
        <is>
          <t>Capacity</t>
        </is>
      </c>
      <c r="H582" s="103">
        <f>IF(G577="","",batches!G99)</f>
        <v/>
      </c>
      <c r="I582" s="101" t="n"/>
      <c r="J582" s="102" t="n"/>
    </row>
    <row r="583" ht="15.75" customHeight="1" s="84">
      <c r="A583" s="80" t="inlineStr">
        <is>
          <t>Enrolled</t>
        </is>
      </c>
      <c r="B583" s="103">
        <f>IF(A577="","",COUNTIF(admissions!$M:$M,batches!A98))</f>
        <v/>
      </c>
      <c r="C583" s="101" t="n"/>
      <c r="D583" s="102" t="n"/>
      <c r="G583" s="80" t="inlineStr">
        <is>
          <t>Enrolled</t>
        </is>
      </c>
      <c r="H583" s="103">
        <f>IF(G577="","",COUNTIF(admissions!$M:$M,batches!A99))</f>
        <v/>
      </c>
      <c r="I583" s="101" t="n"/>
      <c r="J583" s="102" t="n"/>
    </row>
    <row r="584" ht="15.75" customHeight="1" s="84">
      <c r="A584" s="80" t="inlineStr">
        <is>
          <t>Available</t>
        </is>
      </c>
      <c r="B584" s="103">
        <f>IF(OR(batches!A98="",batches!G98=""),"",batches!G98-COUNTIF(admissions!$M:$M,batches!A98))</f>
        <v/>
      </c>
      <c r="C584" s="101" t="n"/>
      <c r="D584" s="102" t="n"/>
      <c r="G584" s="80" t="inlineStr">
        <is>
          <t>Available</t>
        </is>
      </c>
      <c r="H584" s="103">
        <f>IF(OR(batches!A99="",batches!G99=""),"",batches!G99-COUNTIF(admissions!$M:$M,batches!A99))</f>
        <v/>
      </c>
      <c r="I584" s="101" t="n"/>
      <c r="J584" s="102" t="n"/>
    </row>
    <row r="585" ht="15.75" customHeight="1" s="84">
      <c r="A585" s="104" t="inlineStr">
        <is>
          <t>Student List</t>
        </is>
      </c>
      <c r="B585" s="101" t="n"/>
      <c r="C585" s="101" t="n"/>
      <c r="D585" s="102" t="n"/>
      <c r="G585" s="104" t="inlineStr">
        <is>
          <t>Student List</t>
        </is>
      </c>
      <c r="H585" s="101" t="n"/>
      <c r="I585" s="101" t="n"/>
      <c r="J585" s="102" t="n"/>
    </row>
    <row r="586" ht="15.75" customHeight="1" s="84">
      <c r="A586" s="105">
        <f>IFERROR(__xludf.DUMMYFUNCTION("IF(batches!A98="""","""",TEXTJOIN(CHAR(10),TRUE,FILTER(admissions!$G$2:$G$78,admissions!$M$2:$M$78=batches!A98,"""")))"),"")</f>
        <v/>
      </c>
      <c r="B586" s="101" t="n"/>
      <c r="C586" s="101" t="n"/>
      <c r="D586" s="102" t="n"/>
      <c r="G586" s="105">
        <f>IFERROR(__xludf.DUMMYFUNCTION("IF(batches!A99="""","""",TEXTJOIN(CHAR(10),TRUE,FILTER(admissions!$G$2:$G$78,admissions!$M$2:$M$78=batches!A99,"""")))"),"")</f>
        <v/>
      </c>
      <c r="H586" s="101" t="n"/>
      <c r="I586" s="101" t="n"/>
      <c r="J586" s="102" t="n"/>
    </row>
    <row r="587" ht="15.75" customHeight="1" s="84"/>
    <row r="588" ht="15.75" customHeight="1" s="84"/>
    <row r="589" ht="15.75" customHeight="1" s="84">
      <c r="A589" s="100">
        <f>IF(batches!A100="","",batches!A100)</f>
        <v/>
      </c>
      <c r="B589" s="101" t="n"/>
      <c r="C589" s="101" t="n"/>
      <c r="D589" s="102" t="n"/>
      <c r="G589" s="100">
        <f>IF(batches!A101="","",batches!A101)</f>
        <v/>
      </c>
      <c r="H589" s="101" t="n"/>
      <c r="I589" s="101" t="n"/>
      <c r="J589" s="102" t="n"/>
    </row>
    <row r="590" ht="15.75" customHeight="1" s="84">
      <c r="A590" s="80" t="inlineStr">
        <is>
          <t>Level / Mode</t>
        </is>
      </c>
      <c r="B590" s="103">
        <f>IF(A589="","",batches!B100&amp;" / "&amp;batches!C100)</f>
        <v/>
      </c>
      <c r="C590" s="101" t="n"/>
      <c r="D590" s="102" t="n"/>
      <c r="G590" s="80" t="inlineStr">
        <is>
          <t>Level / Mode</t>
        </is>
      </c>
      <c r="H590" s="103">
        <f>IF(G589="","",batches!B101&amp;" / "&amp;batches!C101)</f>
        <v/>
      </c>
      <c r="I590" s="101" t="n"/>
      <c r="J590" s="102" t="n"/>
    </row>
    <row r="591" ht="15.75" customHeight="1" s="84">
      <c r="A591" s="80" t="inlineStr">
        <is>
          <t>Dates</t>
        </is>
      </c>
      <c r="B591" s="103">
        <f>IF(A589="","",TEXT(batches!D100,"yyyy-mm-dd")&amp;" to "&amp;TEXT(batches!E100,"yyyy-mm-dd"))</f>
        <v/>
      </c>
      <c r="C591" s="101" t="n"/>
      <c r="D591" s="102" t="n"/>
      <c r="G591" s="80" t="inlineStr">
        <is>
          <t>Dates</t>
        </is>
      </c>
      <c r="H591" s="103">
        <f>IF(G589="","",TEXT(batches!D101,"yyyy-mm-dd")&amp;" to "&amp;TEXT(batches!E101,"yyyy-mm-dd"))</f>
        <v/>
      </c>
      <c r="I591" s="101" t="n"/>
      <c r="J591" s="102" t="n"/>
    </row>
    <row r="592" ht="15.75" customHeight="1" s="84">
      <c r="A592" s="80" t="inlineStr">
        <is>
          <t>Duration</t>
        </is>
      </c>
      <c r="B592" s="103">
        <f>IF(OR(batches!D100="",batches!E100=""),"",batches!E100-batches!D100+1&amp;" days")</f>
        <v/>
      </c>
      <c r="C592" s="101" t="n"/>
      <c r="D592" s="102" t="n"/>
      <c r="G592" s="80" t="inlineStr">
        <is>
          <t>Duration</t>
        </is>
      </c>
      <c r="H592" s="103">
        <f>IF(OR(batches!D101="",batches!E101=""),"",batches!E101-batches!D101+1&amp;" days")</f>
        <v/>
      </c>
      <c r="I592" s="101" t="n"/>
      <c r="J592" s="102" t="n"/>
    </row>
    <row r="593" ht="15.75" customHeight="1" s="84">
      <c r="A593" s="80" t="inlineStr">
        <is>
          <t>Timing</t>
        </is>
      </c>
      <c r="B593" s="103">
        <f>IF(A589="","",batches!F100)</f>
        <v/>
      </c>
      <c r="C593" s="101" t="n"/>
      <c r="D593" s="102" t="n"/>
      <c r="G593" s="80" t="inlineStr">
        <is>
          <t>Timing</t>
        </is>
      </c>
      <c r="H593" s="103">
        <f>IF(G589="","",batches!F101)</f>
        <v/>
      </c>
      <c r="I593" s="101" t="n"/>
      <c r="J593" s="102" t="n"/>
    </row>
    <row r="594" ht="15.75" customHeight="1" s="84">
      <c r="A594" s="80" t="inlineStr">
        <is>
          <t>Capacity</t>
        </is>
      </c>
      <c r="B594" s="103">
        <f>IF(A589="","",batches!G100)</f>
        <v/>
      </c>
      <c r="C594" s="101" t="n"/>
      <c r="D594" s="102" t="n"/>
      <c r="G594" s="80" t="inlineStr">
        <is>
          <t>Capacity</t>
        </is>
      </c>
      <c r="H594" s="103">
        <f>IF(G589="","",batches!G101)</f>
        <v/>
      </c>
      <c r="I594" s="101" t="n"/>
      <c r="J594" s="102" t="n"/>
    </row>
    <row r="595" ht="15.75" customHeight="1" s="84">
      <c r="A595" s="80" t="inlineStr">
        <is>
          <t>Enrolled</t>
        </is>
      </c>
      <c r="B595" s="103">
        <f>IF(A589="","",COUNTIF(admissions!$M:$M,batches!A100))</f>
        <v/>
      </c>
      <c r="C595" s="101" t="n"/>
      <c r="D595" s="102" t="n"/>
      <c r="G595" s="80" t="inlineStr">
        <is>
          <t>Enrolled</t>
        </is>
      </c>
      <c r="H595" s="103">
        <f>IF(G589="","",COUNTIF(admissions!$M:$M,batches!A101))</f>
        <v/>
      </c>
      <c r="I595" s="101" t="n"/>
      <c r="J595" s="102" t="n"/>
    </row>
    <row r="596" ht="15.75" customHeight="1" s="84">
      <c r="A596" s="80" t="inlineStr">
        <is>
          <t>Available</t>
        </is>
      </c>
      <c r="B596" s="103">
        <f>IF(OR(batches!A100="",batches!G100=""),"",batches!G100-COUNTIF(admissions!$M:$M,batches!A100))</f>
        <v/>
      </c>
      <c r="C596" s="101" t="n"/>
      <c r="D596" s="102" t="n"/>
      <c r="G596" s="80" t="inlineStr">
        <is>
          <t>Available</t>
        </is>
      </c>
      <c r="H596" s="103">
        <f>IF(OR(batches!A101="",batches!G101=""),"",batches!G101-COUNTIF(admissions!$M:$M,batches!A101))</f>
        <v/>
      </c>
      <c r="I596" s="101" t="n"/>
      <c r="J596" s="102" t="n"/>
    </row>
    <row r="597" ht="15.75" customHeight="1" s="84">
      <c r="A597" s="104" t="inlineStr">
        <is>
          <t>Student List</t>
        </is>
      </c>
      <c r="B597" s="101" t="n"/>
      <c r="C597" s="101" t="n"/>
      <c r="D597" s="102" t="n"/>
      <c r="G597" s="104" t="inlineStr">
        <is>
          <t>Student List</t>
        </is>
      </c>
      <c r="H597" s="101" t="n"/>
      <c r="I597" s="101" t="n"/>
      <c r="J597" s="102" t="n"/>
    </row>
    <row r="598" ht="15.75" customHeight="1" s="84">
      <c r="A598" s="105">
        <f>IFERROR(__xludf.DUMMYFUNCTION("IF(batches!A100="""","""",TEXTJOIN(CHAR(10),TRUE,FILTER(admissions!$G$2:$G$78,admissions!$M$2:$M$78=batches!A100,"""")))"),"")</f>
        <v/>
      </c>
      <c r="B598" s="101" t="n"/>
      <c r="C598" s="101" t="n"/>
      <c r="D598" s="102" t="n"/>
      <c r="G598" s="105">
        <f>IFERROR(__xludf.DUMMYFUNCTION("IF(batches!A101="""","""",TEXTJOIN(CHAR(10),TRUE,FILTER(admissions!$G$2:$G$78,admissions!$M$2:$M$78=batches!A101,"""")))"),"")</f>
        <v/>
      </c>
      <c r="H598" s="101" t="n"/>
      <c r="I598" s="101" t="n"/>
      <c r="J598" s="102" t="n"/>
    </row>
    <row r="599" ht="15.75" customHeight="1" s="84"/>
    <row r="600" ht="15.75" customHeight="1" s="84"/>
    <row r="601" ht="15.75" customHeight="1" s="84">
      <c r="A601" s="100">
        <f>IF(batches!A102="","",batches!A102)</f>
        <v/>
      </c>
      <c r="B601" s="101" t="n"/>
      <c r="C601" s="101" t="n"/>
      <c r="D601" s="102" t="n"/>
      <c r="G601" s="100">
        <f>IF(batches!A103="","",batches!A103)</f>
        <v/>
      </c>
      <c r="H601" s="101" t="n"/>
      <c r="I601" s="101" t="n"/>
      <c r="J601" s="102" t="n"/>
    </row>
    <row r="602" ht="15.75" customHeight="1" s="84">
      <c r="A602" s="80" t="inlineStr">
        <is>
          <t>Level / Mode</t>
        </is>
      </c>
      <c r="B602" s="103">
        <f>IF(A601="","",batches!B102&amp;" / "&amp;batches!C102)</f>
        <v/>
      </c>
      <c r="C602" s="101" t="n"/>
      <c r="D602" s="102" t="n"/>
      <c r="G602" s="80" t="inlineStr">
        <is>
          <t>Level / Mode</t>
        </is>
      </c>
      <c r="H602" s="103">
        <f>IF(G601="","",batches!B103&amp;" / "&amp;batches!C103)</f>
        <v/>
      </c>
      <c r="I602" s="101" t="n"/>
      <c r="J602" s="102" t="n"/>
    </row>
    <row r="603" ht="15.75" customHeight="1" s="84">
      <c r="A603" s="80" t="inlineStr">
        <is>
          <t>Dates</t>
        </is>
      </c>
      <c r="B603" s="103">
        <f>IF(A601="","",TEXT(batches!D102,"yyyy-mm-dd")&amp;" to "&amp;TEXT(batches!E102,"yyyy-mm-dd"))</f>
        <v/>
      </c>
      <c r="C603" s="101" t="n"/>
      <c r="D603" s="102" t="n"/>
      <c r="G603" s="80" t="inlineStr">
        <is>
          <t>Dates</t>
        </is>
      </c>
      <c r="H603" s="103">
        <f>IF(G601="","",TEXT(batches!D103,"yyyy-mm-dd")&amp;" to "&amp;TEXT(batches!E103,"yyyy-mm-dd"))</f>
        <v/>
      </c>
      <c r="I603" s="101" t="n"/>
      <c r="J603" s="102" t="n"/>
    </row>
    <row r="604" ht="15.75" customHeight="1" s="84">
      <c r="A604" s="80" t="inlineStr">
        <is>
          <t>Duration</t>
        </is>
      </c>
      <c r="B604" s="103">
        <f>IF(OR(batches!D102="",batches!E102=""),"",batches!E102-batches!D102+1&amp;" days")</f>
        <v/>
      </c>
      <c r="C604" s="101" t="n"/>
      <c r="D604" s="102" t="n"/>
      <c r="G604" s="80" t="inlineStr">
        <is>
          <t>Duration</t>
        </is>
      </c>
      <c r="H604" s="103">
        <f>IF(OR(batches!D103="",batches!E103=""),"",batches!E103-batches!D103+1&amp;" days")</f>
        <v/>
      </c>
      <c r="I604" s="101" t="n"/>
      <c r="J604" s="102" t="n"/>
    </row>
    <row r="605" ht="15.75" customHeight="1" s="84">
      <c r="A605" s="80" t="inlineStr">
        <is>
          <t>Timing</t>
        </is>
      </c>
      <c r="B605" s="103">
        <f>IF(A601="","",batches!F102)</f>
        <v/>
      </c>
      <c r="C605" s="101" t="n"/>
      <c r="D605" s="102" t="n"/>
      <c r="G605" s="80" t="inlineStr">
        <is>
          <t>Timing</t>
        </is>
      </c>
      <c r="H605" s="103">
        <f>IF(G601="","",batches!F103)</f>
        <v/>
      </c>
      <c r="I605" s="101" t="n"/>
      <c r="J605" s="102" t="n"/>
    </row>
    <row r="606" ht="15.75" customHeight="1" s="84">
      <c r="A606" s="80" t="inlineStr">
        <is>
          <t>Capacity</t>
        </is>
      </c>
      <c r="B606" s="103">
        <f>IF(A601="","",batches!G102)</f>
        <v/>
      </c>
      <c r="C606" s="101" t="n"/>
      <c r="D606" s="102" t="n"/>
      <c r="G606" s="80" t="inlineStr">
        <is>
          <t>Capacity</t>
        </is>
      </c>
      <c r="H606" s="103">
        <f>IF(G601="","",batches!G103)</f>
        <v/>
      </c>
      <c r="I606" s="101" t="n"/>
      <c r="J606" s="102" t="n"/>
    </row>
    <row r="607" ht="15.75" customHeight="1" s="84">
      <c r="A607" s="80" t="inlineStr">
        <is>
          <t>Enrolled</t>
        </is>
      </c>
      <c r="B607" s="103">
        <f>IF(A601="","",COUNTIF(admissions!$M:$M,batches!A102))</f>
        <v/>
      </c>
      <c r="C607" s="101" t="n"/>
      <c r="D607" s="102" t="n"/>
      <c r="G607" s="80" t="inlineStr">
        <is>
          <t>Enrolled</t>
        </is>
      </c>
      <c r="H607" s="103">
        <f>IF(G601="","",COUNTIF(admissions!$M:$M,batches!A103))</f>
        <v/>
      </c>
      <c r="I607" s="101" t="n"/>
      <c r="J607" s="102" t="n"/>
    </row>
    <row r="608" ht="15.75" customHeight="1" s="84">
      <c r="A608" s="80" t="inlineStr">
        <is>
          <t>Available</t>
        </is>
      </c>
      <c r="B608" s="103">
        <f>IF(OR(batches!A102="",batches!G102=""),"",batches!G102-COUNTIF(admissions!$M:$M,batches!A102))</f>
        <v/>
      </c>
      <c r="C608" s="101" t="n"/>
      <c r="D608" s="102" t="n"/>
      <c r="G608" s="80" t="inlineStr">
        <is>
          <t>Available</t>
        </is>
      </c>
      <c r="H608" s="103">
        <f>IF(OR(batches!A103="",batches!G103=""),"",batches!G103-COUNTIF(admissions!$M:$M,batches!A103))</f>
        <v/>
      </c>
      <c r="I608" s="101" t="n"/>
      <c r="J608" s="102" t="n"/>
    </row>
    <row r="609" ht="15.75" customHeight="1" s="84">
      <c r="A609" s="104" t="inlineStr">
        <is>
          <t>Student List</t>
        </is>
      </c>
      <c r="B609" s="101" t="n"/>
      <c r="C609" s="101" t="n"/>
      <c r="D609" s="102" t="n"/>
      <c r="G609" s="104" t="inlineStr">
        <is>
          <t>Student List</t>
        </is>
      </c>
      <c r="H609" s="101" t="n"/>
      <c r="I609" s="101" t="n"/>
      <c r="J609" s="102" t="n"/>
    </row>
    <row r="610" ht="15.75" customHeight="1" s="84">
      <c r="A610" s="105">
        <f>IFERROR(__xludf.DUMMYFUNCTION("IF(batches!A102="""","""",TEXTJOIN(CHAR(10),TRUE,FILTER(admissions!$G$2:$G$78,admissions!$M$2:$M$78=batches!A102,"""")))"),"")</f>
        <v/>
      </c>
      <c r="B610" s="101" t="n"/>
      <c r="C610" s="101" t="n"/>
      <c r="D610" s="102" t="n"/>
      <c r="G610" s="105">
        <f>IFERROR(__xludf.DUMMYFUNCTION("IF(batches!A103="""","""",TEXTJOIN(CHAR(10),TRUE,FILTER(admissions!$G$2:$G$78,admissions!$M$2:$M$78=batches!A103,"""")))"),"")</f>
        <v/>
      </c>
      <c r="H610" s="101" t="n"/>
      <c r="I610" s="101" t="n"/>
      <c r="J610" s="102" t="n"/>
    </row>
    <row r="611" ht="15.75" customHeight="1" s="84"/>
    <row r="612" ht="15.75" customHeight="1" s="84"/>
    <row r="613" ht="15.75" customHeight="1" s="84">
      <c r="A613" s="100">
        <f>IF(batches!A104="","",batches!A104)</f>
        <v/>
      </c>
      <c r="B613" s="101" t="n"/>
      <c r="C613" s="101" t="n"/>
      <c r="D613" s="102" t="n"/>
      <c r="G613" s="100">
        <f>IF(batches!A105="","",batches!A105)</f>
        <v/>
      </c>
      <c r="H613" s="101" t="n"/>
      <c r="I613" s="101" t="n"/>
      <c r="J613" s="102" t="n"/>
    </row>
    <row r="614" ht="15.75" customHeight="1" s="84">
      <c r="A614" s="80" t="inlineStr">
        <is>
          <t>Level / Mode</t>
        </is>
      </c>
      <c r="B614" s="103">
        <f>IF(A613="","",batches!B104&amp;" / "&amp;batches!C104)</f>
        <v/>
      </c>
      <c r="C614" s="101" t="n"/>
      <c r="D614" s="102" t="n"/>
      <c r="G614" s="80" t="inlineStr">
        <is>
          <t>Level / Mode</t>
        </is>
      </c>
      <c r="H614" s="103">
        <f>IF(G613="","",batches!B105&amp;" / "&amp;batches!C105)</f>
        <v/>
      </c>
      <c r="I614" s="101" t="n"/>
      <c r="J614" s="102" t="n"/>
    </row>
    <row r="615" ht="15.75" customHeight="1" s="84">
      <c r="A615" s="80" t="inlineStr">
        <is>
          <t>Dates</t>
        </is>
      </c>
      <c r="B615" s="103">
        <f>IF(A613="","",TEXT(batches!D104,"yyyy-mm-dd")&amp;" to "&amp;TEXT(batches!E104,"yyyy-mm-dd"))</f>
        <v/>
      </c>
      <c r="C615" s="101" t="n"/>
      <c r="D615" s="102" t="n"/>
      <c r="G615" s="80" t="inlineStr">
        <is>
          <t>Dates</t>
        </is>
      </c>
      <c r="H615" s="103">
        <f>IF(G613="","",TEXT(batches!D105,"yyyy-mm-dd")&amp;" to "&amp;TEXT(batches!E105,"yyyy-mm-dd"))</f>
        <v/>
      </c>
      <c r="I615" s="101" t="n"/>
      <c r="J615" s="102" t="n"/>
    </row>
    <row r="616" ht="15.75" customHeight="1" s="84">
      <c r="A616" s="80" t="inlineStr">
        <is>
          <t>Duration</t>
        </is>
      </c>
      <c r="B616" s="103">
        <f>IF(OR(batches!D104="",batches!E104=""),"",batches!E104-batches!D104+1&amp;" days")</f>
        <v/>
      </c>
      <c r="C616" s="101" t="n"/>
      <c r="D616" s="102" t="n"/>
      <c r="G616" s="80" t="inlineStr">
        <is>
          <t>Duration</t>
        </is>
      </c>
      <c r="H616" s="103">
        <f>IF(OR(batches!D105="",batches!E105=""),"",batches!E105-batches!D105+1&amp;" days")</f>
        <v/>
      </c>
      <c r="I616" s="101" t="n"/>
      <c r="J616" s="102" t="n"/>
    </row>
    <row r="617" ht="15.75" customHeight="1" s="84">
      <c r="A617" s="80" t="inlineStr">
        <is>
          <t>Timing</t>
        </is>
      </c>
      <c r="B617" s="103">
        <f>IF(A613="","",batches!F104)</f>
        <v/>
      </c>
      <c r="C617" s="101" t="n"/>
      <c r="D617" s="102" t="n"/>
      <c r="G617" s="80" t="inlineStr">
        <is>
          <t>Timing</t>
        </is>
      </c>
      <c r="H617" s="103">
        <f>IF(G613="","",batches!F105)</f>
        <v/>
      </c>
      <c r="I617" s="101" t="n"/>
      <c r="J617" s="102" t="n"/>
    </row>
    <row r="618" ht="15.75" customHeight="1" s="84">
      <c r="A618" s="80" t="inlineStr">
        <is>
          <t>Capacity</t>
        </is>
      </c>
      <c r="B618" s="103">
        <f>IF(A613="","",batches!G104)</f>
        <v/>
      </c>
      <c r="C618" s="101" t="n"/>
      <c r="D618" s="102" t="n"/>
      <c r="G618" s="80" t="inlineStr">
        <is>
          <t>Capacity</t>
        </is>
      </c>
      <c r="H618" s="103">
        <f>IF(G613="","",batches!G105)</f>
        <v/>
      </c>
      <c r="I618" s="101" t="n"/>
      <c r="J618" s="102" t="n"/>
    </row>
    <row r="619" ht="15.75" customHeight="1" s="84">
      <c r="A619" s="80" t="inlineStr">
        <is>
          <t>Enrolled</t>
        </is>
      </c>
      <c r="B619" s="103">
        <f>IF(A613="","",COUNTIF(admissions!$M:$M,batches!A104))</f>
        <v/>
      </c>
      <c r="C619" s="101" t="n"/>
      <c r="D619" s="102" t="n"/>
      <c r="G619" s="80" t="inlineStr">
        <is>
          <t>Enrolled</t>
        </is>
      </c>
      <c r="H619" s="103">
        <f>IF(G613="","",COUNTIF(admissions!$M:$M,batches!A105))</f>
        <v/>
      </c>
      <c r="I619" s="101" t="n"/>
      <c r="J619" s="102" t="n"/>
    </row>
    <row r="620" ht="15.75" customHeight="1" s="84">
      <c r="A620" s="80" t="inlineStr">
        <is>
          <t>Available</t>
        </is>
      </c>
      <c r="B620" s="103">
        <f>IF(OR(batches!A104="",batches!G104=""),"",batches!G104-COUNTIF(admissions!$M:$M,batches!A104))</f>
        <v/>
      </c>
      <c r="C620" s="101" t="n"/>
      <c r="D620" s="102" t="n"/>
      <c r="G620" s="80" t="inlineStr">
        <is>
          <t>Available</t>
        </is>
      </c>
      <c r="H620" s="103">
        <f>IF(OR(batches!A105="",batches!G105=""),"",batches!G105-COUNTIF(admissions!$M:$M,batches!A105))</f>
        <v/>
      </c>
      <c r="I620" s="101" t="n"/>
      <c r="J620" s="102" t="n"/>
    </row>
    <row r="621" ht="15.75" customHeight="1" s="84">
      <c r="A621" s="104" t="inlineStr">
        <is>
          <t>Student List</t>
        </is>
      </c>
      <c r="B621" s="101" t="n"/>
      <c r="C621" s="101" t="n"/>
      <c r="D621" s="102" t="n"/>
      <c r="G621" s="104" t="inlineStr">
        <is>
          <t>Student List</t>
        </is>
      </c>
      <c r="H621" s="101" t="n"/>
      <c r="I621" s="101" t="n"/>
      <c r="J621" s="102" t="n"/>
    </row>
    <row r="622" ht="15.75" customHeight="1" s="84">
      <c r="A622" s="105">
        <f>IFERROR(__xludf.DUMMYFUNCTION("IF(batches!A104="""","""",TEXTJOIN(CHAR(10),TRUE,FILTER(admissions!$G$2:$G$78,admissions!$M$2:$M$78=batches!A104,"""")))"),"")</f>
        <v/>
      </c>
      <c r="B622" s="101" t="n"/>
      <c r="C622" s="101" t="n"/>
      <c r="D622" s="102" t="n"/>
      <c r="G622" s="105">
        <f>IFERROR(__xludf.DUMMYFUNCTION("IF(batches!A105="""","""",TEXTJOIN(CHAR(10),TRUE,FILTER(admissions!$G$2:$G$78,admissions!$M$2:$M$78=batches!A105,"""")))"),"")</f>
        <v/>
      </c>
      <c r="H622" s="101" t="n"/>
      <c r="I622" s="101" t="n"/>
      <c r="J622" s="102" t="n"/>
    </row>
    <row r="623" ht="15.75" customHeight="1" s="84"/>
    <row r="624" ht="15.75" customHeight="1" s="84"/>
    <row r="625" ht="15.75" customHeight="1" s="84">
      <c r="A625" s="100">
        <f>IF(batches!A106="","",batches!A106)</f>
        <v/>
      </c>
      <c r="B625" s="101" t="n"/>
      <c r="C625" s="101" t="n"/>
      <c r="D625" s="102" t="n"/>
      <c r="G625" s="100">
        <f>IF(batches!A107="","",batches!A107)</f>
        <v/>
      </c>
      <c r="H625" s="101" t="n"/>
      <c r="I625" s="101" t="n"/>
      <c r="J625" s="102" t="n"/>
    </row>
    <row r="626" ht="15.75" customHeight="1" s="84">
      <c r="A626" s="80" t="inlineStr">
        <is>
          <t>Level / Mode</t>
        </is>
      </c>
      <c r="B626" s="103">
        <f>IF(A625="","",batches!B106&amp;" / "&amp;batches!C106)</f>
        <v/>
      </c>
      <c r="C626" s="101" t="n"/>
      <c r="D626" s="102" t="n"/>
      <c r="G626" s="80" t="inlineStr">
        <is>
          <t>Level / Mode</t>
        </is>
      </c>
      <c r="H626" s="103">
        <f>IF(G625="","",batches!B107&amp;" / "&amp;batches!C107)</f>
        <v/>
      </c>
      <c r="I626" s="101" t="n"/>
      <c r="J626" s="102" t="n"/>
    </row>
    <row r="627" ht="15.75" customHeight="1" s="84">
      <c r="A627" s="80" t="inlineStr">
        <is>
          <t>Dates</t>
        </is>
      </c>
      <c r="B627" s="103">
        <f>IF(A625="","",TEXT(batches!D106,"yyyy-mm-dd")&amp;" to "&amp;TEXT(batches!E106,"yyyy-mm-dd"))</f>
        <v/>
      </c>
      <c r="C627" s="101" t="n"/>
      <c r="D627" s="102" t="n"/>
      <c r="G627" s="80" t="inlineStr">
        <is>
          <t>Dates</t>
        </is>
      </c>
      <c r="H627" s="103">
        <f>IF(G625="","",TEXT(batches!D107,"yyyy-mm-dd")&amp;" to "&amp;TEXT(batches!E107,"yyyy-mm-dd"))</f>
        <v/>
      </c>
      <c r="I627" s="101" t="n"/>
      <c r="J627" s="102" t="n"/>
    </row>
    <row r="628" ht="15.75" customHeight="1" s="84">
      <c r="A628" s="80" t="inlineStr">
        <is>
          <t>Duration</t>
        </is>
      </c>
      <c r="B628" s="103">
        <f>IF(OR(batches!D106="",batches!E106=""),"",batches!E106-batches!D106+1&amp;" days")</f>
        <v/>
      </c>
      <c r="C628" s="101" t="n"/>
      <c r="D628" s="102" t="n"/>
      <c r="G628" s="80" t="inlineStr">
        <is>
          <t>Duration</t>
        </is>
      </c>
      <c r="H628" s="103">
        <f>IF(OR(batches!D107="",batches!E107=""),"",batches!E107-batches!D107+1&amp;" days")</f>
        <v/>
      </c>
      <c r="I628" s="101" t="n"/>
      <c r="J628" s="102" t="n"/>
    </row>
    <row r="629" ht="15.75" customHeight="1" s="84">
      <c r="A629" s="80" t="inlineStr">
        <is>
          <t>Timing</t>
        </is>
      </c>
      <c r="B629" s="103">
        <f>IF(A625="","",batches!F106)</f>
        <v/>
      </c>
      <c r="C629" s="101" t="n"/>
      <c r="D629" s="102" t="n"/>
      <c r="G629" s="80" t="inlineStr">
        <is>
          <t>Timing</t>
        </is>
      </c>
      <c r="H629" s="103">
        <f>IF(G625="","",batches!F107)</f>
        <v/>
      </c>
      <c r="I629" s="101" t="n"/>
      <c r="J629" s="102" t="n"/>
    </row>
    <row r="630" ht="15.75" customHeight="1" s="84">
      <c r="A630" s="80" t="inlineStr">
        <is>
          <t>Capacity</t>
        </is>
      </c>
      <c r="B630" s="103">
        <f>IF(A625="","",batches!G106)</f>
        <v/>
      </c>
      <c r="C630" s="101" t="n"/>
      <c r="D630" s="102" t="n"/>
      <c r="G630" s="80" t="inlineStr">
        <is>
          <t>Capacity</t>
        </is>
      </c>
      <c r="H630" s="103">
        <f>IF(G625="","",batches!G107)</f>
        <v/>
      </c>
      <c r="I630" s="101" t="n"/>
      <c r="J630" s="102" t="n"/>
    </row>
    <row r="631" ht="15.75" customHeight="1" s="84">
      <c r="A631" s="80" t="inlineStr">
        <is>
          <t>Enrolled</t>
        </is>
      </c>
      <c r="B631" s="103">
        <f>IF(A625="","",COUNTIF(admissions!$M:$M,batches!A106))</f>
        <v/>
      </c>
      <c r="C631" s="101" t="n"/>
      <c r="D631" s="102" t="n"/>
      <c r="G631" s="80" t="inlineStr">
        <is>
          <t>Enrolled</t>
        </is>
      </c>
      <c r="H631" s="103">
        <f>IF(G625="","",COUNTIF(admissions!$M:$M,batches!A107))</f>
        <v/>
      </c>
      <c r="I631" s="101" t="n"/>
      <c r="J631" s="102" t="n"/>
    </row>
    <row r="632" ht="15.75" customHeight="1" s="84">
      <c r="A632" s="80" t="inlineStr">
        <is>
          <t>Available</t>
        </is>
      </c>
      <c r="B632" s="103">
        <f>IF(OR(batches!A106="",batches!G106=""),"",batches!G106-COUNTIF(admissions!$M:$M,batches!A106))</f>
        <v/>
      </c>
      <c r="C632" s="101" t="n"/>
      <c r="D632" s="102" t="n"/>
      <c r="G632" s="80" t="inlineStr">
        <is>
          <t>Available</t>
        </is>
      </c>
      <c r="H632" s="103">
        <f>IF(OR(batches!A107="",batches!G107=""),"",batches!G107-COUNTIF(admissions!$M:$M,batches!A107))</f>
        <v/>
      </c>
      <c r="I632" s="101" t="n"/>
      <c r="J632" s="102" t="n"/>
    </row>
    <row r="633" ht="15.75" customHeight="1" s="84">
      <c r="A633" s="104" t="inlineStr">
        <is>
          <t>Student List</t>
        </is>
      </c>
      <c r="B633" s="101" t="n"/>
      <c r="C633" s="101" t="n"/>
      <c r="D633" s="102" t="n"/>
      <c r="G633" s="104" t="inlineStr">
        <is>
          <t>Student List</t>
        </is>
      </c>
      <c r="H633" s="101" t="n"/>
      <c r="I633" s="101" t="n"/>
      <c r="J633" s="102" t="n"/>
    </row>
    <row r="634" ht="15.75" customHeight="1" s="84">
      <c r="A634" s="105">
        <f>IFERROR(__xludf.DUMMYFUNCTION("IF(batches!A106="""","""",TEXTJOIN(CHAR(10),TRUE,FILTER(admissions!$G$2:$G$78,admissions!$M$2:$M$78=batches!A106,"""")))"),"")</f>
        <v/>
      </c>
      <c r="B634" s="101" t="n"/>
      <c r="C634" s="101" t="n"/>
      <c r="D634" s="102" t="n"/>
      <c r="G634" s="105">
        <f>IFERROR(__xludf.DUMMYFUNCTION("IF(batches!A107="""","""",TEXTJOIN(CHAR(10),TRUE,FILTER(admissions!$G$2:$G$78,admissions!$M$2:$M$78=batches!A107,"""")))"),"")</f>
        <v/>
      </c>
      <c r="H634" s="101" t="n"/>
      <c r="I634" s="101" t="n"/>
      <c r="J634" s="102" t="n"/>
    </row>
    <row r="635" ht="15.75" customHeight="1" s="84"/>
    <row r="636" ht="15.75" customHeight="1" s="84"/>
    <row r="637" ht="15.75" customHeight="1" s="84">
      <c r="A637" s="100">
        <f>IF(batches!A108="","",batches!A108)</f>
        <v/>
      </c>
      <c r="B637" s="101" t="n"/>
      <c r="C637" s="101" t="n"/>
      <c r="D637" s="102" t="n"/>
      <c r="G637" s="100">
        <f>IF(batches!A109="","",batches!A109)</f>
        <v/>
      </c>
      <c r="H637" s="101" t="n"/>
      <c r="I637" s="101" t="n"/>
      <c r="J637" s="102" t="n"/>
    </row>
    <row r="638" ht="15.75" customHeight="1" s="84">
      <c r="A638" s="80" t="inlineStr">
        <is>
          <t>Level / Mode</t>
        </is>
      </c>
      <c r="B638" s="103">
        <f>IF(A637="","",batches!B108&amp;" / "&amp;batches!C108)</f>
        <v/>
      </c>
      <c r="C638" s="101" t="n"/>
      <c r="D638" s="102" t="n"/>
      <c r="G638" s="80" t="inlineStr">
        <is>
          <t>Level / Mode</t>
        </is>
      </c>
      <c r="H638" s="103">
        <f>IF(G637="","",batches!B109&amp;" / "&amp;batches!C109)</f>
        <v/>
      </c>
      <c r="I638" s="101" t="n"/>
      <c r="J638" s="102" t="n"/>
    </row>
    <row r="639" ht="15.75" customHeight="1" s="84">
      <c r="A639" s="80" t="inlineStr">
        <is>
          <t>Dates</t>
        </is>
      </c>
      <c r="B639" s="103">
        <f>IF(A637="","",TEXT(batches!D108,"yyyy-mm-dd")&amp;" to "&amp;TEXT(batches!E108,"yyyy-mm-dd"))</f>
        <v/>
      </c>
      <c r="C639" s="101" t="n"/>
      <c r="D639" s="102" t="n"/>
      <c r="G639" s="80" t="inlineStr">
        <is>
          <t>Dates</t>
        </is>
      </c>
      <c r="H639" s="103">
        <f>IF(G637="","",TEXT(batches!D109,"yyyy-mm-dd")&amp;" to "&amp;TEXT(batches!E109,"yyyy-mm-dd"))</f>
        <v/>
      </c>
      <c r="I639" s="101" t="n"/>
      <c r="J639" s="102" t="n"/>
    </row>
    <row r="640" ht="15.75" customHeight="1" s="84">
      <c r="A640" s="80" t="inlineStr">
        <is>
          <t>Duration</t>
        </is>
      </c>
      <c r="B640" s="103">
        <f>IF(OR(batches!D108="",batches!E108=""),"",batches!E108-batches!D108+1&amp;" days")</f>
        <v/>
      </c>
      <c r="C640" s="101" t="n"/>
      <c r="D640" s="102" t="n"/>
      <c r="G640" s="80" t="inlineStr">
        <is>
          <t>Duration</t>
        </is>
      </c>
      <c r="H640" s="103">
        <f>IF(OR(batches!D109="",batches!E109=""),"",batches!E109-batches!D109+1&amp;" days")</f>
        <v/>
      </c>
      <c r="I640" s="101" t="n"/>
      <c r="J640" s="102" t="n"/>
    </row>
    <row r="641" ht="15.75" customHeight="1" s="84">
      <c r="A641" s="80" t="inlineStr">
        <is>
          <t>Timing</t>
        </is>
      </c>
      <c r="B641" s="103">
        <f>IF(A637="","",batches!F108)</f>
        <v/>
      </c>
      <c r="C641" s="101" t="n"/>
      <c r="D641" s="102" t="n"/>
      <c r="G641" s="80" t="inlineStr">
        <is>
          <t>Timing</t>
        </is>
      </c>
      <c r="H641" s="103">
        <f>IF(G637="","",batches!F109)</f>
        <v/>
      </c>
      <c r="I641" s="101" t="n"/>
      <c r="J641" s="102" t="n"/>
    </row>
    <row r="642" ht="15.75" customHeight="1" s="84">
      <c r="A642" s="80" t="inlineStr">
        <is>
          <t>Capacity</t>
        </is>
      </c>
      <c r="B642" s="103">
        <f>IF(A637="","",batches!G108)</f>
        <v/>
      </c>
      <c r="C642" s="101" t="n"/>
      <c r="D642" s="102" t="n"/>
      <c r="G642" s="80" t="inlineStr">
        <is>
          <t>Capacity</t>
        </is>
      </c>
      <c r="H642" s="103">
        <f>IF(G637="","",batches!G109)</f>
        <v/>
      </c>
      <c r="I642" s="101" t="n"/>
      <c r="J642" s="102" t="n"/>
    </row>
    <row r="643" ht="15.75" customHeight="1" s="84">
      <c r="A643" s="80" t="inlineStr">
        <is>
          <t>Enrolled</t>
        </is>
      </c>
      <c r="B643" s="103">
        <f>IF(A637="","",COUNTIF(admissions!$M:$M,batches!A108))</f>
        <v/>
      </c>
      <c r="C643" s="101" t="n"/>
      <c r="D643" s="102" t="n"/>
      <c r="G643" s="80" t="inlineStr">
        <is>
          <t>Enrolled</t>
        </is>
      </c>
      <c r="H643" s="103">
        <f>IF(G637="","",COUNTIF(admissions!$M:$M,batches!A109))</f>
        <v/>
      </c>
      <c r="I643" s="101" t="n"/>
      <c r="J643" s="102" t="n"/>
    </row>
    <row r="644" ht="15.75" customHeight="1" s="84">
      <c r="A644" s="80" t="inlineStr">
        <is>
          <t>Available</t>
        </is>
      </c>
      <c r="B644" s="103">
        <f>IF(OR(batches!A108="",batches!G108=""),"",batches!G108-COUNTIF(admissions!$M:$M,batches!A108))</f>
        <v/>
      </c>
      <c r="C644" s="101" t="n"/>
      <c r="D644" s="102" t="n"/>
      <c r="G644" s="80" t="inlineStr">
        <is>
          <t>Available</t>
        </is>
      </c>
      <c r="H644" s="103">
        <f>IF(OR(batches!A109="",batches!G109=""),"",batches!G109-COUNTIF(admissions!$M:$M,batches!A109))</f>
        <v/>
      </c>
      <c r="I644" s="101" t="n"/>
      <c r="J644" s="102" t="n"/>
    </row>
    <row r="645" ht="15.75" customHeight="1" s="84">
      <c r="A645" s="104" t="inlineStr">
        <is>
          <t>Student List</t>
        </is>
      </c>
      <c r="B645" s="101" t="n"/>
      <c r="C645" s="101" t="n"/>
      <c r="D645" s="102" t="n"/>
      <c r="G645" s="104" t="inlineStr">
        <is>
          <t>Student List</t>
        </is>
      </c>
      <c r="H645" s="101" t="n"/>
      <c r="I645" s="101" t="n"/>
      <c r="J645" s="102" t="n"/>
    </row>
    <row r="646" ht="15.75" customHeight="1" s="84">
      <c r="A646" s="105">
        <f>IFERROR(__xludf.DUMMYFUNCTION("IF(batches!A108="""","""",TEXTJOIN(CHAR(10),TRUE,FILTER(admissions!$G$2:$G$78,admissions!$M$2:$M$78=batches!A108,"""")))"),"")</f>
        <v/>
      </c>
      <c r="B646" s="101" t="n"/>
      <c r="C646" s="101" t="n"/>
      <c r="D646" s="102" t="n"/>
      <c r="G646" s="105">
        <f>IFERROR(__xludf.DUMMYFUNCTION("IF(batches!A109="""","""",TEXTJOIN(CHAR(10),TRUE,FILTER(admissions!$G$2:$G$78,admissions!$M$2:$M$78=batches!A109,"""")))"),"")</f>
        <v/>
      </c>
      <c r="H646" s="101" t="n"/>
      <c r="I646" s="101" t="n"/>
      <c r="J646" s="102" t="n"/>
    </row>
    <row r="647" ht="15.75" customHeight="1" s="84"/>
    <row r="648" ht="15.75" customHeight="1" s="84"/>
    <row r="649" ht="15.75" customHeight="1" s="84">
      <c r="A649" s="100">
        <f>IF(batches!A110="","",batches!A110)</f>
        <v/>
      </c>
      <c r="B649" s="101" t="n"/>
      <c r="C649" s="101" t="n"/>
      <c r="D649" s="102" t="n"/>
      <c r="G649" s="100">
        <f>IF(batches!A111="","",batches!A111)</f>
        <v/>
      </c>
      <c r="H649" s="101" t="n"/>
      <c r="I649" s="101" t="n"/>
      <c r="J649" s="102" t="n"/>
    </row>
    <row r="650" ht="15.75" customHeight="1" s="84">
      <c r="A650" s="80" t="inlineStr">
        <is>
          <t>Level / Mode</t>
        </is>
      </c>
      <c r="B650" s="103">
        <f>IF(A649="","",batches!B110&amp;" / "&amp;batches!C110)</f>
        <v/>
      </c>
      <c r="C650" s="101" t="n"/>
      <c r="D650" s="102" t="n"/>
      <c r="G650" s="80" t="inlineStr">
        <is>
          <t>Level / Mode</t>
        </is>
      </c>
      <c r="H650" s="103">
        <f>IF(G649="","",batches!B111&amp;" / "&amp;batches!C111)</f>
        <v/>
      </c>
      <c r="I650" s="101" t="n"/>
      <c r="J650" s="102" t="n"/>
    </row>
    <row r="651" ht="15.75" customHeight="1" s="84">
      <c r="A651" s="80" t="inlineStr">
        <is>
          <t>Dates</t>
        </is>
      </c>
      <c r="B651" s="103">
        <f>IF(A649="","",TEXT(batches!D110,"yyyy-mm-dd")&amp;" to "&amp;TEXT(batches!E110,"yyyy-mm-dd"))</f>
        <v/>
      </c>
      <c r="C651" s="101" t="n"/>
      <c r="D651" s="102" t="n"/>
      <c r="G651" s="80" t="inlineStr">
        <is>
          <t>Dates</t>
        </is>
      </c>
      <c r="H651" s="103">
        <f>IF(G649="","",TEXT(batches!D111,"yyyy-mm-dd")&amp;" to "&amp;TEXT(batches!E111,"yyyy-mm-dd"))</f>
        <v/>
      </c>
      <c r="I651" s="101" t="n"/>
      <c r="J651" s="102" t="n"/>
    </row>
    <row r="652" ht="15.75" customHeight="1" s="84">
      <c r="A652" s="80" t="inlineStr">
        <is>
          <t>Duration</t>
        </is>
      </c>
      <c r="B652" s="103">
        <f>IF(OR(batches!D110="",batches!E110=""),"",batches!E110-batches!D110+1&amp;" days")</f>
        <v/>
      </c>
      <c r="C652" s="101" t="n"/>
      <c r="D652" s="102" t="n"/>
      <c r="G652" s="80" t="inlineStr">
        <is>
          <t>Duration</t>
        </is>
      </c>
      <c r="H652" s="103">
        <f>IF(OR(batches!D111="",batches!E111=""),"",batches!E111-batches!D111+1&amp;" days")</f>
        <v/>
      </c>
      <c r="I652" s="101" t="n"/>
      <c r="J652" s="102" t="n"/>
    </row>
    <row r="653" ht="15.75" customHeight="1" s="84">
      <c r="A653" s="80" t="inlineStr">
        <is>
          <t>Timing</t>
        </is>
      </c>
      <c r="B653" s="103">
        <f>IF(A649="","",batches!F110)</f>
        <v/>
      </c>
      <c r="C653" s="101" t="n"/>
      <c r="D653" s="102" t="n"/>
      <c r="G653" s="80" t="inlineStr">
        <is>
          <t>Timing</t>
        </is>
      </c>
      <c r="H653" s="103">
        <f>IF(G649="","",batches!F111)</f>
        <v/>
      </c>
      <c r="I653" s="101" t="n"/>
      <c r="J653" s="102" t="n"/>
    </row>
    <row r="654" ht="15.75" customHeight="1" s="84">
      <c r="A654" s="80" t="inlineStr">
        <is>
          <t>Capacity</t>
        </is>
      </c>
      <c r="B654" s="103">
        <f>IF(A649="","",batches!G110)</f>
        <v/>
      </c>
      <c r="C654" s="101" t="n"/>
      <c r="D654" s="102" t="n"/>
      <c r="G654" s="80" t="inlineStr">
        <is>
          <t>Capacity</t>
        </is>
      </c>
      <c r="H654" s="103">
        <f>IF(G649="","",batches!G111)</f>
        <v/>
      </c>
      <c r="I654" s="101" t="n"/>
      <c r="J654" s="102" t="n"/>
    </row>
    <row r="655" ht="15.75" customHeight="1" s="84">
      <c r="A655" s="80" t="inlineStr">
        <is>
          <t>Enrolled</t>
        </is>
      </c>
      <c r="B655" s="103">
        <f>IF(A649="","",COUNTIF(admissions!$M:$M,batches!A110))</f>
        <v/>
      </c>
      <c r="C655" s="101" t="n"/>
      <c r="D655" s="102" t="n"/>
      <c r="G655" s="80" t="inlineStr">
        <is>
          <t>Enrolled</t>
        </is>
      </c>
      <c r="H655" s="103">
        <f>IF(G649="","",COUNTIF(admissions!$M:$M,batches!A111))</f>
        <v/>
      </c>
      <c r="I655" s="101" t="n"/>
      <c r="J655" s="102" t="n"/>
    </row>
    <row r="656" ht="15.75" customHeight="1" s="84">
      <c r="A656" s="80" t="inlineStr">
        <is>
          <t>Available</t>
        </is>
      </c>
      <c r="B656" s="103">
        <f>IF(OR(batches!A110="",batches!G110=""),"",batches!G110-COUNTIF(admissions!$M:$M,batches!A110))</f>
        <v/>
      </c>
      <c r="C656" s="101" t="n"/>
      <c r="D656" s="102" t="n"/>
      <c r="G656" s="80" t="inlineStr">
        <is>
          <t>Available</t>
        </is>
      </c>
      <c r="H656" s="103">
        <f>IF(OR(batches!A111="",batches!G111=""),"",batches!G111-COUNTIF(admissions!$M:$M,batches!A111))</f>
        <v/>
      </c>
      <c r="I656" s="101" t="n"/>
      <c r="J656" s="102" t="n"/>
    </row>
    <row r="657" ht="15.75" customHeight="1" s="84">
      <c r="A657" s="104" t="inlineStr">
        <is>
          <t>Student List</t>
        </is>
      </c>
      <c r="B657" s="101" t="n"/>
      <c r="C657" s="101" t="n"/>
      <c r="D657" s="102" t="n"/>
      <c r="G657" s="104" t="inlineStr">
        <is>
          <t>Student List</t>
        </is>
      </c>
      <c r="H657" s="101" t="n"/>
      <c r="I657" s="101" t="n"/>
      <c r="J657" s="102" t="n"/>
    </row>
    <row r="658" ht="15.75" customHeight="1" s="84">
      <c r="A658" s="105">
        <f>IFERROR(__xludf.DUMMYFUNCTION("IF(batches!A110="""","""",TEXTJOIN(CHAR(10),TRUE,FILTER(admissions!$G$2:$G$78,admissions!$M$2:$M$78=batches!A110,"""")))"),"")</f>
        <v/>
      </c>
      <c r="B658" s="101" t="n"/>
      <c r="C658" s="101" t="n"/>
      <c r="D658" s="102" t="n"/>
      <c r="G658" s="105">
        <f>IFERROR(__xludf.DUMMYFUNCTION("IF(batches!A111="""","""",TEXTJOIN(CHAR(10),TRUE,FILTER(admissions!$G$2:$G$78,admissions!$M$2:$M$78=batches!A111,"""")))"),"")</f>
        <v/>
      </c>
      <c r="H658" s="101" t="n"/>
      <c r="I658" s="101" t="n"/>
      <c r="J658" s="102" t="n"/>
    </row>
    <row r="659" ht="15.75" customHeight="1" s="84"/>
    <row r="660" ht="15.75" customHeight="1" s="84"/>
    <row r="661" ht="15.75" customHeight="1" s="84">
      <c r="A661" s="100">
        <f>IF(batches!A112="","",batches!A112)</f>
        <v/>
      </c>
      <c r="B661" s="101" t="n"/>
      <c r="C661" s="101" t="n"/>
      <c r="D661" s="102" t="n"/>
      <c r="G661" s="100">
        <f>IF(batches!A113="","",batches!A113)</f>
        <v/>
      </c>
      <c r="H661" s="101" t="n"/>
      <c r="I661" s="101" t="n"/>
      <c r="J661" s="102" t="n"/>
    </row>
    <row r="662" ht="15.75" customHeight="1" s="84">
      <c r="A662" s="80" t="inlineStr">
        <is>
          <t>Level / Mode</t>
        </is>
      </c>
      <c r="B662" s="103">
        <f>IF(A661="","",batches!B112&amp;" / "&amp;batches!C112)</f>
        <v/>
      </c>
      <c r="C662" s="101" t="n"/>
      <c r="D662" s="102" t="n"/>
      <c r="G662" s="80" t="inlineStr">
        <is>
          <t>Level / Mode</t>
        </is>
      </c>
      <c r="H662" s="103">
        <f>IF(G661="","",batches!B113&amp;" / "&amp;batches!C113)</f>
        <v/>
      </c>
      <c r="I662" s="101" t="n"/>
      <c r="J662" s="102" t="n"/>
    </row>
    <row r="663" ht="15.75" customHeight="1" s="84">
      <c r="A663" s="80" t="inlineStr">
        <is>
          <t>Dates</t>
        </is>
      </c>
      <c r="B663" s="103">
        <f>IF(A661="","",TEXT(batches!D112,"yyyy-mm-dd")&amp;" to "&amp;TEXT(batches!E112,"yyyy-mm-dd"))</f>
        <v/>
      </c>
      <c r="C663" s="101" t="n"/>
      <c r="D663" s="102" t="n"/>
      <c r="G663" s="80" t="inlineStr">
        <is>
          <t>Dates</t>
        </is>
      </c>
      <c r="H663" s="103">
        <f>IF(G661="","",TEXT(batches!D113,"yyyy-mm-dd")&amp;" to "&amp;TEXT(batches!E113,"yyyy-mm-dd"))</f>
        <v/>
      </c>
      <c r="I663" s="101" t="n"/>
      <c r="J663" s="102" t="n"/>
    </row>
    <row r="664" ht="15.75" customHeight="1" s="84">
      <c r="A664" s="80" t="inlineStr">
        <is>
          <t>Duration</t>
        </is>
      </c>
      <c r="B664" s="103">
        <f>IF(OR(batches!D112="",batches!E112=""),"",batches!E112-batches!D112+1&amp;" days")</f>
        <v/>
      </c>
      <c r="C664" s="101" t="n"/>
      <c r="D664" s="102" t="n"/>
      <c r="G664" s="80" t="inlineStr">
        <is>
          <t>Duration</t>
        </is>
      </c>
      <c r="H664" s="103">
        <f>IF(OR(batches!D113="",batches!E113=""),"",batches!E113-batches!D113+1&amp;" days")</f>
        <v/>
      </c>
      <c r="I664" s="101" t="n"/>
      <c r="J664" s="102" t="n"/>
    </row>
    <row r="665" ht="15.75" customHeight="1" s="84">
      <c r="A665" s="80" t="inlineStr">
        <is>
          <t>Timing</t>
        </is>
      </c>
      <c r="B665" s="103">
        <f>IF(A661="","",batches!F112)</f>
        <v/>
      </c>
      <c r="C665" s="101" t="n"/>
      <c r="D665" s="102" t="n"/>
      <c r="G665" s="80" t="inlineStr">
        <is>
          <t>Timing</t>
        </is>
      </c>
      <c r="H665" s="103">
        <f>IF(G661="","",batches!F113)</f>
        <v/>
      </c>
      <c r="I665" s="101" t="n"/>
      <c r="J665" s="102" t="n"/>
    </row>
    <row r="666" ht="15.75" customHeight="1" s="84">
      <c r="A666" s="80" t="inlineStr">
        <is>
          <t>Capacity</t>
        </is>
      </c>
      <c r="B666" s="103">
        <f>IF(A661="","",batches!G112)</f>
        <v/>
      </c>
      <c r="C666" s="101" t="n"/>
      <c r="D666" s="102" t="n"/>
      <c r="G666" s="80" t="inlineStr">
        <is>
          <t>Capacity</t>
        </is>
      </c>
      <c r="H666" s="103">
        <f>IF(G661="","",batches!G113)</f>
        <v/>
      </c>
      <c r="I666" s="101" t="n"/>
      <c r="J666" s="102" t="n"/>
    </row>
    <row r="667" ht="15.75" customHeight="1" s="84">
      <c r="A667" s="80" t="inlineStr">
        <is>
          <t>Enrolled</t>
        </is>
      </c>
      <c r="B667" s="103">
        <f>IF(A661="","",COUNTIF(admissions!$M:$M,batches!A112))</f>
        <v/>
      </c>
      <c r="C667" s="101" t="n"/>
      <c r="D667" s="102" t="n"/>
      <c r="G667" s="80" t="inlineStr">
        <is>
          <t>Enrolled</t>
        </is>
      </c>
      <c r="H667" s="103">
        <f>IF(G661="","",COUNTIF(admissions!$M:$M,batches!A113))</f>
        <v/>
      </c>
      <c r="I667" s="101" t="n"/>
      <c r="J667" s="102" t="n"/>
    </row>
    <row r="668" ht="15.75" customHeight="1" s="84">
      <c r="A668" s="80" t="inlineStr">
        <is>
          <t>Available</t>
        </is>
      </c>
      <c r="B668" s="103">
        <f>IF(OR(batches!A112="",batches!G112=""),"",batches!G112-COUNTIF(admissions!$M:$M,batches!A112))</f>
        <v/>
      </c>
      <c r="C668" s="101" t="n"/>
      <c r="D668" s="102" t="n"/>
      <c r="G668" s="80" t="inlineStr">
        <is>
          <t>Available</t>
        </is>
      </c>
      <c r="H668" s="103">
        <f>IF(OR(batches!A113="",batches!G113=""),"",batches!G113-COUNTIF(admissions!$M:$M,batches!A113))</f>
        <v/>
      </c>
      <c r="I668" s="101" t="n"/>
      <c r="J668" s="102" t="n"/>
    </row>
    <row r="669" ht="15.75" customHeight="1" s="84">
      <c r="A669" s="104" t="inlineStr">
        <is>
          <t>Student List</t>
        </is>
      </c>
      <c r="B669" s="101" t="n"/>
      <c r="C669" s="101" t="n"/>
      <c r="D669" s="102" t="n"/>
      <c r="G669" s="104" t="inlineStr">
        <is>
          <t>Student List</t>
        </is>
      </c>
      <c r="H669" s="101" t="n"/>
      <c r="I669" s="101" t="n"/>
      <c r="J669" s="102" t="n"/>
    </row>
    <row r="670" ht="15.75" customHeight="1" s="84">
      <c r="A670" s="105">
        <f>IFERROR(__xludf.DUMMYFUNCTION("IF(batches!A112="""","""",TEXTJOIN(CHAR(10),TRUE,FILTER(admissions!$G$2:$G$78,admissions!$M$2:$M$78=batches!A112,"""")))"),"")</f>
        <v/>
      </c>
      <c r="B670" s="101" t="n"/>
      <c r="C670" s="101" t="n"/>
      <c r="D670" s="102" t="n"/>
      <c r="G670" s="105">
        <f>IFERROR(__xludf.DUMMYFUNCTION("IF(batches!A113="""","""",TEXTJOIN(CHAR(10),TRUE,FILTER(admissions!$G$2:$G$78,admissions!$M$2:$M$78=batches!A113,"""")))"),"")</f>
        <v/>
      </c>
      <c r="H670" s="101" t="n"/>
      <c r="I670" s="101" t="n"/>
      <c r="J670" s="102" t="n"/>
    </row>
    <row r="671" ht="15.75" customHeight="1" s="84"/>
    <row r="672" ht="15.75" customHeight="1" s="84"/>
    <row r="673" ht="15.75" customHeight="1" s="84">
      <c r="A673" s="100">
        <f>IF(batches!A114="","",batches!A114)</f>
        <v/>
      </c>
      <c r="B673" s="101" t="n"/>
      <c r="C673" s="101" t="n"/>
      <c r="D673" s="102" t="n"/>
      <c r="G673" s="100">
        <f>IF(batches!A115="","",batches!A115)</f>
        <v/>
      </c>
      <c r="H673" s="101" t="n"/>
      <c r="I673" s="101" t="n"/>
      <c r="J673" s="102" t="n"/>
    </row>
    <row r="674" ht="15.75" customHeight="1" s="84">
      <c r="A674" s="80" t="inlineStr">
        <is>
          <t>Level / Mode</t>
        </is>
      </c>
      <c r="B674" s="103">
        <f>IF(A673="","",batches!B114&amp;" / "&amp;batches!C114)</f>
        <v/>
      </c>
      <c r="C674" s="101" t="n"/>
      <c r="D674" s="102" t="n"/>
      <c r="G674" s="80" t="inlineStr">
        <is>
          <t>Level / Mode</t>
        </is>
      </c>
      <c r="H674" s="103">
        <f>IF(G673="","",batches!B115&amp;" / "&amp;batches!C115)</f>
        <v/>
      </c>
      <c r="I674" s="101" t="n"/>
      <c r="J674" s="102" t="n"/>
    </row>
    <row r="675" ht="15.75" customHeight="1" s="84">
      <c r="A675" s="80" t="inlineStr">
        <is>
          <t>Dates</t>
        </is>
      </c>
      <c r="B675" s="103">
        <f>IF(A673="","",TEXT(batches!D114,"yyyy-mm-dd")&amp;" to "&amp;TEXT(batches!E114,"yyyy-mm-dd"))</f>
        <v/>
      </c>
      <c r="C675" s="101" t="n"/>
      <c r="D675" s="102" t="n"/>
      <c r="G675" s="80" t="inlineStr">
        <is>
          <t>Dates</t>
        </is>
      </c>
      <c r="H675" s="103">
        <f>IF(G673="","",TEXT(batches!D115,"yyyy-mm-dd")&amp;" to "&amp;TEXT(batches!E115,"yyyy-mm-dd"))</f>
        <v/>
      </c>
      <c r="I675" s="101" t="n"/>
      <c r="J675" s="102" t="n"/>
    </row>
    <row r="676" ht="15.75" customHeight="1" s="84">
      <c r="A676" s="80" t="inlineStr">
        <is>
          <t>Duration</t>
        </is>
      </c>
      <c r="B676" s="103">
        <f>IF(OR(batches!D114="",batches!E114=""),"",batches!E114-batches!D114+1&amp;" days")</f>
        <v/>
      </c>
      <c r="C676" s="101" t="n"/>
      <c r="D676" s="102" t="n"/>
      <c r="G676" s="80" t="inlineStr">
        <is>
          <t>Duration</t>
        </is>
      </c>
      <c r="H676" s="103">
        <f>IF(OR(batches!D115="",batches!E115=""),"",batches!E115-batches!D115+1&amp;" days")</f>
        <v/>
      </c>
      <c r="I676" s="101" t="n"/>
      <c r="J676" s="102" t="n"/>
    </row>
    <row r="677" ht="15.75" customHeight="1" s="84">
      <c r="A677" s="80" t="inlineStr">
        <is>
          <t>Timing</t>
        </is>
      </c>
      <c r="B677" s="103">
        <f>IF(A673="","",batches!F114)</f>
        <v/>
      </c>
      <c r="C677" s="101" t="n"/>
      <c r="D677" s="102" t="n"/>
      <c r="G677" s="80" t="inlineStr">
        <is>
          <t>Timing</t>
        </is>
      </c>
      <c r="H677" s="103">
        <f>IF(G673="","",batches!F115)</f>
        <v/>
      </c>
      <c r="I677" s="101" t="n"/>
      <c r="J677" s="102" t="n"/>
    </row>
    <row r="678" ht="15.75" customHeight="1" s="84">
      <c r="A678" s="80" t="inlineStr">
        <is>
          <t>Capacity</t>
        </is>
      </c>
      <c r="B678" s="103">
        <f>IF(A673="","",batches!G114)</f>
        <v/>
      </c>
      <c r="C678" s="101" t="n"/>
      <c r="D678" s="102" t="n"/>
      <c r="G678" s="80" t="inlineStr">
        <is>
          <t>Capacity</t>
        </is>
      </c>
      <c r="H678" s="103">
        <f>IF(G673="","",batches!G115)</f>
        <v/>
      </c>
      <c r="I678" s="101" t="n"/>
      <c r="J678" s="102" t="n"/>
    </row>
    <row r="679" ht="15.75" customHeight="1" s="84">
      <c r="A679" s="80" t="inlineStr">
        <is>
          <t>Enrolled</t>
        </is>
      </c>
      <c r="B679" s="103">
        <f>IF(A673="","",COUNTIF(admissions!$M:$M,batches!A114))</f>
        <v/>
      </c>
      <c r="C679" s="101" t="n"/>
      <c r="D679" s="102" t="n"/>
      <c r="G679" s="80" t="inlineStr">
        <is>
          <t>Enrolled</t>
        </is>
      </c>
      <c r="H679" s="103">
        <f>IF(G673="","",COUNTIF(admissions!$M:$M,batches!A115))</f>
        <v/>
      </c>
      <c r="I679" s="101" t="n"/>
      <c r="J679" s="102" t="n"/>
    </row>
    <row r="680" ht="15.75" customHeight="1" s="84">
      <c r="A680" s="80" t="inlineStr">
        <is>
          <t>Available</t>
        </is>
      </c>
      <c r="B680" s="103">
        <f>IF(OR(batches!A114="",batches!G114=""),"",batches!G114-COUNTIF(admissions!$M:$M,batches!A114))</f>
        <v/>
      </c>
      <c r="C680" s="101" t="n"/>
      <c r="D680" s="102" t="n"/>
      <c r="G680" s="80" t="inlineStr">
        <is>
          <t>Available</t>
        </is>
      </c>
      <c r="H680" s="103">
        <f>IF(OR(batches!A115="",batches!G115=""),"",batches!G115-COUNTIF(admissions!$M:$M,batches!A115))</f>
        <v/>
      </c>
      <c r="I680" s="101" t="n"/>
      <c r="J680" s="102" t="n"/>
    </row>
    <row r="681" ht="15.75" customHeight="1" s="84">
      <c r="A681" s="104" t="inlineStr">
        <is>
          <t>Student List</t>
        </is>
      </c>
      <c r="B681" s="101" t="n"/>
      <c r="C681" s="101" t="n"/>
      <c r="D681" s="102" t="n"/>
      <c r="G681" s="104" t="inlineStr">
        <is>
          <t>Student List</t>
        </is>
      </c>
      <c r="H681" s="101" t="n"/>
      <c r="I681" s="101" t="n"/>
      <c r="J681" s="102" t="n"/>
    </row>
    <row r="682" ht="15.75" customHeight="1" s="84">
      <c r="A682" s="105">
        <f>IFERROR(__xludf.DUMMYFUNCTION("IF(batches!A114="""","""",TEXTJOIN(CHAR(10),TRUE,FILTER(admissions!$G$2:$G$78,admissions!$M$2:$M$78=batches!A114,"""")))"),"")</f>
        <v/>
      </c>
      <c r="B682" s="101" t="n"/>
      <c r="C682" s="101" t="n"/>
      <c r="D682" s="102" t="n"/>
      <c r="G682" s="105">
        <f>IFERROR(__xludf.DUMMYFUNCTION("IF(batches!A115="""","""",TEXTJOIN(CHAR(10),TRUE,FILTER(admissions!$G$2:$G$78,admissions!$M$2:$M$78=batches!A115,"""")))"),"")</f>
        <v/>
      </c>
      <c r="H682" s="101" t="n"/>
      <c r="I682" s="101" t="n"/>
      <c r="J682" s="102" t="n"/>
    </row>
    <row r="683" ht="15.75" customHeight="1" s="84"/>
    <row r="684" ht="15.75" customHeight="1" s="84"/>
    <row r="685" ht="15.75" customHeight="1" s="84">
      <c r="A685" s="100">
        <f>IF(batches!A116="","",batches!A116)</f>
        <v/>
      </c>
      <c r="B685" s="101" t="n"/>
      <c r="C685" s="101" t="n"/>
      <c r="D685" s="102" t="n"/>
      <c r="G685" s="100">
        <f>IF(batches!A117="","",batches!A117)</f>
        <v/>
      </c>
      <c r="H685" s="101" t="n"/>
      <c r="I685" s="101" t="n"/>
      <c r="J685" s="102" t="n"/>
    </row>
    <row r="686" ht="15.75" customHeight="1" s="84">
      <c r="A686" s="80" t="inlineStr">
        <is>
          <t>Level / Mode</t>
        </is>
      </c>
      <c r="B686" s="103">
        <f>IF(A685="","",batches!B116&amp;" / "&amp;batches!C116)</f>
        <v/>
      </c>
      <c r="C686" s="101" t="n"/>
      <c r="D686" s="102" t="n"/>
      <c r="G686" s="80" t="inlineStr">
        <is>
          <t>Level / Mode</t>
        </is>
      </c>
      <c r="H686" s="103">
        <f>IF(G685="","",batches!B117&amp;" / "&amp;batches!C117)</f>
        <v/>
      </c>
      <c r="I686" s="101" t="n"/>
      <c r="J686" s="102" t="n"/>
    </row>
    <row r="687" ht="15.75" customHeight="1" s="84">
      <c r="A687" s="80" t="inlineStr">
        <is>
          <t>Dates</t>
        </is>
      </c>
      <c r="B687" s="103">
        <f>IF(A685="","",TEXT(batches!D116,"yyyy-mm-dd")&amp;" to "&amp;TEXT(batches!E116,"yyyy-mm-dd"))</f>
        <v/>
      </c>
      <c r="C687" s="101" t="n"/>
      <c r="D687" s="102" t="n"/>
      <c r="G687" s="80" t="inlineStr">
        <is>
          <t>Dates</t>
        </is>
      </c>
      <c r="H687" s="103">
        <f>IF(G685="","",TEXT(batches!D117,"yyyy-mm-dd")&amp;" to "&amp;TEXT(batches!E117,"yyyy-mm-dd"))</f>
        <v/>
      </c>
      <c r="I687" s="101" t="n"/>
      <c r="J687" s="102" t="n"/>
    </row>
    <row r="688" ht="15.75" customHeight="1" s="84">
      <c r="A688" s="80" t="inlineStr">
        <is>
          <t>Duration</t>
        </is>
      </c>
      <c r="B688" s="103">
        <f>IF(OR(batches!D116="",batches!E116=""),"",batches!E116-batches!D116+1&amp;" days")</f>
        <v/>
      </c>
      <c r="C688" s="101" t="n"/>
      <c r="D688" s="102" t="n"/>
      <c r="G688" s="80" t="inlineStr">
        <is>
          <t>Duration</t>
        </is>
      </c>
      <c r="H688" s="103">
        <f>IF(OR(batches!D117="",batches!E117=""),"",batches!E117-batches!D117+1&amp;" days")</f>
        <v/>
      </c>
      <c r="I688" s="101" t="n"/>
      <c r="J688" s="102" t="n"/>
    </row>
    <row r="689" ht="15.75" customHeight="1" s="84">
      <c r="A689" s="80" t="inlineStr">
        <is>
          <t>Timing</t>
        </is>
      </c>
      <c r="B689" s="103">
        <f>IF(A685="","",batches!F116)</f>
        <v/>
      </c>
      <c r="C689" s="101" t="n"/>
      <c r="D689" s="102" t="n"/>
      <c r="G689" s="80" t="inlineStr">
        <is>
          <t>Timing</t>
        </is>
      </c>
      <c r="H689" s="103">
        <f>IF(G685="","",batches!F117)</f>
        <v/>
      </c>
      <c r="I689" s="101" t="n"/>
      <c r="J689" s="102" t="n"/>
    </row>
    <row r="690" ht="15.75" customHeight="1" s="84">
      <c r="A690" s="80" t="inlineStr">
        <is>
          <t>Capacity</t>
        </is>
      </c>
      <c r="B690" s="103">
        <f>IF(A685="","",batches!G116)</f>
        <v/>
      </c>
      <c r="C690" s="101" t="n"/>
      <c r="D690" s="102" t="n"/>
      <c r="G690" s="80" t="inlineStr">
        <is>
          <t>Capacity</t>
        </is>
      </c>
      <c r="H690" s="103">
        <f>IF(G685="","",batches!G117)</f>
        <v/>
      </c>
      <c r="I690" s="101" t="n"/>
      <c r="J690" s="102" t="n"/>
    </row>
    <row r="691" ht="15.75" customHeight="1" s="84">
      <c r="A691" s="80" t="inlineStr">
        <is>
          <t>Enrolled</t>
        </is>
      </c>
      <c r="B691" s="103">
        <f>IF(A685="","",COUNTIF(admissions!$M:$M,batches!A116))</f>
        <v/>
      </c>
      <c r="C691" s="101" t="n"/>
      <c r="D691" s="102" t="n"/>
      <c r="G691" s="80" t="inlineStr">
        <is>
          <t>Enrolled</t>
        </is>
      </c>
      <c r="H691" s="103">
        <f>IF(G685="","",COUNTIF(admissions!$M:$M,batches!A117))</f>
        <v/>
      </c>
      <c r="I691" s="101" t="n"/>
      <c r="J691" s="102" t="n"/>
    </row>
    <row r="692" ht="15.75" customHeight="1" s="84">
      <c r="A692" s="80" t="inlineStr">
        <is>
          <t>Available</t>
        </is>
      </c>
      <c r="B692" s="103">
        <f>IF(OR(batches!A116="",batches!G116=""),"",batches!G116-COUNTIF(admissions!$M:$M,batches!A116))</f>
        <v/>
      </c>
      <c r="C692" s="101" t="n"/>
      <c r="D692" s="102" t="n"/>
      <c r="G692" s="80" t="inlineStr">
        <is>
          <t>Available</t>
        </is>
      </c>
      <c r="H692" s="103">
        <f>IF(OR(batches!A117="",batches!G117=""),"",batches!G117-COUNTIF(admissions!$M:$M,batches!A117))</f>
        <v/>
      </c>
      <c r="I692" s="101" t="n"/>
      <c r="J692" s="102" t="n"/>
    </row>
    <row r="693" ht="15.75" customHeight="1" s="84">
      <c r="A693" s="104" t="inlineStr">
        <is>
          <t>Student List</t>
        </is>
      </c>
      <c r="B693" s="101" t="n"/>
      <c r="C693" s="101" t="n"/>
      <c r="D693" s="102" t="n"/>
      <c r="G693" s="104" t="inlineStr">
        <is>
          <t>Student List</t>
        </is>
      </c>
      <c r="H693" s="101" t="n"/>
      <c r="I693" s="101" t="n"/>
      <c r="J693" s="102" t="n"/>
    </row>
    <row r="694" ht="15.75" customHeight="1" s="84">
      <c r="A694" s="105">
        <f>IFERROR(__xludf.DUMMYFUNCTION("IF(batches!A116="""","""",TEXTJOIN(CHAR(10),TRUE,FILTER(admissions!$G$2:$G$78,admissions!$M$2:$M$78=batches!A116,"""")))"),"")</f>
        <v/>
      </c>
      <c r="B694" s="101" t="n"/>
      <c r="C694" s="101" t="n"/>
      <c r="D694" s="102" t="n"/>
      <c r="G694" s="105">
        <f>IFERROR(__xludf.DUMMYFUNCTION("IF(batches!A117="""","""",TEXTJOIN(CHAR(10),TRUE,FILTER(admissions!$G$2:$G$78,admissions!$M$2:$M$78=batches!A117,"""")))"),"")</f>
        <v/>
      </c>
      <c r="H694" s="101" t="n"/>
      <c r="I694" s="101" t="n"/>
      <c r="J694" s="102" t="n"/>
    </row>
    <row r="695" ht="15.75" customHeight="1" s="84"/>
    <row r="696" ht="15.75" customHeight="1" s="84"/>
    <row r="697" ht="15.75" customHeight="1" s="84">
      <c r="A697" s="100">
        <f>IF(batches!A118="","",batches!A118)</f>
        <v/>
      </c>
      <c r="B697" s="101" t="n"/>
      <c r="C697" s="101" t="n"/>
      <c r="D697" s="102" t="n"/>
      <c r="G697" s="100">
        <f>IF(batches!A119="","",batches!A119)</f>
        <v/>
      </c>
      <c r="H697" s="101" t="n"/>
      <c r="I697" s="101" t="n"/>
      <c r="J697" s="102" t="n"/>
    </row>
    <row r="698" ht="15.75" customHeight="1" s="84">
      <c r="A698" s="80" t="inlineStr">
        <is>
          <t>Level / Mode</t>
        </is>
      </c>
      <c r="B698" s="103">
        <f>IF(A697="","",batches!B118&amp;" / "&amp;batches!C118)</f>
        <v/>
      </c>
      <c r="C698" s="101" t="n"/>
      <c r="D698" s="102" t="n"/>
      <c r="G698" s="80" t="inlineStr">
        <is>
          <t>Level / Mode</t>
        </is>
      </c>
      <c r="H698" s="103">
        <f>IF(G697="","",batches!B119&amp;" / "&amp;batches!C119)</f>
        <v/>
      </c>
      <c r="I698" s="101" t="n"/>
      <c r="J698" s="102" t="n"/>
    </row>
    <row r="699" ht="15.75" customHeight="1" s="84">
      <c r="A699" s="80" t="inlineStr">
        <is>
          <t>Dates</t>
        </is>
      </c>
      <c r="B699" s="103">
        <f>IF(A697="","",TEXT(batches!D118,"yyyy-mm-dd")&amp;" to "&amp;TEXT(batches!E118,"yyyy-mm-dd"))</f>
        <v/>
      </c>
      <c r="C699" s="101" t="n"/>
      <c r="D699" s="102" t="n"/>
      <c r="G699" s="80" t="inlineStr">
        <is>
          <t>Dates</t>
        </is>
      </c>
      <c r="H699" s="103">
        <f>IF(G697="","",TEXT(batches!D119,"yyyy-mm-dd")&amp;" to "&amp;TEXT(batches!E119,"yyyy-mm-dd"))</f>
        <v/>
      </c>
      <c r="I699" s="101" t="n"/>
      <c r="J699" s="102" t="n"/>
    </row>
    <row r="700" ht="15.75" customHeight="1" s="84">
      <c r="A700" s="80" t="inlineStr">
        <is>
          <t>Duration</t>
        </is>
      </c>
      <c r="B700" s="103">
        <f>IF(OR(batches!D118="",batches!E118=""),"",batches!E118-batches!D118+1&amp;" days")</f>
        <v/>
      </c>
      <c r="C700" s="101" t="n"/>
      <c r="D700" s="102" t="n"/>
      <c r="G700" s="80" t="inlineStr">
        <is>
          <t>Duration</t>
        </is>
      </c>
      <c r="H700" s="103">
        <f>IF(OR(batches!D119="",batches!E119=""),"",batches!E119-batches!D119+1&amp;" days")</f>
        <v/>
      </c>
      <c r="I700" s="101" t="n"/>
      <c r="J700" s="102" t="n"/>
    </row>
    <row r="701" ht="15.75" customHeight="1" s="84">
      <c r="A701" s="80" t="inlineStr">
        <is>
          <t>Timing</t>
        </is>
      </c>
      <c r="B701" s="103">
        <f>IF(A697="","",batches!F118)</f>
        <v/>
      </c>
      <c r="C701" s="101" t="n"/>
      <c r="D701" s="102" t="n"/>
      <c r="G701" s="80" t="inlineStr">
        <is>
          <t>Timing</t>
        </is>
      </c>
      <c r="H701" s="103">
        <f>IF(G697="","",batches!F119)</f>
        <v/>
      </c>
      <c r="I701" s="101" t="n"/>
      <c r="J701" s="102" t="n"/>
    </row>
    <row r="702" ht="15.75" customHeight="1" s="84">
      <c r="A702" s="80" t="inlineStr">
        <is>
          <t>Capacity</t>
        </is>
      </c>
      <c r="B702" s="103">
        <f>IF(A697="","",batches!G118)</f>
        <v/>
      </c>
      <c r="C702" s="101" t="n"/>
      <c r="D702" s="102" t="n"/>
      <c r="G702" s="80" t="inlineStr">
        <is>
          <t>Capacity</t>
        </is>
      </c>
      <c r="H702" s="103">
        <f>IF(G697="","",batches!G119)</f>
        <v/>
      </c>
      <c r="I702" s="101" t="n"/>
      <c r="J702" s="102" t="n"/>
    </row>
    <row r="703" ht="15.75" customHeight="1" s="84">
      <c r="A703" s="80" t="inlineStr">
        <is>
          <t>Enrolled</t>
        </is>
      </c>
      <c r="B703" s="103">
        <f>IF(A697="","",COUNTIF(admissions!$M:$M,batches!A118))</f>
        <v/>
      </c>
      <c r="C703" s="101" t="n"/>
      <c r="D703" s="102" t="n"/>
      <c r="G703" s="80" t="inlineStr">
        <is>
          <t>Enrolled</t>
        </is>
      </c>
      <c r="H703" s="103">
        <f>IF(G697="","",COUNTIF(admissions!$M:$M,batches!A119))</f>
        <v/>
      </c>
      <c r="I703" s="101" t="n"/>
      <c r="J703" s="102" t="n"/>
    </row>
    <row r="704" ht="15.75" customHeight="1" s="84">
      <c r="A704" s="80" t="inlineStr">
        <is>
          <t>Available</t>
        </is>
      </c>
      <c r="B704" s="103">
        <f>IF(OR(batches!A118="",batches!G118=""),"",batches!G118-COUNTIF(admissions!$M:$M,batches!A118))</f>
        <v/>
      </c>
      <c r="C704" s="101" t="n"/>
      <c r="D704" s="102" t="n"/>
      <c r="G704" s="80" t="inlineStr">
        <is>
          <t>Available</t>
        </is>
      </c>
      <c r="H704" s="103">
        <f>IF(OR(batches!A119="",batches!G119=""),"",batches!G119-COUNTIF(admissions!$M:$M,batches!A119))</f>
        <v/>
      </c>
      <c r="I704" s="101" t="n"/>
      <c r="J704" s="102" t="n"/>
    </row>
    <row r="705" ht="15.75" customHeight="1" s="84">
      <c r="A705" s="104" t="inlineStr">
        <is>
          <t>Student List</t>
        </is>
      </c>
      <c r="B705" s="101" t="n"/>
      <c r="C705" s="101" t="n"/>
      <c r="D705" s="102" t="n"/>
      <c r="G705" s="104" t="inlineStr">
        <is>
          <t>Student List</t>
        </is>
      </c>
      <c r="H705" s="101" t="n"/>
      <c r="I705" s="101" t="n"/>
      <c r="J705" s="102" t="n"/>
    </row>
    <row r="706" ht="15.75" customHeight="1" s="84">
      <c r="A706" s="105">
        <f>IFERROR(__xludf.DUMMYFUNCTION("IF(batches!A118="""","""",TEXTJOIN(CHAR(10),TRUE,FILTER(admissions!$G$2:$G$78,admissions!$M$2:$M$78=batches!A118,"""")))"),"")</f>
        <v/>
      </c>
      <c r="B706" s="101" t="n"/>
      <c r="C706" s="101" t="n"/>
      <c r="D706" s="102" t="n"/>
      <c r="G706" s="105">
        <f>IFERROR(__xludf.DUMMYFUNCTION("IF(batches!A119="""","""",TEXTJOIN(CHAR(10),TRUE,FILTER(admissions!$G$2:$G$78,admissions!$M$2:$M$78=batches!A119,"""")))"),"")</f>
        <v/>
      </c>
      <c r="H706" s="101" t="n"/>
      <c r="I706" s="101" t="n"/>
      <c r="J706" s="102" t="n"/>
    </row>
    <row r="707" ht="15.75" customHeight="1" s="84"/>
    <row r="708" ht="15.75" customHeight="1" s="84"/>
    <row r="709" ht="15.75" customHeight="1" s="84">
      <c r="A709" s="100">
        <f>IF(batches!A120="","",batches!A120)</f>
        <v/>
      </c>
      <c r="B709" s="101" t="n"/>
      <c r="C709" s="101" t="n"/>
      <c r="D709" s="102" t="n"/>
      <c r="G709" s="100">
        <f>IF(batches!A121="","",batches!A121)</f>
        <v/>
      </c>
      <c r="H709" s="101" t="n"/>
      <c r="I709" s="101" t="n"/>
      <c r="J709" s="102" t="n"/>
    </row>
    <row r="710" ht="15.75" customHeight="1" s="84">
      <c r="A710" s="80" t="inlineStr">
        <is>
          <t>Level / Mode</t>
        </is>
      </c>
      <c r="B710" s="103">
        <f>IF(A709="","",batches!B120&amp;" / "&amp;batches!C120)</f>
        <v/>
      </c>
      <c r="C710" s="101" t="n"/>
      <c r="D710" s="102" t="n"/>
      <c r="G710" s="80" t="inlineStr">
        <is>
          <t>Level / Mode</t>
        </is>
      </c>
      <c r="H710" s="103">
        <f>IF(G709="","",batches!B121&amp;" / "&amp;batches!C121)</f>
        <v/>
      </c>
      <c r="I710" s="101" t="n"/>
      <c r="J710" s="102" t="n"/>
    </row>
    <row r="711" ht="15.75" customHeight="1" s="84">
      <c r="A711" s="80" t="inlineStr">
        <is>
          <t>Dates</t>
        </is>
      </c>
      <c r="B711" s="103">
        <f>IF(A709="","",TEXT(batches!D120,"yyyy-mm-dd")&amp;" to "&amp;TEXT(batches!E120,"yyyy-mm-dd"))</f>
        <v/>
      </c>
      <c r="C711" s="101" t="n"/>
      <c r="D711" s="102" t="n"/>
      <c r="G711" s="80" t="inlineStr">
        <is>
          <t>Dates</t>
        </is>
      </c>
      <c r="H711" s="103">
        <f>IF(G709="","",TEXT(batches!D121,"yyyy-mm-dd")&amp;" to "&amp;TEXT(batches!E121,"yyyy-mm-dd"))</f>
        <v/>
      </c>
      <c r="I711" s="101" t="n"/>
      <c r="J711" s="102" t="n"/>
    </row>
    <row r="712" ht="15.75" customHeight="1" s="84">
      <c r="A712" s="80" t="inlineStr">
        <is>
          <t>Duration</t>
        </is>
      </c>
      <c r="B712" s="103">
        <f>IF(OR(batches!D120="",batches!E120=""),"",batches!E120-batches!D120+1&amp;" days")</f>
        <v/>
      </c>
      <c r="C712" s="101" t="n"/>
      <c r="D712" s="102" t="n"/>
      <c r="G712" s="80" t="inlineStr">
        <is>
          <t>Duration</t>
        </is>
      </c>
      <c r="H712" s="103">
        <f>IF(OR(batches!D121="",batches!E121=""),"",batches!E121-batches!D121+1&amp;" days")</f>
        <v/>
      </c>
      <c r="I712" s="101" t="n"/>
      <c r="J712" s="102" t="n"/>
    </row>
    <row r="713" ht="15.75" customHeight="1" s="84">
      <c r="A713" s="80" t="inlineStr">
        <is>
          <t>Timing</t>
        </is>
      </c>
      <c r="B713" s="103">
        <f>IF(A709="","",batches!F120)</f>
        <v/>
      </c>
      <c r="C713" s="101" t="n"/>
      <c r="D713" s="102" t="n"/>
      <c r="G713" s="80" t="inlineStr">
        <is>
          <t>Timing</t>
        </is>
      </c>
      <c r="H713" s="103">
        <f>IF(G709="","",batches!F121)</f>
        <v/>
      </c>
      <c r="I713" s="101" t="n"/>
      <c r="J713" s="102" t="n"/>
    </row>
    <row r="714" ht="15.75" customHeight="1" s="84">
      <c r="A714" s="80" t="inlineStr">
        <is>
          <t>Capacity</t>
        </is>
      </c>
      <c r="B714" s="103">
        <f>IF(A709="","",batches!G120)</f>
        <v/>
      </c>
      <c r="C714" s="101" t="n"/>
      <c r="D714" s="102" t="n"/>
      <c r="G714" s="80" t="inlineStr">
        <is>
          <t>Capacity</t>
        </is>
      </c>
      <c r="H714" s="103">
        <f>IF(G709="","",batches!G121)</f>
        <v/>
      </c>
      <c r="I714" s="101" t="n"/>
      <c r="J714" s="102" t="n"/>
    </row>
    <row r="715" ht="15.75" customHeight="1" s="84">
      <c r="A715" s="80" t="inlineStr">
        <is>
          <t>Enrolled</t>
        </is>
      </c>
      <c r="B715" s="103">
        <f>IF(A709="","",COUNTIF(admissions!$M:$M,batches!A120))</f>
        <v/>
      </c>
      <c r="C715" s="101" t="n"/>
      <c r="D715" s="102" t="n"/>
      <c r="G715" s="80" t="inlineStr">
        <is>
          <t>Enrolled</t>
        </is>
      </c>
      <c r="H715" s="103">
        <f>IF(G709="","",COUNTIF(admissions!$M:$M,batches!A121))</f>
        <v/>
      </c>
      <c r="I715" s="101" t="n"/>
      <c r="J715" s="102" t="n"/>
    </row>
    <row r="716" ht="15.75" customHeight="1" s="84">
      <c r="A716" s="80" t="inlineStr">
        <is>
          <t>Available</t>
        </is>
      </c>
      <c r="B716" s="103">
        <f>IF(OR(batches!A120="",batches!G120=""),"",batches!G120-COUNTIF(admissions!$M:$M,batches!A120))</f>
        <v/>
      </c>
      <c r="C716" s="101" t="n"/>
      <c r="D716" s="102" t="n"/>
      <c r="G716" s="80" t="inlineStr">
        <is>
          <t>Available</t>
        </is>
      </c>
      <c r="H716" s="103">
        <f>IF(OR(batches!A121="",batches!G121=""),"",batches!G121-COUNTIF(admissions!$M:$M,batches!A121))</f>
        <v/>
      </c>
      <c r="I716" s="101" t="n"/>
      <c r="J716" s="102" t="n"/>
    </row>
    <row r="717" ht="15.75" customHeight="1" s="84">
      <c r="A717" s="104" t="inlineStr">
        <is>
          <t>Student List</t>
        </is>
      </c>
      <c r="B717" s="101" t="n"/>
      <c r="C717" s="101" t="n"/>
      <c r="D717" s="102" t="n"/>
      <c r="G717" s="104" t="inlineStr">
        <is>
          <t>Student List</t>
        </is>
      </c>
      <c r="H717" s="101" t="n"/>
      <c r="I717" s="101" t="n"/>
      <c r="J717" s="102" t="n"/>
    </row>
    <row r="718" ht="15.75" customHeight="1" s="84">
      <c r="A718" s="105">
        <f>IFERROR(__xludf.DUMMYFUNCTION("IF(batches!A120="""","""",TEXTJOIN(CHAR(10),TRUE,FILTER(admissions!$G$2:$G$78,admissions!$M$2:$M$78=batches!A120,"""")))"),"")</f>
        <v/>
      </c>
      <c r="B718" s="101" t="n"/>
      <c r="C718" s="101" t="n"/>
      <c r="D718" s="102" t="n"/>
      <c r="G718" s="105">
        <f>IFERROR(__xludf.DUMMYFUNCTION("IF(batches!A121="""","""",TEXTJOIN(CHAR(10),TRUE,FILTER(admissions!$G$2:$G$78,admissions!$M$2:$M$78=batches!A121,"""")))"),"")</f>
        <v/>
      </c>
      <c r="H718" s="101" t="n"/>
      <c r="I718" s="101" t="n"/>
      <c r="J718" s="102" t="n"/>
    </row>
    <row r="719" ht="15.75" customHeight="1" s="84"/>
    <row r="720" ht="15.75" customHeight="1" s="84"/>
    <row r="721" ht="15.75" customHeight="1" s="84">
      <c r="A721" s="100">
        <f>IF(batches!A122="","",batches!A122)</f>
        <v/>
      </c>
      <c r="B721" s="101" t="n"/>
      <c r="C721" s="101" t="n"/>
      <c r="D721" s="102" t="n"/>
      <c r="G721" s="100">
        <f>IF(batches!A123="","",batches!A123)</f>
        <v/>
      </c>
      <c r="H721" s="101" t="n"/>
      <c r="I721" s="101" t="n"/>
      <c r="J721" s="102" t="n"/>
    </row>
    <row r="722" ht="15.75" customHeight="1" s="84">
      <c r="A722" s="80" t="inlineStr">
        <is>
          <t>Level / Mode</t>
        </is>
      </c>
      <c r="B722" s="103">
        <f>IF(A721="","",batches!B122&amp;" / "&amp;batches!C122)</f>
        <v/>
      </c>
      <c r="C722" s="101" t="n"/>
      <c r="D722" s="102" t="n"/>
      <c r="G722" s="80" t="inlineStr">
        <is>
          <t>Level / Mode</t>
        </is>
      </c>
      <c r="H722" s="103">
        <f>IF(G721="","",batches!B123&amp;" / "&amp;batches!C123)</f>
        <v/>
      </c>
      <c r="I722" s="101" t="n"/>
      <c r="J722" s="102" t="n"/>
    </row>
    <row r="723" ht="15.75" customHeight="1" s="84">
      <c r="A723" s="80" t="inlineStr">
        <is>
          <t>Dates</t>
        </is>
      </c>
      <c r="B723" s="103">
        <f>IF(A721="","",TEXT(batches!D122,"yyyy-mm-dd")&amp;" to "&amp;TEXT(batches!E122,"yyyy-mm-dd"))</f>
        <v/>
      </c>
      <c r="C723" s="101" t="n"/>
      <c r="D723" s="102" t="n"/>
      <c r="G723" s="80" t="inlineStr">
        <is>
          <t>Dates</t>
        </is>
      </c>
      <c r="H723" s="103">
        <f>IF(G721="","",TEXT(batches!D123,"yyyy-mm-dd")&amp;" to "&amp;TEXT(batches!E123,"yyyy-mm-dd"))</f>
        <v/>
      </c>
      <c r="I723" s="101" t="n"/>
      <c r="J723" s="102" t="n"/>
    </row>
    <row r="724" ht="15.75" customHeight="1" s="84">
      <c r="A724" s="80" t="inlineStr">
        <is>
          <t>Duration</t>
        </is>
      </c>
      <c r="B724" s="103">
        <f>IF(OR(batches!D122="",batches!E122=""),"",batches!E122-batches!D122+1&amp;" days")</f>
        <v/>
      </c>
      <c r="C724" s="101" t="n"/>
      <c r="D724" s="102" t="n"/>
      <c r="G724" s="80" t="inlineStr">
        <is>
          <t>Duration</t>
        </is>
      </c>
      <c r="H724" s="103">
        <f>IF(OR(batches!D123="",batches!E123=""),"",batches!E123-batches!D123+1&amp;" days")</f>
        <v/>
      </c>
      <c r="I724" s="101" t="n"/>
      <c r="J724" s="102" t="n"/>
    </row>
    <row r="725" ht="15.75" customHeight="1" s="84">
      <c r="A725" s="80" t="inlineStr">
        <is>
          <t>Timing</t>
        </is>
      </c>
      <c r="B725" s="103">
        <f>IF(A721="","",batches!F122)</f>
        <v/>
      </c>
      <c r="C725" s="101" t="n"/>
      <c r="D725" s="102" t="n"/>
      <c r="G725" s="80" t="inlineStr">
        <is>
          <t>Timing</t>
        </is>
      </c>
      <c r="H725" s="103">
        <f>IF(G721="","",batches!F123)</f>
        <v/>
      </c>
      <c r="I725" s="101" t="n"/>
      <c r="J725" s="102" t="n"/>
    </row>
    <row r="726" ht="15.75" customHeight="1" s="84">
      <c r="A726" s="80" t="inlineStr">
        <is>
          <t>Capacity</t>
        </is>
      </c>
      <c r="B726" s="103">
        <f>IF(A721="","",batches!G122)</f>
        <v/>
      </c>
      <c r="C726" s="101" t="n"/>
      <c r="D726" s="102" t="n"/>
      <c r="G726" s="80" t="inlineStr">
        <is>
          <t>Capacity</t>
        </is>
      </c>
      <c r="H726" s="103">
        <f>IF(G721="","",batches!G123)</f>
        <v/>
      </c>
      <c r="I726" s="101" t="n"/>
      <c r="J726" s="102" t="n"/>
    </row>
    <row r="727" ht="15.75" customHeight="1" s="84">
      <c r="A727" s="80" t="inlineStr">
        <is>
          <t>Enrolled</t>
        </is>
      </c>
      <c r="B727" s="103">
        <f>IF(A721="","",COUNTIF(admissions!$M:$M,batches!A122))</f>
        <v/>
      </c>
      <c r="C727" s="101" t="n"/>
      <c r="D727" s="102" t="n"/>
      <c r="G727" s="80" t="inlineStr">
        <is>
          <t>Enrolled</t>
        </is>
      </c>
      <c r="H727" s="103">
        <f>IF(G721="","",COUNTIF(admissions!$M:$M,batches!A123))</f>
        <v/>
      </c>
      <c r="I727" s="101" t="n"/>
      <c r="J727" s="102" t="n"/>
    </row>
    <row r="728" ht="15.75" customHeight="1" s="84">
      <c r="A728" s="80" t="inlineStr">
        <is>
          <t>Available</t>
        </is>
      </c>
      <c r="B728" s="103">
        <f>IF(OR(batches!A122="",batches!G122=""),"",batches!G122-COUNTIF(admissions!$M:$M,batches!A122))</f>
        <v/>
      </c>
      <c r="C728" s="101" t="n"/>
      <c r="D728" s="102" t="n"/>
      <c r="G728" s="80" t="inlineStr">
        <is>
          <t>Available</t>
        </is>
      </c>
      <c r="H728" s="103">
        <f>IF(OR(batches!A123="",batches!G123=""),"",batches!G123-COUNTIF(admissions!$M:$M,batches!A123))</f>
        <v/>
      </c>
      <c r="I728" s="101" t="n"/>
      <c r="J728" s="102" t="n"/>
    </row>
    <row r="729" ht="15.75" customHeight="1" s="84">
      <c r="A729" s="104" t="inlineStr">
        <is>
          <t>Student List</t>
        </is>
      </c>
      <c r="B729" s="101" t="n"/>
      <c r="C729" s="101" t="n"/>
      <c r="D729" s="102" t="n"/>
      <c r="G729" s="104" t="inlineStr">
        <is>
          <t>Student List</t>
        </is>
      </c>
      <c r="H729" s="101" t="n"/>
      <c r="I729" s="101" t="n"/>
      <c r="J729" s="102" t="n"/>
    </row>
    <row r="730" ht="15.75" customHeight="1" s="84">
      <c r="A730" s="105">
        <f>IFERROR(__xludf.DUMMYFUNCTION("IF(batches!A122="""","""",TEXTJOIN(CHAR(10),TRUE,FILTER(admissions!$G$2:$G$78,admissions!$M$2:$M$78=batches!A122,"""")))"),"")</f>
        <v/>
      </c>
      <c r="B730" s="101" t="n"/>
      <c r="C730" s="101" t="n"/>
      <c r="D730" s="102" t="n"/>
      <c r="G730" s="105">
        <f>IFERROR(__xludf.DUMMYFUNCTION("IF(batches!A123="""","""",TEXTJOIN(CHAR(10),TRUE,FILTER(admissions!$G$2:$G$78,admissions!$M$2:$M$78=batches!A123,"""")))"),"")</f>
        <v/>
      </c>
      <c r="H730" s="101" t="n"/>
      <c r="I730" s="101" t="n"/>
      <c r="J730" s="102" t="n"/>
    </row>
    <row r="731" ht="15.75" customHeight="1" s="84"/>
    <row r="732" ht="15.75" customHeight="1" s="84"/>
    <row r="733" ht="15.75" customHeight="1" s="84">
      <c r="A733" s="100">
        <f>IF(batches!A124="","",batches!A124)</f>
        <v/>
      </c>
      <c r="B733" s="101" t="n"/>
      <c r="C733" s="101" t="n"/>
      <c r="D733" s="102" t="n"/>
      <c r="G733" s="100">
        <f>IF(batches!A125="","",batches!A125)</f>
        <v/>
      </c>
      <c r="H733" s="101" t="n"/>
      <c r="I733" s="101" t="n"/>
      <c r="J733" s="102" t="n"/>
    </row>
    <row r="734" ht="15.75" customHeight="1" s="84">
      <c r="A734" s="80" t="inlineStr">
        <is>
          <t>Level / Mode</t>
        </is>
      </c>
      <c r="B734" s="103">
        <f>IF(A733="","",batches!B124&amp;" / "&amp;batches!C124)</f>
        <v/>
      </c>
      <c r="C734" s="101" t="n"/>
      <c r="D734" s="102" t="n"/>
      <c r="G734" s="80" t="inlineStr">
        <is>
          <t>Level / Mode</t>
        </is>
      </c>
      <c r="H734" s="103">
        <f>IF(G733="","",batches!B125&amp;" / "&amp;batches!C125)</f>
        <v/>
      </c>
      <c r="I734" s="101" t="n"/>
      <c r="J734" s="102" t="n"/>
    </row>
    <row r="735" ht="15.75" customHeight="1" s="84">
      <c r="A735" s="80" t="inlineStr">
        <is>
          <t>Dates</t>
        </is>
      </c>
      <c r="B735" s="103">
        <f>IF(A733="","",TEXT(batches!D124,"yyyy-mm-dd")&amp;" to "&amp;TEXT(batches!E124,"yyyy-mm-dd"))</f>
        <v/>
      </c>
      <c r="C735" s="101" t="n"/>
      <c r="D735" s="102" t="n"/>
      <c r="G735" s="80" t="inlineStr">
        <is>
          <t>Dates</t>
        </is>
      </c>
      <c r="H735" s="103">
        <f>IF(G733="","",TEXT(batches!D125,"yyyy-mm-dd")&amp;" to "&amp;TEXT(batches!E125,"yyyy-mm-dd"))</f>
        <v/>
      </c>
      <c r="I735" s="101" t="n"/>
      <c r="J735" s="102" t="n"/>
    </row>
    <row r="736" ht="15.75" customHeight="1" s="84">
      <c r="A736" s="80" t="inlineStr">
        <is>
          <t>Duration</t>
        </is>
      </c>
      <c r="B736" s="103">
        <f>IF(OR(batches!D124="",batches!E124=""),"",batches!E124-batches!D124+1&amp;" days")</f>
        <v/>
      </c>
      <c r="C736" s="101" t="n"/>
      <c r="D736" s="102" t="n"/>
      <c r="G736" s="80" t="inlineStr">
        <is>
          <t>Duration</t>
        </is>
      </c>
      <c r="H736" s="103">
        <f>IF(OR(batches!D125="",batches!E125=""),"",batches!E125-batches!D125+1&amp;" days")</f>
        <v/>
      </c>
      <c r="I736" s="101" t="n"/>
      <c r="J736" s="102" t="n"/>
    </row>
    <row r="737" ht="15.75" customHeight="1" s="84">
      <c r="A737" s="80" t="inlineStr">
        <is>
          <t>Timing</t>
        </is>
      </c>
      <c r="B737" s="103">
        <f>IF(A733="","",batches!F124)</f>
        <v/>
      </c>
      <c r="C737" s="101" t="n"/>
      <c r="D737" s="102" t="n"/>
      <c r="G737" s="80" t="inlineStr">
        <is>
          <t>Timing</t>
        </is>
      </c>
      <c r="H737" s="103">
        <f>IF(G733="","",batches!F125)</f>
        <v/>
      </c>
      <c r="I737" s="101" t="n"/>
      <c r="J737" s="102" t="n"/>
    </row>
    <row r="738" ht="15.75" customHeight="1" s="84">
      <c r="A738" s="80" t="inlineStr">
        <is>
          <t>Capacity</t>
        </is>
      </c>
      <c r="B738" s="103">
        <f>IF(A733="","",batches!G124)</f>
        <v/>
      </c>
      <c r="C738" s="101" t="n"/>
      <c r="D738" s="102" t="n"/>
      <c r="G738" s="80" t="inlineStr">
        <is>
          <t>Capacity</t>
        </is>
      </c>
      <c r="H738" s="103">
        <f>IF(G733="","",batches!G125)</f>
        <v/>
      </c>
      <c r="I738" s="101" t="n"/>
      <c r="J738" s="102" t="n"/>
    </row>
    <row r="739" ht="15.75" customHeight="1" s="84">
      <c r="A739" s="80" t="inlineStr">
        <is>
          <t>Enrolled</t>
        </is>
      </c>
      <c r="B739" s="103">
        <f>IF(A733="","",COUNTIF(admissions!$M:$M,batches!A124))</f>
        <v/>
      </c>
      <c r="C739" s="101" t="n"/>
      <c r="D739" s="102" t="n"/>
      <c r="G739" s="80" t="inlineStr">
        <is>
          <t>Enrolled</t>
        </is>
      </c>
      <c r="H739" s="103">
        <f>IF(G733="","",COUNTIF(admissions!$M:$M,batches!A125))</f>
        <v/>
      </c>
      <c r="I739" s="101" t="n"/>
      <c r="J739" s="102" t="n"/>
    </row>
    <row r="740" ht="15.75" customHeight="1" s="84">
      <c r="A740" s="80" t="inlineStr">
        <is>
          <t>Available</t>
        </is>
      </c>
      <c r="B740" s="103">
        <f>IF(OR(batches!A124="",batches!G124=""),"",batches!G124-COUNTIF(admissions!$M:$M,batches!A124))</f>
        <v/>
      </c>
      <c r="C740" s="101" t="n"/>
      <c r="D740" s="102" t="n"/>
      <c r="G740" s="80" t="inlineStr">
        <is>
          <t>Available</t>
        </is>
      </c>
      <c r="H740" s="103">
        <f>IF(OR(batches!A125="",batches!G125=""),"",batches!G125-COUNTIF(admissions!$M:$M,batches!A125))</f>
        <v/>
      </c>
      <c r="I740" s="101" t="n"/>
      <c r="J740" s="102" t="n"/>
    </row>
    <row r="741" ht="15.75" customHeight="1" s="84">
      <c r="A741" s="104" t="inlineStr">
        <is>
          <t>Student List</t>
        </is>
      </c>
      <c r="B741" s="101" t="n"/>
      <c r="C741" s="101" t="n"/>
      <c r="D741" s="102" t="n"/>
      <c r="G741" s="104" t="inlineStr">
        <is>
          <t>Student List</t>
        </is>
      </c>
      <c r="H741" s="101" t="n"/>
      <c r="I741" s="101" t="n"/>
      <c r="J741" s="102" t="n"/>
    </row>
    <row r="742" ht="15.75" customHeight="1" s="84">
      <c r="A742" s="105">
        <f>IFERROR(__xludf.DUMMYFUNCTION("IF(batches!A124="""","""",TEXTJOIN(CHAR(10),TRUE,FILTER(admissions!$G$2:$G$78,admissions!$M$2:$M$78=batches!A124,"""")))"),"")</f>
        <v/>
      </c>
      <c r="B742" s="101" t="n"/>
      <c r="C742" s="101" t="n"/>
      <c r="D742" s="102" t="n"/>
      <c r="G742" s="105">
        <f>IFERROR(__xludf.DUMMYFUNCTION("IF(batches!A125="""","""",TEXTJOIN(CHAR(10),TRUE,FILTER(admissions!$G$2:$G$78,admissions!$M$2:$M$78=batches!A125,"""")))"),"")</f>
        <v/>
      </c>
      <c r="H742" s="101" t="n"/>
      <c r="I742" s="101" t="n"/>
      <c r="J742" s="102" t="n"/>
    </row>
    <row r="743" ht="15.75" customHeight="1" s="84"/>
    <row r="744" ht="15.75" customHeight="1" s="84"/>
    <row r="745" ht="15.75" customHeight="1" s="84">
      <c r="A745" s="100">
        <f>IF(batches!A126="","",batches!A126)</f>
        <v/>
      </c>
      <c r="B745" s="101" t="n"/>
      <c r="C745" s="101" t="n"/>
      <c r="D745" s="102" t="n"/>
      <c r="G745" s="100">
        <f>IF(batches!A127="","",batches!A127)</f>
        <v/>
      </c>
      <c r="H745" s="101" t="n"/>
      <c r="I745" s="101" t="n"/>
      <c r="J745" s="102" t="n"/>
    </row>
    <row r="746" ht="15.75" customHeight="1" s="84">
      <c r="A746" s="80" t="inlineStr">
        <is>
          <t>Level / Mode</t>
        </is>
      </c>
      <c r="B746" s="103">
        <f>IF(A745="","",batches!B126&amp;" / "&amp;batches!C126)</f>
        <v/>
      </c>
      <c r="C746" s="101" t="n"/>
      <c r="D746" s="102" t="n"/>
      <c r="G746" s="80" t="inlineStr">
        <is>
          <t>Level / Mode</t>
        </is>
      </c>
      <c r="H746" s="103">
        <f>IF(G745="","",batches!B127&amp;" / "&amp;batches!C127)</f>
        <v/>
      </c>
      <c r="I746" s="101" t="n"/>
      <c r="J746" s="102" t="n"/>
    </row>
    <row r="747" ht="15.75" customHeight="1" s="84">
      <c r="A747" s="80" t="inlineStr">
        <is>
          <t>Dates</t>
        </is>
      </c>
      <c r="B747" s="103">
        <f>IF(A745="","",TEXT(batches!D126,"yyyy-mm-dd")&amp;" to "&amp;TEXT(batches!E126,"yyyy-mm-dd"))</f>
        <v/>
      </c>
      <c r="C747" s="101" t="n"/>
      <c r="D747" s="102" t="n"/>
      <c r="G747" s="80" t="inlineStr">
        <is>
          <t>Dates</t>
        </is>
      </c>
      <c r="H747" s="103">
        <f>IF(G745="","",TEXT(batches!D127,"yyyy-mm-dd")&amp;" to "&amp;TEXT(batches!E127,"yyyy-mm-dd"))</f>
        <v/>
      </c>
      <c r="I747" s="101" t="n"/>
      <c r="J747" s="102" t="n"/>
    </row>
    <row r="748" ht="15.75" customHeight="1" s="84">
      <c r="A748" s="80" t="inlineStr">
        <is>
          <t>Duration</t>
        </is>
      </c>
      <c r="B748" s="103">
        <f>IF(OR(batches!D126="",batches!E126=""),"",batches!E126-batches!D126+1&amp;" days")</f>
        <v/>
      </c>
      <c r="C748" s="101" t="n"/>
      <c r="D748" s="102" t="n"/>
      <c r="G748" s="80" t="inlineStr">
        <is>
          <t>Duration</t>
        </is>
      </c>
      <c r="H748" s="103">
        <f>IF(OR(batches!D127="",batches!E127=""),"",batches!E127-batches!D127+1&amp;" days")</f>
        <v/>
      </c>
      <c r="I748" s="101" t="n"/>
      <c r="J748" s="102" t="n"/>
    </row>
    <row r="749" ht="15.75" customHeight="1" s="84">
      <c r="A749" s="80" t="inlineStr">
        <is>
          <t>Timing</t>
        </is>
      </c>
      <c r="B749" s="103">
        <f>IF(A745="","",batches!F126)</f>
        <v/>
      </c>
      <c r="C749" s="101" t="n"/>
      <c r="D749" s="102" t="n"/>
      <c r="G749" s="80" t="inlineStr">
        <is>
          <t>Timing</t>
        </is>
      </c>
      <c r="H749" s="103">
        <f>IF(G745="","",batches!F127)</f>
        <v/>
      </c>
      <c r="I749" s="101" t="n"/>
      <c r="J749" s="102" t="n"/>
    </row>
    <row r="750" ht="15.75" customHeight="1" s="84">
      <c r="A750" s="80" t="inlineStr">
        <is>
          <t>Capacity</t>
        </is>
      </c>
      <c r="B750" s="103">
        <f>IF(A745="","",batches!G126)</f>
        <v/>
      </c>
      <c r="C750" s="101" t="n"/>
      <c r="D750" s="102" t="n"/>
      <c r="G750" s="80" t="inlineStr">
        <is>
          <t>Capacity</t>
        </is>
      </c>
      <c r="H750" s="103">
        <f>IF(G745="","",batches!G127)</f>
        <v/>
      </c>
      <c r="I750" s="101" t="n"/>
      <c r="J750" s="102" t="n"/>
    </row>
    <row r="751" ht="15.75" customHeight="1" s="84">
      <c r="A751" s="80" t="inlineStr">
        <is>
          <t>Enrolled</t>
        </is>
      </c>
      <c r="B751" s="103">
        <f>IF(A745="","",COUNTIF(admissions!$M:$M,batches!A126))</f>
        <v/>
      </c>
      <c r="C751" s="101" t="n"/>
      <c r="D751" s="102" t="n"/>
      <c r="G751" s="80" t="inlineStr">
        <is>
          <t>Enrolled</t>
        </is>
      </c>
      <c r="H751" s="103">
        <f>IF(G745="","",COUNTIF(admissions!$M:$M,batches!A127))</f>
        <v/>
      </c>
      <c r="I751" s="101" t="n"/>
      <c r="J751" s="102" t="n"/>
    </row>
    <row r="752" ht="15.75" customHeight="1" s="84">
      <c r="A752" s="80" t="inlineStr">
        <is>
          <t>Available</t>
        </is>
      </c>
      <c r="B752" s="103">
        <f>IF(OR(batches!A126="",batches!G126=""),"",batches!G126-COUNTIF(admissions!$M:$M,batches!A126))</f>
        <v/>
      </c>
      <c r="C752" s="101" t="n"/>
      <c r="D752" s="102" t="n"/>
      <c r="G752" s="80" t="inlineStr">
        <is>
          <t>Available</t>
        </is>
      </c>
      <c r="H752" s="103">
        <f>IF(OR(batches!A127="",batches!G127=""),"",batches!G127-COUNTIF(admissions!$M:$M,batches!A127))</f>
        <v/>
      </c>
      <c r="I752" s="101" t="n"/>
      <c r="J752" s="102" t="n"/>
    </row>
    <row r="753" ht="15.75" customHeight="1" s="84">
      <c r="A753" s="104" t="inlineStr">
        <is>
          <t>Student List</t>
        </is>
      </c>
      <c r="B753" s="101" t="n"/>
      <c r="C753" s="101" t="n"/>
      <c r="D753" s="102" t="n"/>
      <c r="G753" s="104" t="inlineStr">
        <is>
          <t>Student List</t>
        </is>
      </c>
      <c r="H753" s="101" t="n"/>
      <c r="I753" s="101" t="n"/>
      <c r="J753" s="102" t="n"/>
    </row>
    <row r="754" ht="15.75" customHeight="1" s="84">
      <c r="A754" s="105">
        <f>IFERROR(__xludf.DUMMYFUNCTION("IF(batches!A126="""","""",TEXTJOIN(CHAR(10),TRUE,FILTER(admissions!$G$2:$G$78,admissions!$M$2:$M$78=batches!A126,"""")))"),"")</f>
        <v/>
      </c>
      <c r="B754" s="101" t="n"/>
      <c r="C754" s="101" t="n"/>
      <c r="D754" s="102" t="n"/>
      <c r="G754" s="105">
        <f>IFERROR(__xludf.DUMMYFUNCTION("IF(batches!A127="""","""",TEXTJOIN(CHAR(10),TRUE,FILTER(admissions!$G$2:$G$78,admissions!$M$2:$M$78=batches!A127,"""")))"),"")</f>
        <v/>
      </c>
      <c r="H754" s="101" t="n"/>
      <c r="I754" s="101" t="n"/>
      <c r="J754" s="102" t="n"/>
    </row>
    <row r="755" ht="15.75" customHeight="1" s="84"/>
    <row r="756" ht="15.75" customHeight="1" s="84"/>
    <row r="757" ht="15.75" customHeight="1" s="84">
      <c r="A757" s="100">
        <f>IF(batches!A128="","",batches!A128)</f>
        <v/>
      </c>
      <c r="B757" s="101" t="n"/>
      <c r="C757" s="101" t="n"/>
      <c r="D757" s="102" t="n"/>
      <c r="G757" s="100">
        <f>IF(batches!A129="","",batches!A129)</f>
        <v/>
      </c>
      <c r="H757" s="101" t="n"/>
      <c r="I757" s="101" t="n"/>
      <c r="J757" s="102" t="n"/>
    </row>
    <row r="758" ht="15.75" customHeight="1" s="84">
      <c r="A758" s="80" t="inlineStr">
        <is>
          <t>Level / Mode</t>
        </is>
      </c>
      <c r="B758" s="103">
        <f>IF(A757="","",batches!B128&amp;" / "&amp;batches!C128)</f>
        <v/>
      </c>
      <c r="C758" s="101" t="n"/>
      <c r="D758" s="102" t="n"/>
      <c r="G758" s="80" t="inlineStr">
        <is>
          <t>Level / Mode</t>
        </is>
      </c>
      <c r="H758" s="103">
        <f>IF(G757="","",batches!B129&amp;" / "&amp;batches!C129)</f>
        <v/>
      </c>
      <c r="I758" s="101" t="n"/>
      <c r="J758" s="102" t="n"/>
    </row>
    <row r="759" ht="15.75" customHeight="1" s="84">
      <c r="A759" s="80" t="inlineStr">
        <is>
          <t>Dates</t>
        </is>
      </c>
      <c r="B759" s="103">
        <f>IF(A757="","",TEXT(batches!D128,"yyyy-mm-dd")&amp;" to "&amp;TEXT(batches!E128,"yyyy-mm-dd"))</f>
        <v/>
      </c>
      <c r="C759" s="101" t="n"/>
      <c r="D759" s="102" t="n"/>
      <c r="G759" s="80" t="inlineStr">
        <is>
          <t>Dates</t>
        </is>
      </c>
      <c r="H759" s="103">
        <f>IF(G757="","",TEXT(batches!D129,"yyyy-mm-dd")&amp;" to "&amp;TEXT(batches!E129,"yyyy-mm-dd"))</f>
        <v/>
      </c>
      <c r="I759" s="101" t="n"/>
      <c r="J759" s="102" t="n"/>
    </row>
    <row r="760" ht="15.75" customHeight="1" s="84">
      <c r="A760" s="80" t="inlineStr">
        <is>
          <t>Duration</t>
        </is>
      </c>
      <c r="B760" s="103">
        <f>IF(OR(batches!D128="",batches!E128=""),"",batches!E128-batches!D128+1&amp;" days")</f>
        <v/>
      </c>
      <c r="C760" s="101" t="n"/>
      <c r="D760" s="102" t="n"/>
      <c r="G760" s="80" t="inlineStr">
        <is>
          <t>Duration</t>
        </is>
      </c>
      <c r="H760" s="103">
        <f>IF(OR(batches!D129="",batches!E129=""),"",batches!E129-batches!D129+1&amp;" days")</f>
        <v/>
      </c>
      <c r="I760" s="101" t="n"/>
      <c r="J760" s="102" t="n"/>
    </row>
    <row r="761" ht="15.75" customHeight="1" s="84">
      <c r="A761" s="80" t="inlineStr">
        <is>
          <t>Timing</t>
        </is>
      </c>
      <c r="B761" s="103">
        <f>IF(A757="","",batches!F128)</f>
        <v/>
      </c>
      <c r="C761" s="101" t="n"/>
      <c r="D761" s="102" t="n"/>
      <c r="G761" s="80" t="inlineStr">
        <is>
          <t>Timing</t>
        </is>
      </c>
      <c r="H761" s="103">
        <f>IF(G757="","",batches!F129)</f>
        <v/>
      </c>
      <c r="I761" s="101" t="n"/>
      <c r="J761" s="102" t="n"/>
    </row>
    <row r="762" ht="15.75" customHeight="1" s="84">
      <c r="A762" s="80" t="inlineStr">
        <is>
          <t>Capacity</t>
        </is>
      </c>
      <c r="B762" s="103">
        <f>IF(A757="","",batches!G128)</f>
        <v/>
      </c>
      <c r="C762" s="101" t="n"/>
      <c r="D762" s="102" t="n"/>
      <c r="G762" s="80" t="inlineStr">
        <is>
          <t>Capacity</t>
        </is>
      </c>
      <c r="H762" s="103">
        <f>IF(G757="","",batches!G129)</f>
        <v/>
      </c>
      <c r="I762" s="101" t="n"/>
      <c r="J762" s="102" t="n"/>
    </row>
    <row r="763" ht="15.75" customHeight="1" s="84">
      <c r="A763" s="80" t="inlineStr">
        <is>
          <t>Enrolled</t>
        </is>
      </c>
      <c r="B763" s="103">
        <f>IF(A757="","",COUNTIF(admissions!$M:$M,batches!A128))</f>
        <v/>
      </c>
      <c r="C763" s="101" t="n"/>
      <c r="D763" s="102" t="n"/>
      <c r="G763" s="80" t="inlineStr">
        <is>
          <t>Enrolled</t>
        </is>
      </c>
      <c r="H763" s="103">
        <f>IF(G757="","",COUNTIF(admissions!$M:$M,batches!A129))</f>
        <v/>
      </c>
      <c r="I763" s="101" t="n"/>
      <c r="J763" s="102" t="n"/>
    </row>
    <row r="764" ht="15.75" customHeight="1" s="84">
      <c r="A764" s="80" t="inlineStr">
        <is>
          <t>Available</t>
        </is>
      </c>
      <c r="B764" s="103">
        <f>IF(OR(batches!A128="",batches!G128=""),"",batches!G128-COUNTIF(admissions!$M:$M,batches!A128))</f>
        <v/>
      </c>
      <c r="C764" s="101" t="n"/>
      <c r="D764" s="102" t="n"/>
      <c r="G764" s="80" t="inlineStr">
        <is>
          <t>Available</t>
        </is>
      </c>
      <c r="H764" s="103">
        <f>IF(OR(batches!A129="",batches!G129=""),"",batches!G129-COUNTIF(admissions!$M:$M,batches!A129))</f>
        <v/>
      </c>
      <c r="I764" s="101" t="n"/>
      <c r="J764" s="102" t="n"/>
    </row>
    <row r="765" ht="15.75" customHeight="1" s="84">
      <c r="A765" s="104" t="inlineStr">
        <is>
          <t>Student List</t>
        </is>
      </c>
      <c r="B765" s="101" t="n"/>
      <c r="C765" s="101" t="n"/>
      <c r="D765" s="102" t="n"/>
      <c r="G765" s="104" t="inlineStr">
        <is>
          <t>Student List</t>
        </is>
      </c>
      <c r="H765" s="101" t="n"/>
      <c r="I765" s="101" t="n"/>
      <c r="J765" s="102" t="n"/>
    </row>
    <row r="766" ht="15.75" customHeight="1" s="84">
      <c r="A766" s="105">
        <f>IFERROR(__xludf.DUMMYFUNCTION("IF(batches!A128="""","""",TEXTJOIN(CHAR(10),TRUE,FILTER(admissions!$G$2:$G$78,admissions!$M$2:$M$78=batches!A128,"""")))"),"")</f>
        <v/>
      </c>
      <c r="B766" s="101" t="n"/>
      <c r="C766" s="101" t="n"/>
      <c r="D766" s="102" t="n"/>
      <c r="G766" s="105">
        <f>IFERROR(__xludf.DUMMYFUNCTION("IF(batches!A129="""","""",TEXTJOIN(CHAR(10),TRUE,FILTER(admissions!$G$2:$G$78,admissions!$M$2:$M$78=batches!A129,"""")))"),"")</f>
        <v/>
      </c>
      <c r="H766" s="101" t="n"/>
      <c r="I766" s="101" t="n"/>
      <c r="J766" s="102" t="n"/>
    </row>
    <row r="767" ht="15.75" customHeight="1" s="84"/>
    <row r="768" ht="15.75" customHeight="1" s="84"/>
    <row r="769" ht="15.75" customHeight="1" s="84">
      <c r="A769" s="100">
        <f>IF(batches!A130="","",batches!A130)</f>
        <v/>
      </c>
      <c r="B769" s="101" t="n"/>
      <c r="C769" s="101" t="n"/>
      <c r="D769" s="102" t="n"/>
      <c r="G769" s="100">
        <f>IF(batches!A131="","",batches!A131)</f>
        <v/>
      </c>
      <c r="H769" s="101" t="n"/>
      <c r="I769" s="101" t="n"/>
      <c r="J769" s="102" t="n"/>
    </row>
    <row r="770" ht="15.75" customHeight="1" s="84">
      <c r="A770" s="80" t="inlineStr">
        <is>
          <t>Level / Mode</t>
        </is>
      </c>
      <c r="B770" s="103">
        <f>IF(A769="","",batches!B130&amp;" / "&amp;batches!C130)</f>
        <v/>
      </c>
      <c r="C770" s="101" t="n"/>
      <c r="D770" s="102" t="n"/>
      <c r="G770" s="80" t="inlineStr">
        <is>
          <t>Level / Mode</t>
        </is>
      </c>
      <c r="H770" s="103">
        <f>IF(G769="","",batches!B131&amp;" / "&amp;batches!C131)</f>
        <v/>
      </c>
      <c r="I770" s="101" t="n"/>
      <c r="J770" s="102" t="n"/>
    </row>
    <row r="771" ht="15.75" customHeight="1" s="84">
      <c r="A771" s="80" t="inlineStr">
        <is>
          <t>Dates</t>
        </is>
      </c>
      <c r="B771" s="103">
        <f>IF(A769="","",TEXT(batches!D130,"yyyy-mm-dd")&amp;" to "&amp;TEXT(batches!E130,"yyyy-mm-dd"))</f>
        <v/>
      </c>
      <c r="C771" s="101" t="n"/>
      <c r="D771" s="102" t="n"/>
      <c r="G771" s="80" t="inlineStr">
        <is>
          <t>Dates</t>
        </is>
      </c>
      <c r="H771" s="103">
        <f>IF(G769="","",TEXT(batches!D131,"yyyy-mm-dd")&amp;" to "&amp;TEXT(batches!E131,"yyyy-mm-dd"))</f>
        <v/>
      </c>
      <c r="I771" s="101" t="n"/>
      <c r="J771" s="102" t="n"/>
    </row>
    <row r="772" ht="15.75" customHeight="1" s="84">
      <c r="A772" s="80" t="inlineStr">
        <is>
          <t>Duration</t>
        </is>
      </c>
      <c r="B772" s="103">
        <f>IF(OR(batches!D130="",batches!E130=""),"",batches!E130-batches!D130+1&amp;" days")</f>
        <v/>
      </c>
      <c r="C772" s="101" t="n"/>
      <c r="D772" s="102" t="n"/>
      <c r="G772" s="80" t="inlineStr">
        <is>
          <t>Duration</t>
        </is>
      </c>
      <c r="H772" s="103">
        <f>IF(OR(batches!D131="",batches!E131=""),"",batches!E131-batches!D131+1&amp;" days")</f>
        <v/>
      </c>
      <c r="I772" s="101" t="n"/>
      <c r="J772" s="102" t="n"/>
    </row>
    <row r="773" ht="15.75" customHeight="1" s="84">
      <c r="A773" s="80" t="inlineStr">
        <is>
          <t>Timing</t>
        </is>
      </c>
      <c r="B773" s="103">
        <f>IF(A769="","",batches!F130)</f>
        <v/>
      </c>
      <c r="C773" s="101" t="n"/>
      <c r="D773" s="102" t="n"/>
      <c r="G773" s="80" t="inlineStr">
        <is>
          <t>Timing</t>
        </is>
      </c>
      <c r="H773" s="103">
        <f>IF(G769="","",batches!F131)</f>
        <v/>
      </c>
      <c r="I773" s="101" t="n"/>
      <c r="J773" s="102" t="n"/>
    </row>
    <row r="774" ht="15.75" customHeight="1" s="84">
      <c r="A774" s="80" t="inlineStr">
        <is>
          <t>Capacity</t>
        </is>
      </c>
      <c r="B774" s="103">
        <f>IF(A769="","",batches!G130)</f>
        <v/>
      </c>
      <c r="C774" s="101" t="n"/>
      <c r="D774" s="102" t="n"/>
      <c r="G774" s="80" t="inlineStr">
        <is>
          <t>Capacity</t>
        </is>
      </c>
      <c r="H774" s="103">
        <f>IF(G769="","",batches!G131)</f>
        <v/>
      </c>
      <c r="I774" s="101" t="n"/>
      <c r="J774" s="102" t="n"/>
    </row>
    <row r="775" ht="15.75" customHeight="1" s="84">
      <c r="A775" s="80" t="inlineStr">
        <is>
          <t>Enrolled</t>
        </is>
      </c>
      <c r="B775" s="103">
        <f>IF(A769="","",COUNTIF(admissions!$M:$M,batches!A130))</f>
        <v/>
      </c>
      <c r="C775" s="101" t="n"/>
      <c r="D775" s="102" t="n"/>
      <c r="G775" s="80" t="inlineStr">
        <is>
          <t>Enrolled</t>
        </is>
      </c>
      <c r="H775" s="103">
        <f>IF(G769="","",COUNTIF(admissions!$M:$M,batches!A131))</f>
        <v/>
      </c>
      <c r="I775" s="101" t="n"/>
      <c r="J775" s="102" t="n"/>
    </row>
    <row r="776" ht="15.75" customHeight="1" s="84">
      <c r="A776" s="80" t="inlineStr">
        <is>
          <t>Available</t>
        </is>
      </c>
      <c r="B776" s="103">
        <f>IF(OR(batches!A130="",batches!G130=""),"",batches!G130-COUNTIF(admissions!$M:$M,batches!A130))</f>
        <v/>
      </c>
      <c r="C776" s="101" t="n"/>
      <c r="D776" s="102" t="n"/>
      <c r="G776" s="80" t="inlineStr">
        <is>
          <t>Available</t>
        </is>
      </c>
      <c r="H776" s="103">
        <f>IF(OR(batches!A131="",batches!G131=""),"",batches!G131-COUNTIF(admissions!$M:$M,batches!A131))</f>
        <v/>
      </c>
      <c r="I776" s="101" t="n"/>
      <c r="J776" s="102" t="n"/>
    </row>
    <row r="777" ht="15.75" customHeight="1" s="84">
      <c r="A777" s="104" t="inlineStr">
        <is>
          <t>Student List</t>
        </is>
      </c>
      <c r="B777" s="101" t="n"/>
      <c r="C777" s="101" t="n"/>
      <c r="D777" s="102" t="n"/>
      <c r="G777" s="104" t="inlineStr">
        <is>
          <t>Student List</t>
        </is>
      </c>
      <c r="H777" s="101" t="n"/>
      <c r="I777" s="101" t="n"/>
      <c r="J777" s="102" t="n"/>
    </row>
    <row r="778" ht="15.75" customHeight="1" s="84">
      <c r="A778" s="105">
        <f>IFERROR(__xludf.DUMMYFUNCTION("IF(batches!A130="""","""",TEXTJOIN(CHAR(10),TRUE,FILTER(admissions!$G$2:$G$78,admissions!$M$2:$M$78=batches!A130,"""")))"),"")</f>
        <v/>
      </c>
      <c r="B778" s="101" t="n"/>
      <c r="C778" s="101" t="n"/>
      <c r="D778" s="102" t="n"/>
      <c r="G778" s="105">
        <f>IFERROR(__xludf.DUMMYFUNCTION("IF(batches!A131="""","""",TEXTJOIN(CHAR(10),TRUE,FILTER(admissions!$G$2:$G$78,admissions!$M$2:$M$78=batches!A131,"""")))"),"")</f>
        <v/>
      </c>
      <c r="H778" s="101" t="n"/>
      <c r="I778" s="101" t="n"/>
      <c r="J778" s="102" t="n"/>
    </row>
    <row r="779" ht="15.75" customHeight="1" s="84"/>
    <row r="780" ht="15.75" customHeight="1" s="84"/>
    <row r="781" ht="15.75" customHeight="1" s="84">
      <c r="A781" s="100">
        <f>IF(batches!A132="","",batches!A132)</f>
        <v/>
      </c>
      <c r="B781" s="101" t="n"/>
      <c r="C781" s="101" t="n"/>
      <c r="D781" s="102" t="n"/>
      <c r="G781" s="100">
        <f>IF(batches!A133="","",batches!A133)</f>
        <v/>
      </c>
      <c r="H781" s="101" t="n"/>
      <c r="I781" s="101" t="n"/>
      <c r="J781" s="102" t="n"/>
    </row>
    <row r="782" ht="15.75" customHeight="1" s="84">
      <c r="A782" s="80" t="inlineStr">
        <is>
          <t>Level / Mode</t>
        </is>
      </c>
      <c r="B782" s="103">
        <f>IF(A781="","",batches!B132&amp;" / "&amp;batches!C132)</f>
        <v/>
      </c>
      <c r="C782" s="101" t="n"/>
      <c r="D782" s="102" t="n"/>
      <c r="G782" s="80" t="inlineStr">
        <is>
          <t>Level / Mode</t>
        </is>
      </c>
      <c r="H782" s="103">
        <f>IF(G781="","",batches!B133&amp;" / "&amp;batches!C133)</f>
        <v/>
      </c>
      <c r="I782" s="101" t="n"/>
      <c r="J782" s="102" t="n"/>
    </row>
    <row r="783" ht="15.75" customHeight="1" s="84">
      <c r="A783" s="80" t="inlineStr">
        <is>
          <t>Dates</t>
        </is>
      </c>
      <c r="B783" s="103">
        <f>IF(A781="","",TEXT(batches!D132,"yyyy-mm-dd")&amp;" to "&amp;TEXT(batches!E132,"yyyy-mm-dd"))</f>
        <v/>
      </c>
      <c r="C783" s="101" t="n"/>
      <c r="D783" s="102" t="n"/>
      <c r="G783" s="80" t="inlineStr">
        <is>
          <t>Dates</t>
        </is>
      </c>
      <c r="H783" s="103">
        <f>IF(G781="","",TEXT(batches!D133,"yyyy-mm-dd")&amp;" to "&amp;TEXT(batches!E133,"yyyy-mm-dd"))</f>
        <v/>
      </c>
      <c r="I783" s="101" t="n"/>
      <c r="J783" s="102" t="n"/>
    </row>
    <row r="784" ht="15.75" customHeight="1" s="84">
      <c r="A784" s="80" t="inlineStr">
        <is>
          <t>Duration</t>
        </is>
      </c>
      <c r="B784" s="103">
        <f>IF(OR(batches!D132="",batches!E132=""),"",batches!E132-batches!D132+1&amp;" days")</f>
        <v/>
      </c>
      <c r="C784" s="101" t="n"/>
      <c r="D784" s="102" t="n"/>
      <c r="G784" s="80" t="inlineStr">
        <is>
          <t>Duration</t>
        </is>
      </c>
      <c r="H784" s="103">
        <f>IF(OR(batches!D133="",batches!E133=""),"",batches!E133-batches!D133+1&amp;" days")</f>
        <v/>
      </c>
      <c r="I784" s="101" t="n"/>
      <c r="J784" s="102" t="n"/>
    </row>
    <row r="785" ht="15.75" customHeight="1" s="84">
      <c r="A785" s="80" t="inlineStr">
        <is>
          <t>Timing</t>
        </is>
      </c>
      <c r="B785" s="103">
        <f>IF(A781="","",batches!F132)</f>
        <v/>
      </c>
      <c r="C785" s="101" t="n"/>
      <c r="D785" s="102" t="n"/>
      <c r="G785" s="80" t="inlineStr">
        <is>
          <t>Timing</t>
        </is>
      </c>
      <c r="H785" s="103">
        <f>IF(G781="","",batches!F133)</f>
        <v/>
      </c>
      <c r="I785" s="101" t="n"/>
      <c r="J785" s="102" t="n"/>
    </row>
    <row r="786" ht="15.75" customHeight="1" s="84">
      <c r="A786" s="80" t="inlineStr">
        <is>
          <t>Capacity</t>
        </is>
      </c>
      <c r="B786" s="103">
        <f>IF(A781="","",batches!G132)</f>
        <v/>
      </c>
      <c r="C786" s="101" t="n"/>
      <c r="D786" s="102" t="n"/>
      <c r="G786" s="80" t="inlineStr">
        <is>
          <t>Capacity</t>
        </is>
      </c>
      <c r="H786" s="103">
        <f>IF(G781="","",batches!G133)</f>
        <v/>
      </c>
      <c r="I786" s="101" t="n"/>
      <c r="J786" s="102" t="n"/>
    </row>
    <row r="787" ht="15.75" customHeight="1" s="84">
      <c r="A787" s="80" t="inlineStr">
        <is>
          <t>Enrolled</t>
        </is>
      </c>
      <c r="B787" s="103">
        <f>IF(A781="","",COUNTIF(admissions!$M:$M,batches!A132))</f>
        <v/>
      </c>
      <c r="C787" s="101" t="n"/>
      <c r="D787" s="102" t="n"/>
      <c r="G787" s="80" t="inlineStr">
        <is>
          <t>Enrolled</t>
        </is>
      </c>
      <c r="H787" s="103">
        <f>IF(G781="","",COUNTIF(admissions!$M:$M,batches!A133))</f>
        <v/>
      </c>
      <c r="I787" s="101" t="n"/>
      <c r="J787" s="102" t="n"/>
    </row>
    <row r="788" ht="15.75" customHeight="1" s="84">
      <c r="A788" s="80" t="inlineStr">
        <is>
          <t>Available</t>
        </is>
      </c>
      <c r="B788" s="103">
        <f>IF(OR(batches!A132="",batches!G132=""),"",batches!G132-COUNTIF(admissions!$M:$M,batches!A132))</f>
        <v/>
      </c>
      <c r="C788" s="101" t="n"/>
      <c r="D788" s="102" t="n"/>
      <c r="G788" s="80" t="inlineStr">
        <is>
          <t>Available</t>
        </is>
      </c>
      <c r="H788" s="103">
        <f>IF(OR(batches!A133="",batches!G133=""),"",batches!G133-COUNTIF(admissions!$M:$M,batches!A133))</f>
        <v/>
      </c>
      <c r="I788" s="101" t="n"/>
      <c r="J788" s="102" t="n"/>
    </row>
    <row r="789" ht="15.75" customHeight="1" s="84">
      <c r="A789" s="104" t="inlineStr">
        <is>
          <t>Student List</t>
        </is>
      </c>
      <c r="B789" s="101" t="n"/>
      <c r="C789" s="101" t="n"/>
      <c r="D789" s="102" t="n"/>
      <c r="G789" s="104" t="inlineStr">
        <is>
          <t>Student List</t>
        </is>
      </c>
      <c r="H789" s="101" t="n"/>
      <c r="I789" s="101" t="n"/>
      <c r="J789" s="102" t="n"/>
    </row>
    <row r="790" ht="15.75" customHeight="1" s="84">
      <c r="A790" s="105">
        <f>IFERROR(__xludf.DUMMYFUNCTION("IF(batches!A132="""","""",TEXTJOIN(CHAR(10),TRUE,FILTER(admissions!$G$2:$G$78,admissions!$M$2:$M$78=batches!A132,"""")))"),"")</f>
        <v/>
      </c>
      <c r="B790" s="101" t="n"/>
      <c r="C790" s="101" t="n"/>
      <c r="D790" s="102" t="n"/>
      <c r="G790" s="105">
        <f>IFERROR(__xludf.DUMMYFUNCTION("IF(batches!A133="""","""",TEXTJOIN(CHAR(10),TRUE,FILTER(admissions!$G$2:$G$78,admissions!$M$2:$M$78=batches!A133,"""")))"),"")</f>
        <v/>
      </c>
      <c r="H790" s="101" t="n"/>
      <c r="I790" s="101" t="n"/>
      <c r="J790" s="102" t="n"/>
    </row>
    <row r="791" ht="15.75" customHeight="1" s="84"/>
    <row r="792" ht="15.75" customHeight="1" s="84"/>
    <row r="793" ht="15.75" customHeight="1" s="84">
      <c r="A793" s="100">
        <f>IF(batches!A134="","",batches!A134)</f>
        <v/>
      </c>
      <c r="B793" s="101" t="n"/>
      <c r="C793" s="101" t="n"/>
      <c r="D793" s="102" t="n"/>
      <c r="G793" s="100">
        <f>IF(batches!A135="","",batches!A135)</f>
        <v/>
      </c>
      <c r="H793" s="101" t="n"/>
      <c r="I793" s="101" t="n"/>
      <c r="J793" s="102" t="n"/>
    </row>
    <row r="794" ht="15.75" customHeight="1" s="84">
      <c r="A794" s="80" t="inlineStr">
        <is>
          <t>Level / Mode</t>
        </is>
      </c>
      <c r="B794" s="103">
        <f>IF(A793="","",batches!B134&amp;" / "&amp;batches!C134)</f>
        <v/>
      </c>
      <c r="C794" s="101" t="n"/>
      <c r="D794" s="102" t="n"/>
      <c r="G794" s="80" t="inlineStr">
        <is>
          <t>Level / Mode</t>
        </is>
      </c>
      <c r="H794" s="103">
        <f>IF(G793="","",batches!B135&amp;" / "&amp;batches!C135)</f>
        <v/>
      </c>
      <c r="I794" s="101" t="n"/>
      <c r="J794" s="102" t="n"/>
    </row>
    <row r="795" ht="15.75" customHeight="1" s="84">
      <c r="A795" s="80" t="inlineStr">
        <is>
          <t>Dates</t>
        </is>
      </c>
      <c r="B795" s="103">
        <f>IF(A793="","",TEXT(batches!D134,"yyyy-mm-dd")&amp;" to "&amp;TEXT(batches!E134,"yyyy-mm-dd"))</f>
        <v/>
      </c>
      <c r="C795" s="101" t="n"/>
      <c r="D795" s="102" t="n"/>
      <c r="G795" s="80" t="inlineStr">
        <is>
          <t>Dates</t>
        </is>
      </c>
      <c r="H795" s="103">
        <f>IF(G793="","",TEXT(batches!D135,"yyyy-mm-dd")&amp;" to "&amp;TEXT(batches!E135,"yyyy-mm-dd"))</f>
        <v/>
      </c>
      <c r="I795" s="101" t="n"/>
      <c r="J795" s="102" t="n"/>
    </row>
    <row r="796" ht="15.75" customHeight="1" s="84">
      <c r="A796" s="80" t="inlineStr">
        <is>
          <t>Duration</t>
        </is>
      </c>
      <c r="B796" s="103">
        <f>IF(OR(batches!D134="",batches!E134=""),"",batches!E134-batches!D134+1&amp;" days")</f>
        <v/>
      </c>
      <c r="C796" s="101" t="n"/>
      <c r="D796" s="102" t="n"/>
      <c r="G796" s="80" t="inlineStr">
        <is>
          <t>Duration</t>
        </is>
      </c>
      <c r="H796" s="103">
        <f>IF(OR(batches!D135="",batches!E135=""),"",batches!E135-batches!D135+1&amp;" days")</f>
        <v/>
      </c>
      <c r="I796" s="101" t="n"/>
      <c r="J796" s="102" t="n"/>
    </row>
    <row r="797" ht="15.75" customHeight="1" s="84">
      <c r="A797" s="80" t="inlineStr">
        <is>
          <t>Timing</t>
        </is>
      </c>
      <c r="B797" s="103">
        <f>IF(A793="","",batches!F134)</f>
        <v/>
      </c>
      <c r="C797" s="101" t="n"/>
      <c r="D797" s="102" t="n"/>
      <c r="G797" s="80" t="inlineStr">
        <is>
          <t>Timing</t>
        </is>
      </c>
      <c r="H797" s="103">
        <f>IF(G793="","",batches!F135)</f>
        <v/>
      </c>
      <c r="I797" s="101" t="n"/>
      <c r="J797" s="102" t="n"/>
    </row>
    <row r="798" ht="15.75" customHeight="1" s="84">
      <c r="A798" s="80" t="inlineStr">
        <is>
          <t>Capacity</t>
        </is>
      </c>
      <c r="B798" s="103">
        <f>IF(A793="","",batches!G134)</f>
        <v/>
      </c>
      <c r="C798" s="101" t="n"/>
      <c r="D798" s="102" t="n"/>
      <c r="G798" s="80" t="inlineStr">
        <is>
          <t>Capacity</t>
        </is>
      </c>
      <c r="H798" s="103">
        <f>IF(G793="","",batches!G135)</f>
        <v/>
      </c>
      <c r="I798" s="101" t="n"/>
      <c r="J798" s="102" t="n"/>
    </row>
    <row r="799" ht="15.75" customHeight="1" s="84">
      <c r="A799" s="80" t="inlineStr">
        <is>
          <t>Enrolled</t>
        </is>
      </c>
      <c r="B799" s="103">
        <f>IF(A793="","",COUNTIF(admissions!$M:$M,batches!A134))</f>
        <v/>
      </c>
      <c r="C799" s="101" t="n"/>
      <c r="D799" s="102" t="n"/>
      <c r="G799" s="80" t="inlineStr">
        <is>
          <t>Enrolled</t>
        </is>
      </c>
      <c r="H799" s="103">
        <f>IF(G793="","",COUNTIF(admissions!$M:$M,batches!A135))</f>
        <v/>
      </c>
      <c r="I799" s="101" t="n"/>
      <c r="J799" s="102" t="n"/>
    </row>
    <row r="800" ht="15.75" customHeight="1" s="84">
      <c r="A800" s="80" t="inlineStr">
        <is>
          <t>Available</t>
        </is>
      </c>
      <c r="B800" s="103">
        <f>IF(OR(batches!A134="",batches!G134=""),"",batches!G134-COUNTIF(admissions!$M:$M,batches!A134))</f>
        <v/>
      </c>
      <c r="C800" s="101" t="n"/>
      <c r="D800" s="102" t="n"/>
      <c r="G800" s="80" t="inlineStr">
        <is>
          <t>Available</t>
        </is>
      </c>
      <c r="H800" s="103">
        <f>IF(OR(batches!A135="",batches!G135=""),"",batches!G135-COUNTIF(admissions!$M:$M,batches!A135))</f>
        <v/>
      </c>
      <c r="I800" s="101" t="n"/>
      <c r="J800" s="102" t="n"/>
    </row>
    <row r="801" ht="15.75" customHeight="1" s="84">
      <c r="A801" s="104" t="inlineStr">
        <is>
          <t>Student List</t>
        </is>
      </c>
      <c r="B801" s="101" t="n"/>
      <c r="C801" s="101" t="n"/>
      <c r="D801" s="102" t="n"/>
      <c r="G801" s="104" t="inlineStr">
        <is>
          <t>Student List</t>
        </is>
      </c>
      <c r="H801" s="101" t="n"/>
      <c r="I801" s="101" t="n"/>
      <c r="J801" s="102" t="n"/>
    </row>
    <row r="802" ht="15.75" customHeight="1" s="84">
      <c r="A802" s="105">
        <f>IFERROR(__xludf.DUMMYFUNCTION("IF(batches!A134="""","""",TEXTJOIN(CHAR(10),TRUE,FILTER(admissions!$G$2:$G$78,admissions!$M$2:$M$78=batches!A134,"""")))"),"")</f>
        <v/>
      </c>
      <c r="B802" s="101" t="n"/>
      <c r="C802" s="101" t="n"/>
      <c r="D802" s="102" t="n"/>
      <c r="G802" s="105">
        <f>IFERROR(__xludf.DUMMYFUNCTION("IF(batches!A135="""","""",TEXTJOIN(CHAR(10),TRUE,FILTER(admissions!$G$2:$G$78,admissions!$M$2:$M$78=batches!A135,"""")))"),"")</f>
        <v/>
      </c>
      <c r="H802" s="101" t="n"/>
      <c r="I802" s="101" t="n"/>
      <c r="J802" s="102" t="n"/>
    </row>
    <row r="803" ht="15.75" customHeight="1" s="84"/>
    <row r="804" ht="15.75" customHeight="1" s="84"/>
    <row r="805" ht="15.75" customHeight="1" s="84">
      <c r="A805" s="100">
        <f>IF(batches!A136="","",batches!A136)</f>
        <v/>
      </c>
      <c r="B805" s="101" t="n"/>
      <c r="C805" s="101" t="n"/>
      <c r="D805" s="102" t="n"/>
      <c r="G805" s="100">
        <f>IF(batches!A137="","",batches!A137)</f>
        <v/>
      </c>
      <c r="H805" s="101" t="n"/>
      <c r="I805" s="101" t="n"/>
      <c r="J805" s="102" t="n"/>
    </row>
    <row r="806" ht="15.75" customHeight="1" s="84">
      <c r="A806" s="80" t="inlineStr">
        <is>
          <t>Level / Mode</t>
        </is>
      </c>
      <c r="B806" s="103">
        <f>IF(A805="","",batches!B136&amp;" / "&amp;batches!C136)</f>
        <v/>
      </c>
      <c r="C806" s="101" t="n"/>
      <c r="D806" s="102" t="n"/>
      <c r="G806" s="80" t="inlineStr">
        <is>
          <t>Level / Mode</t>
        </is>
      </c>
      <c r="H806" s="103">
        <f>IF(G805="","",batches!B137&amp;" / "&amp;batches!C137)</f>
        <v/>
      </c>
      <c r="I806" s="101" t="n"/>
      <c r="J806" s="102" t="n"/>
    </row>
    <row r="807" ht="15.75" customHeight="1" s="84">
      <c r="A807" s="80" t="inlineStr">
        <is>
          <t>Dates</t>
        </is>
      </c>
      <c r="B807" s="103">
        <f>IF(A805="","",TEXT(batches!D136,"yyyy-mm-dd")&amp;" to "&amp;TEXT(batches!E136,"yyyy-mm-dd"))</f>
        <v/>
      </c>
      <c r="C807" s="101" t="n"/>
      <c r="D807" s="102" t="n"/>
      <c r="G807" s="80" t="inlineStr">
        <is>
          <t>Dates</t>
        </is>
      </c>
      <c r="H807" s="103">
        <f>IF(G805="","",TEXT(batches!D137,"yyyy-mm-dd")&amp;" to "&amp;TEXT(batches!E137,"yyyy-mm-dd"))</f>
        <v/>
      </c>
      <c r="I807" s="101" t="n"/>
      <c r="J807" s="102" t="n"/>
    </row>
    <row r="808" ht="15.75" customHeight="1" s="84">
      <c r="A808" s="80" t="inlineStr">
        <is>
          <t>Duration</t>
        </is>
      </c>
      <c r="B808" s="103">
        <f>IF(OR(batches!D136="",batches!E136=""),"",batches!E136-batches!D136+1&amp;" days")</f>
        <v/>
      </c>
      <c r="C808" s="101" t="n"/>
      <c r="D808" s="102" t="n"/>
      <c r="G808" s="80" t="inlineStr">
        <is>
          <t>Duration</t>
        </is>
      </c>
      <c r="H808" s="103">
        <f>IF(OR(batches!D137="",batches!E137=""),"",batches!E137-batches!D137+1&amp;" days")</f>
        <v/>
      </c>
      <c r="I808" s="101" t="n"/>
      <c r="J808" s="102" t="n"/>
    </row>
    <row r="809" ht="15.75" customHeight="1" s="84">
      <c r="A809" s="80" t="inlineStr">
        <is>
          <t>Timing</t>
        </is>
      </c>
      <c r="B809" s="103">
        <f>IF(A805="","",batches!F136)</f>
        <v/>
      </c>
      <c r="C809" s="101" t="n"/>
      <c r="D809" s="102" t="n"/>
      <c r="G809" s="80" t="inlineStr">
        <is>
          <t>Timing</t>
        </is>
      </c>
      <c r="H809" s="103">
        <f>IF(G805="","",batches!F137)</f>
        <v/>
      </c>
      <c r="I809" s="101" t="n"/>
      <c r="J809" s="102" t="n"/>
    </row>
    <row r="810" ht="15.75" customHeight="1" s="84">
      <c r="A810" s="80" t="inlineStr">
        <is>
          <t>Capacity</t>
        </is>
      </c>
      <c r="B810" s="103">
        <f>IF(A805="","",batches!G136)</f>
        <v/>
      </c>
      <c r="C810" s="101" t="n"/>
      <c r="D810" s="102" t="n"/>
      <c r="G810" s="80" t="inlineStr">
        <is>
          <t>Capacity</t>
        </is>
      </c>
      <c r="H810" s="103">
        <f>IF(G805="","",batches!G137)</f>
        <v/>
      </c>
      <c r="I810" s="101" t="n"/>
      <c r="J810" s="102" t="n"/>
    </row>
    <row r="811" ht="15.75" customHeight="1" s="84">
      <c r="A811" s="80" t="inlineStr">
        <is>
          <t>Enrolled</t>
        </is>
      </c>
      <c r="B811" s="103">
        <f>IF(A805="","",COUNTIF(admissions!$M:$M,batches!A136))</f>
        <v/>
      </c>
      <c r="C811" s="101" t="n"/>
      <c r="D811" s="102" t="n"/>
      <c r="G811" s="80" t="inlineStr">
        <is>
          <t>Enrolled</t>
        </is>
      </c>
      <c r="H811" s="103">
        <f>IF(G805="","",COUNTIF(admissions!$M:$M,batches!A137))</f>
        <v/>
      </c>
      <c r="I811" s="101" t="n"/>
      <c r="J811" s="102" t="n"/>
    </row>
    <row r="812" ht="15.75" customHeight="1" s="84">
      <c r="A812" s="80" t="inlineStr">
        <is>
          <t>Available</t>
        </is>
      </c>
      <c r="B812" s="103">
        <f>IF(OR(batches!A136="",batches!G136=""),"",batches!G136-COUNTIF(admissions!$M:$M,batches!A136))</f>
        <v/>
      </c>
      <c r="C812" s="101" t="n"/>
      <c r="D812" s="102" t="n"/>
      <c r="G812" s="80" t="inlineStr">
        <is>
          <t>Available</t>
        </is>
      </c>
      <c r="H812" s="103">
        <f>IF(OR(batches!A137="",batches!G137=""),"",batches!G137-COUNTIF(admissions!$M:$M,batches!A137))</f>
        <v/>
      </c>
      <c r="I812" s="101" t="n"/>
      <c r="J812" s="102" t="n"/>
    </row>
    <row r="813" ht="15.75" customHeight="1" s="84">
      <c r="A813" s="104" t="inlineStr">
        <is>
          <t>Student List</t>
        </is>
      </c>
      <c r="B813" s="101" t="n"/>
      <c r="C813" s="101" t="n"/>
      <c r="D813" s="102" t="n"/>
      <c r="G813" s="104" t="inlineStr">
        <is>
          <t>Student List</t>
        </is>
      </c>
      <c r="H813" s="101" t="n"/>
      <c r="I813" s="101" t="n"/>
      <c r="J813" s="102" t="n"/>
    </row>
    <row r="814" ht="15.75" customHeight="1" s="84">
      <c r="A814" s="105">
        <f>IFERROR(__xludf.DUMMYFUNCTION("IF(batches!A136="""","""",TEXTJOIN(CHAR(10),TRUE,FILTER(admissions!$G$2:$G$78,admissions!$M$2:$M$78=batches!A136,"""")))"),"")</f>
        <v/>
      </c>
      <c r="B814" s="101" t="n"/>
      <c r="C814" s="101" t="n"/>
      <c r="D814" s="102" t="n"/>
      <c r="G814" s="105">
        <f>IFERROR(__xludf.DUMMYFUNCTION("IF(batches!A137="""","""",TEXTJOIN(CHAR(10),TRUE,FILTER(admissions!$G$2:$G$78,admissions!$M$2:$M$78=batches!A137,"""")))"),"")</f>
        <v/>
      </c>
      <c r="H814" s="101" t="n"/>
      <c r="I814" s="101" t="n"/>
      <c r="J814" s="102" t="n"/>
    </row>
    <row r="815" ht="15.75" customHeight="1" s="84"/>
    <row r="816" ht="15.75" customHeight="1" s="84"/>
    <row r="817" ht="15.75" customHeight="1" s="84">
      <c r="A817" s="100">
        <f>IF(batches!A138="","",batches!A138)</f>
        <v/>
      </c>
      <c r="B817" s="101" t="n"/>
      <c r="C817" s="101" t="n"/>
      <c r="D817" s="102" t="n"/>
      <c r="G817" s="100">
        <f>IF(batches!A139="","",batches!A139)</f>
        <v/>
      </c>
      <c r="H817" s="101" t="n"/>
      <c r="I817" s="101" t="n"/>
      <c r="J817" s="102" t="n"/>
    </row>
    <row r="818" ht="15.75" customHeight="1" s="84">
      <c r="A818" s="80" t="inlineStr">
        <is>
          <t>Level / Mode</t>
        </is>
      </c>
      <c r="B818" s="103">
        <f>IF(A817="","",batches!B138&amp;" / "&amp;batches!C138)</f>
        <v/>
      </c>
      <c r="C818" s="101" t="n"/>
      <c r="D818" s="102" t="n"/>
      <c r="G818" s="80" t="inlineStr">
        <is>
          <t>Level / Mode</t>
        </is>
      </c>
      <c r="H818" s="103">
        <f>IF(G817="","",batches!B139&amp;" / "&amp;batches!C139)</f>
        <v/>
      </c>
      <c r="I818" s="101" t="n"/>
      <c r="J818" s="102" t="n"/>
    </row>
    <row r="819" ht="15.75" customHeight="1" s="84">
      <c r="A819" s="80" t="inlineStr">
        <is>
          <t>Dates</t>
        </is>
      </c>
      <c r="B819" s="103">
        <f>IF(A817="","",TEXT(batches!D138,"yyyy-mm-dd")&amp;" to "&amp;TEXT(batches!E138,"yyyy-mm-dd"))</f>
        <v/>
      </c>
      <c r="C819" s="101" t="n"/>
      <c r="D819" s="102" t="n"/>
      <c r="G819" s="80" t="inlineStr">
        <is>
          <t>Dates</t>
        </is>
      </c>
      <c r="H819" s="103">
        <f>IF(G817="","",TEXT(batches!D139,"yyyy-mm-dd")&amp;" to "&amp;TEXT(batches!E139,"yyyy-mm-dd"))</f>
        <v/>
      </c>
      <c r="I819" s="101" t="n"/>
      <c r="J819" s="102" t="n"/>
    </row>
    <row r="820" ht="15.75" customHeight="1" s="84">
      <c r="A820" s="80" t="inlineStr">
        <is>
          <t>Duration</t>
        </is>
      </c>
      <c r="B820" s="103">
        <f>IF(OR(batches!D138="",batches!E138=""),"",batches!E138-batches!D138+1&amp;" days")</f>
        <v/>
      </c>
      <c r="C820" s="101" t="n"/>
      <c r="D820" s="102" t="n"/>
      <c r="G820" s="80" t="inlineStr">
        <is>
          <t>Duration</t>
        </is>
      </c>
      <c r="H820" s="103">
        <f>IF(OR(batches!D139="",batches!E139=""),"",batches!E139-batches!D139+1&amp;" days")</f>
        <v/>
      </c>
      <c r="I820" s="101" t="n"/>
      <c r="J820" s="102" t="n"/>
    </row>
    <row r="821" ht="15.75" customHeight="1" s="84">
      <c r="A821" s="80" t="inlineStr">
        <is>
          <t>Timing</t>
        </is>
      </c>
      <c r="B821" s="103">
        <f>IF(A817="","",batches!F138)</f>
        <v/>
      </c>
      <c r="C821" s="101" t="n"/>
      <c r="D821" s="102" t="n"/>
      <c r="G821" s="80" t="inlineStr">
        <is>
          <t>Timing</t>
        </is>
      </c>
      <c r="H821" s="103">
        <f>IF(G817="","",batches!F139)</f>
        <v/>
      </c>
      <c r="I821" s="101" t="n"/>
      <c r="J821" s="102" t="n"/>
    </row>
    <row r="822" ht="15.75" customHeight="1" s="84">
      <c r="A822" s="80" t="inlineStr">
        <is>
          <t>Capacity</t>
        </is>
      </c>
      <c r="B822" s="103">
        <f>IF(A817="","",batches!G138)</f>
        <v/>
      </c>
      <c r="C822" s="101" t="n"/>
      <c r="D822" s="102" t="n"/>
      <c r="G822" s="80" t="inlineStr">
        <is>
          <t>Capacity</t>
        </is>
      </c>
      <c r="H822" s="103">
        <f>IF(G817="","",batches!G139)</f>
        <v/>
      </c>
      <c r="I822" s="101" t="n"/>
      <c r="J822" s="102" t="n"/>
    </row>
    <row r="823" ht="15.75" customHeight="1" s="84">
      <c r="A823" s="80" t="inlineStr">
        <is>
          <t>Enrolled</t>
        </is>
      </c>
      <c r="B823" s="103">
        <f>IF(A817="","",COUNTIF(admissions!$M:$M,batches!A138))</f>
        <v/>
      </c>
      <c r="C823" s="101" t="n"/>
      <c r="D823" s="102" t="n"/>
      <c r="G823" s="80" t="inlineStr">
        <is>
          <t>Enrolled</t>
        </is>
      </c>
      <c r="H823" s="103">
        <f>IF(G817="","",COUNTIF(admissions!$M:$M,batches!A139))</f>
        <v/>
      </c>
      <c r="I823" s="101" t="n"/>
      <c r="J823" s="102" t="n"/>
    </row>
    <row r="824" ht="15.75" customHeight="1" s="84">
      <c r="A824" s="80" t="inlineStr">
        <is>
          <t>Available</t>
        </is>
      </c>
      <c r="B824" s="103">
        <f>IF(OR(batches!A138="",batches!G138=""),"",batches!G138-COUNTIF(admissions!$M:$M,batches!A138))</f>
        <v/>
      </c>
      <c r="C824" s="101" t="n"/>
      <c r="D824" s="102" t="n"/>
      <c r="G824" s="80" t="inlineStr">
        <is>
          <t>Available</t>
        </is>
      </c>
      <c r="H824" s="103">
        <f>IF(OR(batches!A139="",batches!G139=""),"",batches!G139-COUNTIF(admissions!$M:$M,batches!A139))</f>
        <v/>
      </c>
      <c r="I824" s="101" t="n"/>
      <c r="J824" s="102" t="n"/>
    </row>
    <row r="825" ht="15.75" customHeight="1" s="84">
      <c r="A825" s="104" t="inlineStr">
        <is>
          <t>Student List</t>
        </is>
      </c>
      <c r="B825" s="101" t="n"/>
      <c r="C825" s="101" t="n"/>
      <c r="D825" s="102" t="n"/>
      <c r="G825" s="104" t="inlineStr">
        <is>
          <t>Student List</t>
        </is>
      </c>
      <c r="H825" s="101" t="n"/>
      <c r="I825" s="101" t="n"/>
      <c r="J825" s="102" t="n"/>
    </row>
    <row r="826" ht="15.75" customHeight="1" s="84">
      <c r="A826" s="105">
        <f>IFERROR(__xludf.DUMMYFUNCTION("IF(batches!A138="""","""",TEXTJOIN(CHAR(10),TRUE,FILTER(admissions!$G$2:$G$78,admissions!$M$2:$M$78=batches!A138,"""")))"),"")</f>
        <v/>
      </c>
      <c r="B826" s="101" t="n"/>
      <c r="C826" s="101" t="n"/>
      <c r="D826" s="102" t="n"/>
      <c r="G826" s="105">
        <f>IFERROR(__xludf.DUMMYFUNCTION("IF(batches!A139="""","""",TEXTJOIN(CHAR(10),TRUE,FILTER(admissions!$G$2:$G$78,admissions!$M$2:$M$78=batches!A139,"""")))"),"")</f>
        <v/>
      </c>
      <c r="H826" s="101" t="n"/>
      <c r="I826" s="101" t="n"/>
      <c r="J826" s="102" t="n"/>
    </row>
    <row r="827" ht="15.75" customHeight="1" s="84"/>
    <row r="828" ht="15.75" customHeight="1" s="84"/>
    <row r="829" ht="15.75" customHeight="1" s="84">
      <c r="A829" s="100">
        <f>IF(batches!A140="","",batches!A140)</f>
        <v/>
      </c>
      <c r="B829" s="101" t="n"/>
      <c r="C829" s="101" t="n"/>
      <c r="D829" s="102" t="n"/>
      <c r="G829" s="100">
        <f>IF(batches!A141="","",batches!A141)</f>
        <v/>
      </c>
      <c r="H829" s="101" t="n"/>
      <c r="I829" s="101" t="n"/>
      <c r="J829" s="102" t="n"/>
    </row>
    <row r="830" ht="15.75" customHeight="1" s="84">
      <c r="A830" s="80" t="inlineStr">
        <is>
          <t>Level / Mode</t>
        </is>
      </c>
      <c r="B830" s="103">
        <f>IF(A829="","",batches!B140&amp;" / "&amp;batches!C140)</f>
        <v/>
      </c>
      <c r="C830" s="101" t="n"/>
      <c r="D830" s="102" t="n"/>
      <c r="G830" s="80" t="inlineStr">
        <is>
          <t>Level / Mode</t>
        </is>
      </c>
      <c r="H830" s="103">
        <f>IF(G829="","",batches!B141&amp;" / "&amp;batches!C141)</f>
        <v/>
      </c>
      <c r="I830" s="101" t="n"/>
      <c r="J830" s="102" t="n"/>
    </row>
    <row r="831" ht="15.75" customHeight="1" s="84">
      <c r="A831" s="80" t="inlineStr">
        <is>
          <t>Dates</t>
        </is>
      </c>
      <c r="B831" s="103">
        <f>IF(A829="","",TEXT(batches!D140,"yyyy-mm-dd")&amp;" to "&amp;TEXT(batches!E140,"yyyy-mm-dd"))</f>
        <v/>
      </c>
      <c r="C831" s="101" t="n"/>
      <c r="D831" s="102" t="n"/>
      <c r="G831" s="80" t="inlineStr">
        <is>
          <t>Dates</t>
        </is>
      </c>
      <c r="H831" s="103">
        <f>IF(G829="","",TEXT(batches!D141,"yyyy-mm-dd")&amp;" to "&amp;TEXT(batches!E141,"yyyy-mm-dd"))</f>
        <v/>
      </c>
      <c r="I831" s="101" t="n"/>
      <c r="J831" s="102" t="n"/>
    </row>
    <row r="832" ht="15.75" customHeight="1" s="84">
      <c r="A832" s="80" t="inlineStr">
        <is>
          <t>Duration</t>
        </is>
      </c>
      <c r="B832" s="103">
        <f>IF(OR(batches!D140="",batches!E140=""),"",batches!E140-batches!D140+1&amp;" days")</f>
        <v/>
      </c>
      <c r="C832" s="101" t="n"/>
      <c r="D832" s="102" t="n"/>
      <c r="G832" s="80" t="inlineStr">
        <is>
          <t>Duration</t>
        </is>
      </c>
      <c r="H832" s="103">
        <f>IF(OR(batches!D141="",batches!E141=""),"",batches!E141-batches!D141+1&amp;" days")</f>
        <v/>
      </c>
      <c r="I832" s="101" t="n"/>
      <c r="J832" s="102" t="n"/>
    </row>
    <row r="833" ht="15.75" customHeight="1" s="84">
      <c r="A833" s="80" t="inlineStr">
        <is>
          <t>Timing</t>
        </is>
      </c>
      <c r="B833" s="103">
        <f>IF(A829="","",batches!F140)</f>
        <v/>
      </c>
      <c r="C833" s="101" t="n"/>
      <c r="D833" s="102" t="n"/>
      <c r="G833" s="80" t="inlineStr">
        <is>
          <t>Timing</t>
        </is>
      </c>
      <c r="H833" s="103">
        <f>IF(G829="","",batches!F141)</f>
        <v/>
      </c>
      <c r="I833" s="101" t="n"/>
      <c r="J833" s="102" t="n"/>
    </row>
    <row r="834" ht="15.75" customHeight="1" s="84">
      <c r="A834" s="80" t="inlineStr">
        <is>
          <t>Capacity</t>
        </is>
      </c>
      <c r="B834" s="103">
        <f>IF(A829="","",batches!G140)</f>
        <v/>
      </c>
      <c r="C834" s="101" t="n"/>
      <c r="D834" s="102" t="n"/>
      <c r="G834" s="80" t="inlineStr">
        <is>
          <t>Capacity</t>
        </is>
      </c>
      <c r="H834" s="103">
        <f>IF(G829="","",batches!G141)</f>
        <v/>
      </c>
      <c r="I834" s="101" t="n"/>
      <c r="J834" s="102" t="n"/>
    </row>
    <row r="835" ht="15.75" customHeight="1" s="84">
      <c r="A835" s="80" t="inlineStr">
        <is>
          <t>Enrolled</t>
        </is>
      </c>
      <c r="B835" s="103">
        <f>IF(A829="","",COUNTIF(admissions!$M:$M,batches!A140))</f>
        <v/>
      </c>
      <c r="C835" s="101" t="n"/>
      <c r="D835" s="102" t="n"/>
      <c r="G835" s="80" t="inlineStr">
        <is>
          <t>Enrolled</t>
        </is>
      </c>
      <c r="H835" s="103">
        <f>IF(G829="","",COUNTIF(admissions!$M:$M,batches!A141))</f>
        <v/>
      </c>
      <c r="I835" s="101" t="n"/>
      <c r="J835" s="102" t="n"/>
    </row>
    <row r="836" ht="15.75" customHeight="1" s="84">
      <c r="A836" s="80" t="inlineStr">
        <is>
          <t>Available</t>
        </is>
      </c>
      <c r="B836" s="103">
        <f>IF(OR(batches!A140="",batches!G140=""),"",batches!G140-COUNTIF(admissions!$M:$M,batches!A140))</f>
        <v/>
      </c>
      <c r="C836" s="101" t="n"/>
      <c r="D836" s="102" t="n"/>
      <c r="G836" s="80" t="inlineStr">
        <is>
          <t>Available</t>
        </is>
      </c>
      <c r="H836" s="103">
        <f>IF(OR(batches!A141="",batches!G141=""),"",batches!G141-COUNTIF(admissions!$M:$M,batches!A141))</f>
        <v/>
      </c>
      <c r="I836" s="101" t="n"/>
      <c r="J836" s="102" t="n"/>
    </row>
    <row r="837" ht="15.75" customHeight="1" s="84">
      <c r="A837" s="104" t="inlineStr">
        <is>
          <t>Student List</t>
        </is>
      </c>
      <c r="B837" s="101" t="n"/>
      <c r="C837" s="101" t="n"/>
      <c r="D837" s="102" t="n"/>
      <c r="G837" s="104" t="inlineStr">
        <is>
          <t>Student List</t>
        </is>
      </c>
      <c r="H837" s="101" t="n"/>
      <c r="I837" s="101" t="n"/>
      <c r="J837" s="102" t="n"/>
    </row>
    <row r="838" ht="15.75" customHeight="1" s="84">
      <c r="A838" s="105">
        <f>IFERROR(__xludf.DUMMYFUNCTION("IF(batches!A140="""","""",TEXTJOIN(CHAR(10),TRUE,FILTER(admissions!$G$2:$G$78,admissions!$M$2:$M$78=batches!A140,"""")))"),"")</f>
        <v/>
      </c>
      <c r="B838" s="101" t="n"/>
      <c r="C838" s="101" t="n"/>
      <c r="D838" s="102" t="n"/>
      <c r="G838" s="105">
        <f>IFERROR(__xludf.DUMMYFUNCTION("IF(batches!A141="""","""",TEXTJOIN(CHAR(10),TRUE,FILTER(admissions!$G$2:$G$78,admissions!$M$2:$M$78=batches!A141,"""")))"),"")</f>
        <v/>
      </c>
      <c r="H838" s="101" t="n"/>
      <c r="I838" s="101" t="n"/>
      <c r="J838" s="102" t="n"/>
    </row>
    <row r="839" ht="15.75" customHeight="1" s="84"/>
    <row r="840" ht="15.75" customHeight="1" s="84"/>
    <row r="841" ht="15.75" customHeight="1" s="84">
      <c r="A841" s="100">
        <f>IF(batches!A142="","",batches!A142)</f>
        <v/>
      </c>
      <c r="B841" s="101" t="n"/>
      <c r="C841" s="101" t="n"/>
      <c r="D841" s="102" t="n"/>
      <c r="G841" s="100">
        <f>IF(batches!A143="","",batches!A143)</f>
        <v/>
      </c>
      <c r="H841" s="101" t="n"/>
      <c r="I841" s="101" t="n"/>
      <c r="J841" s="102" t="n"/>
    </row>
    <row r="842" ht="15.75" customHeight="1" s="84">
      <c r="A842" s="80" t="inlineStr">
        <is>
          <t>Level / Mode</t>
        </is>
      </c>
      <c r="B842" s="103">
        <f>IF(A841="","",batches!B142&amp;" / "&amp;batches!C142)</f>
        <v/>
      </c>
      <c r="C842" s="101" t="n"/>
      <c r="D842" s="102" t="n"/>
      <c r="G842" s="80" t="inlineStr">
        <is>
          <t>Level / Mode</t>
        </is>
      </c>
      <c r="H842" s="103">
        <f>IF(G841="","",batches!B143&amp;" / "&amp;batches!C143)</f>
        <v/>
      </c>
      <c r="I842" s="101" t="n"/>
      <c r="J842" s="102" t="n"/>
    </row>
    <row r="843" ht="15.75" customHeight="1" s="84">
      <c r="A843" s="80" t="inlineStr">
        <is>
          <t>Dates</t>
        </is>
      </c>
      <c r="B843" s="103">
        <f>IF(A841="","",TEXT(batches!D142,"yyyy-mm-dd")&amp;" to "&amp;TEXT(batches!E142,"yyyy-mm-dd"))</f>
        <v/>
      </c>
      <c r="C843" s="101" t="n"/>
      <c r="D843" s="102" t="n"/>
      <c r="G843" s="80" t="inlineStr">
        <is>
          <t>Dates</t>
        </is>
      </c>
      <c r="H843" s="103">
        <f>IF(G841="","",TEXT(batches!D143,"yyyy-mm-dd")&amp;" to "&amp;TEXT(batches!E143,"yyyy-mm-dd"))</f>
        <v/>
      </c>
      <c r="I843" s="101" t="n"/>
      <c r="J843" s="102" t="n"/>
    </row>
    <row r="844" ht="15.75" customHeight="1" s="84">
      <c r="A844" s="80" t="inlineStr">
        <is>
          <t>Duration</t>
        </is>
      </c>
      <c r="B844" s="103">
        <f>IF(OR(batches!D142="",batches!E142=""),"",batches!E142-batches!D142+1&amp;" days")</f>
        <v/>
      </c>
      <c r="C844" s="101" t="n"/>
      <c r="D844" s="102" t="n"/>
      <c r="G844" s="80" t="inlineStr">
        <is>
          <t>Duration</t>
        </is>
      </c>
      <c r="H844" s="103">
        <f>IF(OR(batches!D143="",batches!E143=""),"",batches!E143-batches!D143+1&amp;" days")</f>
        <v/>
      </c>
      <c r="I844" s="101" t="n"/>
      <c r="J844" s="102" t="n"/>
    </row>
    <row r="845" ht="15.75" customHeight="1" s="84">
      <c r="A845" s="80" t="inlineStr">
        <is>
          <t>Timing</t>
        </is>
      </c>
      <c r="B845" s="103">
        <f>IF(A841="","",batches!F142)</f>
        <v/>
      </c>
      <c r="C845" s="101" t="n"/>
      <c r="D845" s="102" t="n"/>
      <c r="G845" s="80" t="inlineStr">
        <is>
          <t>Timing</t>
        </is>
      </c>
      <c r="H845" s="103">
        <f>IF(G841="","",batches!F143)</f>
        <v/>
      </c>
      <c r="I845" s="101" t="n"/>
      <c r="J845" s="102" t="n"/>
    </row>
    <row r="846" ht="15.75" customHeight="1" s="84">
      <c r="A846" s="80" t="inlineStr">
        <is>
          <t>Capacity</t>
        </is>
      </c>
      <c r="B846" s="103">
        <f>IF(A841="","",batches!G142)</f>
        <v/>
      </c>
      <c r="C846" s="101" t="n"/>
      <c r="D846" s="102" t="n"/>
      <c r="G846" s="80" t="inlineStr">
        <is>
          <t>Capacity</t>
        </is>
      </c>
      <c r="H846" s="103">
        <f>IF(G841="","",batches!G143)</f>
        <v/>
      </c>
      <c r="I846" s="101" t="n"/>
      <c r="J846" s="102" t="n"/>
    </row>
    <row r="847" ht="15.75" customHeight="1" s="84">
      <c r="A847" s="80" t="inlineStr">
        <is>
          <t>Enrolled</t>
        </is>
      </c>
      <c r="B847" s="103">
        <f>IF(A841="","",COUNTIF(admissions!$M:$M,batches!A142))</f>
        <v/>
      </c>
      <c r="C847" s="101" t="n"/>
      <c r="D847" s="102" t="n"/>
      <c r="G847" s="80" t="inlineStr">
        <is>
          <t>Enrolled</t>
        </is>
      </c>
      <c r="H847" s="103">
        <f>IF(G841="","",COUNTIF(admissions!$M:$M,batches!A143))</f>
        <v/>
      </c>
      <c r="I847" s="101" t="n"/>
      <c r="J847" s="102" t="n"/>
    </row>
    <row r="848" ht="15.75" customHeight="1" s="84">
      <c r="A848" s="80" t="inlineStr">
        <is>
          <t>Available</t>
        </is>
      </c>
      <c r="B848" s="103">
        <f>IF(OR(batches!A142="",batches!G142=""),"",batches!G142-COUNTIF(admissions!$M:$M,batches!A142))</f>
        <v/>
      </c>
      <c r="C848" s="101" t="n"/>
      <c r="D848" s="102" t="n"/>
      <c r="G848" s="80" t="inlineStr">
        <is>
          <t>Available</t>
        </is>
      </c>
      <c r="H848" s="103">
        <f>IF(OR(batches!A143="",batches!G143=""),"",batches!G143-COUNTIF(admissions!$M:$M,batches!A143))</f>
        <v/>
      </c>
      <c r="I848" s="101" t="n"/>
      <c r="J848" s="102" t="n"/>
    </row>
    <row r="849" ht="15.75" customHeight="1" s="84">
      <c r="A849" s="104" t="inlineStr">
        <is>
          <t>Student List</t>
        </is>
      </c>
      <c r="B849" s="101" t="n"/>
      <c r="C849" s="101" t="n"/>
      <c r="D849" s="102" t="n"/>
      <c r="G849" s="104" t="inlineStr">
        <is>
          <t>Student List</t>
        </is>
      </c>
      <c r="H849" s="101" t="n"/>
      <c r="I849" s="101" t="n"/>
      <c r="J849" s="102" t="n"/>
    </row>
    <row r="850" ht="15.75" customHeight="1" s="84">
      <c r="A850" s="105">
        <f>IFERROR(__xludf.DUMMYFUNCTION("IF(batches!A142="""","""",TEXTJOIN(CHAR(10),TRUE,FILTER(admissions!$G$2:$G$78,admissions!$M$2:$M$78=batches!A142,"""")))"),"")</f>
        <v/>
      </c>
      <c r="B850" s="101" t="n"/>
      <c r="C850" s="101" t="n"/>
      <c r="D850" s="102" t="n"/>
      <c r="G850" s="105">
        <f>IFERROR(__xludf.DUMMYFUNCTION("IF(batches!A143="""","""",TEXTJOIN(CHAR(10),TRUE,FILTER(admissions!$G$2:$G$78,admissions!$M$2:$M$78=batches!A143,"""")))"),"")</f>
        <v/>
      </c>
      <c r="H850" s="101" t="n"/>
      <c r="I850" s="101" t="n"/>
      <c r="J850" s="102" t="n"/>
    </row>
    <row r="851" ht="15.75" customHeight="1" s="84"/>
    <row r="852" ht="15.75" customHeight="1" s="84"/>
    <row r="853" ht="15.75" customHeight="1" s="84">
      <c r="A853" s="100">
        <f>IF(batches!A144="","",batches!A144)</f>
        <v/>
      </c>
      <c r="B853" s="101" t="n"/>
      <c r="C853" s="101" t="n"/>
      <c r="D853" s="102" t="n"/>
      <c r="G853" s="100">
        <f>IF(batches!A145="","",batches!A145)</f>
        <v/>
      </c>
      <c r="H853" s="101" t="n"/>
      <c r="I853" s="101" t="n"/>
      <c r="J853" s="102" t="n"/>
    </row>
    <row r="854" ht="15.75" customHeight="1" s="84">
      <c r="A854" s="80" t="inlineStr">
        <is>
          <t>Level / Mode</t>
        </is>
      </c>
      <c r="B854" s="103">
        <f>IF(A853="","",batches!B144&amp;" / "&amp;batches!C144)</f>
        <v/>
      </c>
      <c r="C854" s="101" t="n"/>
      <c r="D854" s="102" t="n"/>
      <c r="G854" s="80" t="inlineStr">
        <is>
          <t>Level / Mode</t>
        </is>
      </c>
      <c r="H854" s="103">
        <f>IF(G853="","",batches!B145&amp;" / "&amp;batches!C145)</f>
        <v/>
      </c>
      <c r="I854" s="101" t="n"/>
      <c r="J854" s="102" t="n"/>
    </row>
    <row r="855" ht="15.75" customHeight="1" s="84">
      <c r="A855" s="80" t="inlineStr">
        <is>
          <t>Dates</t>
        </is>
      </c>
      <c r="B855" s="103">
        <f>IF(A853="","",TEXT(batches!D144,"yyyy-mm-dd")&amp;" to "&amp;TEXT(batches!E144,"yyyy-mm-dd"))</f>
        <v/>
      </c>
      <c r="C855" s="101" t="n"/>
      <c r="D855" s="102" t="n"/>
      <c r="G855" s="80" t="inlineStr">
        <is>
          <t>Dates</t>
        </is>
      </c>
      <c r="H855" s="103">
        <f>IF(G853="","",TEXT(batches!D145,"yyyy-mm-dd")&amp;" to "&amp;TEXT(batches!E145,"yyyy-mm-dd"))</f>
        <v/>
      </c>
      <c r="I855" s="101" t="n"/>
      <c r="J855" s="102" t="n"/>
    </row>
    <row r="856" ht="15.75" customHeight="1" s="84">
      <c r="A856" s="80" t="inlineStr">
        <is>
          <t>Duration</t>
        </is>
      </c>
      <c r="B856" s="103">
        <f>IF(OR(batches!D144="",batches!E144=""),"",batches!E144-batches!D144+1&amp;" days")</f>
        <v/>
      </c>
      <c r="C856" s="101" t="n"/>
      <c r="D856" s="102" t="n"/>
      <c r="G856" s="80" t="inlineStr">
        <is>
          <t>Duration</t>
        </is>
      </c>
      <c r="H856" s="103">
        <f>IF(OR(batches!D145="",batches!E145=""),"",batches!E145-batches!D145+1&amp;" days")</f>
        <v/>
      </c>
      <c r="I856" s="101" t="n"/>
      <c r="J856" s="102" t="n"/>
    </row>
    <row r="857" ht="15.75" customHeight="1" s="84">
      <c r="A857" s="80" t="inlineStr">
        <is>
          <t>Timing</t>
        </is>
      </c>
      <c r="B857" s="103">
        <f>IF(A853="","",batches!F144)</f>
        <v/>
      </c>
      <c r="C857" s="101" t="n"/>
      <c r="D857" s="102" t="n"/>
      <c r="G857" s="80" t="inlineStr">
        <is>
          <t>Timing</t>
        </is>
      </c>
      <c r="H857" s="103">
        <f>IF(G853="","",batches!F145)</f>
        <v/>
      </c>
      <c r="I857" s="101" t="n"/>
      <c r="J857" s="102" t="n"/>
    </row>
    <row r="858" ht="15.75" customHeight="1" s="84">
      <c r="A858" s="80" t="inlineStr">
        <is>
          <t>Capacity</t>
        </is>
      </c>
      <c r="B858" s="103">
        <f>IF(A853="","",batches!G144)</f>
        <v/>
      </c>
      <c r="C858" s="101" t="n"/>
      <c r="D858" s="102" t="n"/>
      <c r="G858" s="80" t="inlineStr">
        <is>
          <t>Capacity</t>
        </is>
      </c>
      <c r="H858" s="103">
        <f>IF(G853="","",batches!G145)</f>
        <v/>
      </c>
      <c r="I858" s="101" t="n"/>
      <c r="J858" s="102" t="n"/>
    </row>
    <row r="859" ht="15.75" customHeight="1" s="84">
      <c r="A859" s="80" t="inlineStr">
        <is>
          <t>Enrolled</t>
        </is>
      </c>
      <c r="B859" s="103">
        <f>IF(A853="","",COUNTIF(admissions!$M:$M,batches!A144))</f>
        <v/>
      </c>
      <c r="C859" s="101" t="n"/>
      <c r="D859" s="102" t="n"/>
      <c r="G859" s="80" t="inlineStr">
        <is>
          <t>Enrolled</t>
        </is>
      </c>
      <c r="H859" s="103">
        <f>IF(G853="","",COUNTIF(admissions!$M:$M,batches!A145))</f>
        <v/>
      </c>
      <c r="I859" s="101" t="n"/>
      <c r="J859" s="102" t="n"/>
    </row>
    <row r="860" ht="15.75" customHeight="1" s="84">
      <c r="A860" s="80" t="inlineStr">
        <is>
          <t>Available</t>
        </is>
      </c>
      <c r="B860" s="103">
        <f>IF(OR(batches!A144="",batches!G144=""),"",batches!G144-COUNTIF(admissions!$M:$M,batches!A144))</f>
        <v/>
      </c>
      <c r="C860" s="101" t="n"/>
      <c r="D860" s="102" t="n"/>
      <c r="G860" s="80" t="inlineStr">
        <is>
          <t>Available</t>
        </is>
      </c>
      <c r="H860" s="103">
        <f>IF(OR(batches!A145="",batches!G145=""),"",batches!G145-COUNTIF(admissions!$M:$M,batches!A145))</f>
        <v/>
      </c>
      <c r="I860" s="101" t="n"/>
      <c r="J860" s="102" t="n"/>
    </row>
    <row r="861" ht="15.75" customHeight="1" s="84">
      <c r="A861" s="104" t="inlineStr">
        <is>
          <t>Student List</t>
        </is>
      </c>
      <c r="B861" s="101" t="n"/>
      <c r="C861" s="101" t="n"/>
      <c r="D861" s="102" t="n"/>
      <c r="G861" s="104" t="inlineStr">
        <is>
          <t>Student List</t>
        </is>
      </c>
      <c r="H861" s="101" t="n"/>
      <c r="I861" s="101" t="n"/>
      <c r="J861" s="102" t="n"/>
    </row>
    <row r="862" ht="15.75" customHeight="1" s="84">
      <c r="A862" s="105">
        <f>IFERROR(__xludf.DUMMYFUNCTION("IF(batches!A144="""","""",TEXTJOIN(CHAR(10),TRUE,FILTER(admissions!$G$2:$G$78,admissions!$M$2:$M$78=batches!A144,"""")))"),"")</f>
        <v/>
      </c>
      <c r="B862" s="101" t="n"/>
      <c r="C862" s="101" t="n"/>
      <c r="D862" s="102" t="n"/>
      <c r="G862" s="105">
        <f>IFERROR(__xludf.DUMMYFUNCTION("IF(batches!A145="""","""",TEXTJOIN(CHAR(10),TRUE,FILTER(admissions!$G$2:$G$78,admissions!$M$2:$M$78=batches!A145,"""")))"),"")</f>
        <v/>
      </c>
      <c r="H862" s="101" t="n"/>
      <c r="I862" s="101" t="n"/>
      <c r="J862" s="102" t="n"/>
    </row>
    <row r="863" ht="15.75" customHeight="1" s="84"/>
    <row r="864" ht="15.75" customHeight="1" s="84"/>
    <row r="865" ht="15.75" customHeight="1" s="84">
      <c r="A865" s="100">
        <f>IF(batches!A146="","",batches!A146)</f>
        <v/>
      </c>
      <c r="B865" s="101" t="n"/>
      <c r="C865" s="101" t="n"/>
      <c r="D865" s="102" t="n"/>
      <c r="G865" s="100">
        <f>IF(batches!A147="","",batches!A147)</f>
        <v/>
      </c>
      <c r="H865" s="101" t="n"/>
      <c r="I865" s="101" t="n"/>
      <c r="J865" s="102" t="n"/>
    </row>
    <row r="866" ht="15.75" customHeight="1" s="84">
      <c r="A866" s="80" t="inlineStr">
        <is>
          <t>Level / Mode</t>
        </is>
      </c>
      <c r="B866" s="103">
        <f>IF(A865="","",batches!B146&amp;" / "&amp;batches!C146)</f>
        <v/>
      </c>
      <c r="C866" s="101" t="n"/>
      <c r="D866" s="102" t="n"/>
      <c r="G866" s="80" t="inlineStr">
        <is>
          <t>Level / Mode</t>
        </is>
      </c>
      <c r="H866" s="103">
        <f>IF(G865="","",batches!B147&amp;" / "&amp;batches!C147)</f>
        <v/>
      </c>
      <c r="I866" s="101" t="n"/>
      <c r="J866" s="102" t="n"/>
    </row>
    <row r="867" ht="15.75" customHeight="1" s="84">
      <c r="A867" s="80" t="inlineStr">
        <is>
          <t>Dates</t>
        </is>
      </c>
      <c r="B867" s="103">
        <f>IF(A865="","",TEXT(batches!D146,"yyyy-mm-dd")&amp;" to "&amp;TEXT(batches!E146,"yyyy-mm-dd"))</f>
        <v/>
      </c>
      <c r="C867" s="101" t="n"/>
      <c r="D867" s="102" t="n"/>
      <c r="G867" s="80" t="inlineStr">
        <is>
          <t>Dates</t>
        </is>
      </c>
      <c r="H867" s="103">
        <f>IF(G865="","",TEXT(batches!D147,"yyyy-mm-dd")&amp;" to "&amp;TEXT(batches!E147,"yyyy-mm-dd"))</f>
        <v/>
      </c>
      <c r="I867" s="101" t="n"/>
      <c r="J867" s="102" t="n"/>
    </row>
    <row r="868" ht="15.75" customHeight="1" s="84">
      <c r="A868" s="80" t="inlineStr">
        <is>
          <t>Duration</t>
        </is>
      </c>
      <c r="B868" s="103">
        <f>IF(OR(batches!D146="",batches!E146=""),"",batches!E146-batches!D146+1&amp;" days")</f>
        <v/>
      </c>
      <c r="C868" s="101" t="n"/>
      <c r="D868" s="102" t="n"/>
      <c r="G868" s="80" t="inlineStr">
        <is>
          <t>Duration</t>
        </is>
      </c>
      <c r="H868" s="103">
        <f>IF(OR(batches!D147="",batches!E147=""),"",batches!E147-batches!D147+1&amp;" days")</f>
        <v/>
      </c>
      <c r="I868" s="101" t="n"/>
      <c r="J868" s="102" t="n"/>
    </row>
    <row r="869" ht="15.75" customHeight="1" s="84">
      <c r="A869" s="80" t="inlineStr">
        <is>
          <t>Timing</t>
        </is>
      </c>
      <c r="B869" s="103">
        <f>IF(A865="","",batches!F146)</f>
        <v/>
      </c>
      <c r="C869" s="101" t="n"/>
      <c r="D869" s="102" t="n"/>
      <c r="G869" s="80" t="inlineStr">
        <is>
          <t>Timing</t>
        </is>
      </c>
      <c r="H869" s="103">
        <f>IF(G865="","",batches!F147)</f>
        <v/>
      </c>
      <c r="I869" s="101" t="n"/>
      <c r="J869" s="102" t="n"/>
    </row>
    <row r="870" ht="15.75" customHeight="1" s="84">
      <c r="A870" s="80" t="inlineStr">
        <is>
          <t>Capacity</t>
        </is>
      </c>
      <c r="B870" s="103">
        <f>IF(A865="","",batches!G146)</f>
        <v/>
      </c>
      <c r="C870" s="101" t="n"/>
      <c r="D870" s="102" t="n"/>
      <c r="G870" s="80" t="inlineStr">
        <is>
          <t>Capacity</t>
        </is>
      </c>
      <c r="H870" s="103">
        <f>IF(G865="","",batches!G147)</f>
        <v/>
      </c>
      <c r="I870" s="101" t="n"/>
      <c r="J870" s="102" t="n"/>
    </row>
    <row r="871" ht="15.75" customHeight="1" s="84">
      <c r="A871" s="80" t="inlineStr">
        <is>
          <t>Enrolled</t>
        </is>
      </c>
      <c r="B871" s="103">
        <f>IF(A865="","",COUNTIF(admissions!$M:$M,batches!A146))</f>
        <v/>
      </c>
      <c r="C871" s="101" t="n"/>
      <c r="D871" s="102" t="n"/>
      <c r="G871" s="80" t="inlineStr">
        <is>
          <t>Enrolled</t>
        </is>
      </c>
      <c r="H871" s="103">
        <f>IF(G865="","",COUNTIF(admissions!$M:$M,batches!A147))</f>
        <v/>
      </c>
      <c r="I871" s="101" t="n"/>
      <c r="J871" s="102" t="n"/>
    </row>
    <row r="872" ht="15.75" customHeight="1" s="84">
      <c r="A872" s="80" t="inlineStr">
        <is>
          <t>Available</t>
        </is>
      </c>
      <c r="B872" s="103">
        <f>IF(OR(batches!A146="",batches!G146=""),"",batches!G146-COUNTIF(admissions!$M:$M,batches!A146))</f>
        <v/>
      </c>
      <c r="C872" s="101" t="n"/>
      <c r="D872" s="102" t="n"/>
      <c r="G872" s="80" t="inlineStr">
        <is>
          <t>Available</t>
        </is>
      </c>
      <c r="H872" s="103">
        <f>IF(OR(batches!A147="",batches!G147=""),"",batches!G147-COUNTIF(admissions!$M:$M,batches!A147))</f>
        <v/>
      </c>
      <c r="I872" s="101" t="n"/>
      <c r="J872" s="102" t="n"/>
    </row>
    <row r="873" ht="15.75" customHeight="1" s="84">
      <c r="A873" s="104" t="inlineStr">
        <is>
          <t>Student List</t>
        </is>
      </c>
      <c r="B873" s="101" t="n"/>
      <c r="C873" s="101" t="n"/>
      <c r="D873" s="102" t="n"/>
      <c r="G873" s="104" t="inlineStr">
        <is>
          <t>Student List</t>
        </is>
      </c>
      <c r="H873" s="101" t="n"/>
      <c r="I873" s="101" t="n"/>
      <c r="J873" s="102" t="n"/>
    </row>
    <row r="874" ht="15.75" customHeight="1" s="84">
      <c r="A874" s="105">
        <f>IFERROR(__xludf.DUMMYFUNCTION("IF(batches!A146="""","""",TEXTJOIN(CHAR(10),TRUE,FILTER(admissions!$G$2:$G$78,admissions!$M$2:$M$78=batches!A146,"""")))"),"")</f>
        <v/>
      </c>
      <c r="B874" s="101" t="n"/>
      <c r="C874" s="101" t="n"/>
      <c r="D874" s="102" t="n"/>
      <c r="G874" s="105">
        <f>IFERROR(__xludf.DUMMYFUNCTION("IF(batches!A147="""","""",TEXTJOIN(CHAR(10),TRUE,FILTER(admissions!$G$2:$G$78,admissions!$M$2:$M$78=batches!A147,"""")))"),"")</f>
        <v/>
      </c>
      <c r="H874" s="101" t="n"/>
      <c r="I874" s="101" t="n"/>
      <c r="J874" s="102" t="n"/>
    </row>
    <row r="875" ht="15.75" customHeight="1" s="84"/>
    <row r="876" ht="15.75" customHeight="1" s="84"/>
    <row r="877" ht="15.75" customHeight="1" s="84">
      <c r="A877" s="100">
        <f>IF(batches!A148="","",batches!A148)</f>
        <v/>
      </c>
      <c r="B877" s="101" t="n"/>
      <c r="C877" s="101" t="n"/>
      <c r="D877" s="102" t="n"/>
      <c r="G877" s="100">
        <f>IF(batches!A149="","",batches!A149)</f>
        <v/>
      </c>
      <c r="H877" s="101" t="n"/>
      <c r="I877" s="101" t="n"/>
      <c r="J877" s="102" t="n"/>
    </row>
    <row r="878" ht="15.75" customHeight="1" s="84">
      <c r="A878" s="80" t="inlineStr">
        <is>
          <t>Level / Mode</t>
        </is>
      </c>
      <c r="B878" s="103">
        <f>IF(A877="","",batches!B148&amp;" / "&amp;batches!C148)</f>
        <v/>
      </c>
      <c r="C878" s="101" t="n"/>
      <c r="D878" s="102" t="n"/>
      <c r="G878" s="80" t="inlineStr">
        <is>
          <t>Level / Mode</t>
        </is>
      </c>
      <c r="H878" s="103">
        <f>IF(G877="","",batches!B149&amp;" / "&amp;batches!C149)</f>
        <v/>
      </c>
      <c r="I878" s="101" t="n"/>
      <c r="J878" s="102" t="n"/>
    </row>
    <row r="879" ht="15.75" customHeight="1" s="84">
      <c r="A879" s="80" t="inlineStr">
        <is>
          <t>Dates</t>
        </is>
      </c>
      <c r="B879" s="103">
        <f>IF(A877="","",TEXT(batches!D148,"yyyy-mm-dd")&amp;" to "&amp;TEXT(batches!E148,"yyyy-mm-dd"))</f>
        <v/>
      </c>
      <c r="C879" s="101" t="n"/>
      <c r="D879" s="102" t="n"/>
      <c r="G879" s="80" t="inlineStr">
        <is>
          <t>Dates</t>
        </is>
      </c>
      <c r="H879" s="103">
        <f>IF(G877="","",TEXT(batches!D149,"yyyy-mm-dd")&amp;" to "&amp;TEXT(batches!E149,"yyyy-mm-dd"))</f>
        <v/>
      </c>
      <c r="I879" s="101" t="n"/>
      <c r="J879" s="102" t="n"/>
    </row>
    <row r="880" ht="15.75" customHeight="1" s="84">
      <c r="A880" s="80" t="inlineStr">
        <is>
          <t>Duration</t>
        </is>
      </c>
      <c r="B880" s="103">
        <f>IF(OR(batches!D148="",batches!E148=""),"",batches!E148-batches!D148+1&amp;" days")</f>
        <v/>
      </c>
      <c r="C880" s="101" t="n"/>
      <c r="D880" s="102" t="n"/>
      <c r="G880" s="80" t="inlineStr">
        <is>
          <t>Duration</t>
        </is>
      </c>
      <c r="H880" s="103">
        <f>IF(OR(batches!D149="",batches!E149=""),"",batches!E149-batches!D149+1&amp;" days")</f>
        <v/>
      </c>
      <c r="I880" s="101" t="n"/>
      <c r="J880" s="102" t="n"/>
    </row>
    <row r="881" ht="15.75" customHeight="1" s="84">
      <c r="A881" s="80" t="inlineStr">
        <is>
          <t>Timing</t>
        </is>
      </c>
      <c r="B881" s="103">
        <f>IF(A877="","",batches!F148)</f>
        <v/>
      </c>
      <c r="C881" s="101" t="n"/>
      <c r="D881" s="102" t="n"/>
      <c r="G881" s="80" t="inlineStr">
        <is>
          <t>Timing</t>
        </is>
      </c>
      <c r="H881" s="103">
        <f>IF(G877="","",batches!F149)</f>
        <v/>
      </c>
      <c r="I881" s="101" t="n"/>
      <c r="J881" s="102" t="n"/>
    </row>
    <row r="882" ht="15.75" customHeight="1" s="84">
      <c r="A882" s="80" t="inlineStr">
        <is>
          <t>Capacity</t>
        </is>
      </c>
      <c r="B882" s="103">
        <f>IF(A877="","",batches!G148)</f>
        <v/>
      </c>
      <c r="C882" s="101" t="n"/>
      <c r="D882" s="102" t="n"/>
      <c r="G882" s="80" t="inlineStr">
        <is>
          <t>Capacity</t>
        </is>
      </c>
      <c r="H882" s="103">
        <f>IF(G877="","",batches!G149)</f>
        <v/>
      </c>
      <c r="I882" s="101" t="n"/>
      <c r="J882" s="102" t="n"/>
    </row>
    <row r="883" ht="15.75" customHeight="1" s="84">
      <c r="A883" s="80" t="inlineStr">
        <is>
          <t>Enrolled</t>
        </is>
      </c>
      <c r="B883" s="103">
        <f>IF(A877="","",COUNTIF(admissions!$M:$M,batches!A148))</f>
        <v/>
      </c>
      <c r="C883" s="101" t="n"/>
      <c r="D883" s="102" t="n"/>
      <c r="G883" s="80" t="inlineStr">
        <is>
          <t>Enrolled</t>
        </is>
      </c>
      <c r="H883" s="103">
        <f>IF(G877="","",COUNTIF(admissions!$M:$M,batches!A149))</f>
        <v/>
      </c>
      <c r="I883" s="101" t="n"/>
      <c r="J883" s="102" t="n"/>
    </row>
    <row r="884" ht="15.75" customHeight="1" s="84">
      <c r="A884" s="80" t="inlineStr">
        <is>
          <t>Available</t>
        </is>
      </c>
      <c r="B884" s="103">
        <f>IF(OR(batches!A148="",batches!G148=""),"",batches!G148-COUNTIF(admissions!$M:$M,batches!A148))</f>
        <v/>
      </c>
      <c r="C884" s="101" t="n"/>
      <c r="D884" s="102" t="n"/>
      <c r="G884" s="80" t="inlineStr">
        <is>
          <t>Available</t>
        </is>
      </c>
      <c r="H884" s="103">
        <f>IF(OR(batches!A149="",batches!G149=""),"",batches!G149-COUNTIF(admissions!$M:$M,batches!A149))</f>
        <v/>
      </c>
      <c r="I884" s="101" t="n"/>
      <c r="J884" s="102" t="n"/>
    </row>
    <row r="885" ht="15.75" customHeight="1" s="84">
      <c r="A885" s="104" t="inlineStr">
        <is>
          <t>Student List</t>
        </is>
      </c>
      <c r="B885" s="101" t="n"/>
      <c r="C885" s="101" t="n"/>
      <c r="D885" s="102" t="n"/>
      <c r="G885" s="104" t="inlineStr">
        <is>
          <t>Student List</t>
        </is>
      </c>
      <c r="H885" s="101" t="n"/>
      <c r="I885" s="101" t="n"/>
      <c r="J885" s="102" t="n"/>
    </row>
    <row r="886" ht="15.75" customHeight="1" s="84">
      <c r="A886" s="105">
        <f>IFERROR(__xludf.DUMMYFUNCTION("IF(batches!A148="""","""",TEXTJOIN(CHAR(10),TRUE,FILTER(admissions!$G$2:$G$78,admissions!$M$2:$M$78=batches!A148,"""")))"),"")</f>
        <v/>
      </c>
      <c r="B886" s="101" t="n"/>
      <c r="C886" s="101" t="n"/>
      <c r="D886" s="102" t="n"/>
      <c r="G886" s="105">
        <f>IFERROR(__xludf.DUMMYFUNCTION("IF(batches!A149="""","""",TEXTJOIN(CHAR(10),TRUE,FILTER(admissions!$G$2:$G$78,admissions!$M$2:$M$78=batches!A149,"""")))"),"")</f>
        <v/>
      </c>
      <c r="H886" s="101" t="n"/>
      <c r="I886" s="101" t="n"/>
      <c r="J886" s="102" t="n"/>
    </row>
    <row r="887" ht="15.75" customHeight="1" s="84"/>
    <row r="888" ht="15.75" customHeight="1" s="84"/>
    <row r="889" ht="15.75" customHeight="1" s="84">
      <c r="A889" s="100">
        <f>IF(batches!A150="","",batches!A150)</f>
        <v/>
      </c>
      <c r="B889" s="101" t="n"/>
      <c r="C889" s="101" t="n"/>
      <c r="D889" s="102" t="n"/>
      <c r="G889" s="100">
        <f>IF(batches!A151="","",batches!A151)</f>
        <v/>
      </c>
      <c r="H889" s="101" t="n"/>
      <c r="I889" s="101" t="n"/>
      <c r="J889" s="102" t="n"/>
    </row>
    <row r="890" ht="15.75" customHeight="1" s="84">
      <c r="A890" s="80" t="inlineStr">
        <is>
          <t>Level / Mode</t>
        </is>
      </c>
      <c r="B890" s="103">
        <f>IF(A889="","",batches!B150&amp;" / "&amp;batches!C150)</f>
        <v/>
      </c>
      <c r="C890" s="101" t="n"/>
      <c r="D890" s="102" t="n"/>
      <c r="G890" s="80" t="inlineStr">
        <is>
          <t>Level / Mode</t>
        </is>
      </c>
      <c r="H890" s="103">
        <f>IF(G889="","",batches!B151&amp;" / "&amp;batches!C151)</f>
        <v/>
      </c>
      <c r="I890" s="101" t="n"/>
      <c r="J890" s="102" t="n"/>
    </row>
    <row r="891" ht="15.75" customHeight="1" s="84">
      <c r="A891" s="80" t="inlineStr">
        <is>
          <t>Dates</t>
        </is>
      </c>
      <c r="B891" s="103">
        <f>IF(A889="","",TEXT(batches!D150,"yyyy-mm-dd")&amp;" to "&amp;TEXT(batches!E150,"yyyy-mm-dd"))</f>
        <v/>
      </c>
      <c r="C891" s="101" t="n"/>
      <c r="D891" s="102" t="n"/>
      <c r="G891" s="80" t="inlineStr">
        <is>
          <t>Dates</t>
        </is>
      </c>
      <c r="H891" s="103">
        <f>IF(G889="","",TEXT(batches!D151,"yyyy-mm-dd")&amp;" to "&amp;TEXT(batches!E151,"yyyy-mm-dd"))</f>
        <v/>
      </c>
      <c r="I891" s="101" t="n"/>
      <c r="J891" s="102" t="n"/>
    </row>
    <row r="892" ht="15.75" customHeight="1" s="84">
      <c r="A892" s="80" t="inlineStr">
        <is>
          <t>Duration</t>
        </is>
      </c>
      <c r="B892" s="103">
        <f>IF(OR(batches!D150="",batches!E150=""),"",batches!E150-batches!D150+1&amp;" days")</f>
        <v/>
      </c>
      <c r="C892" s="101" t="n"/>
      <c r="D892" s="102" t="n"/>
      <c r="G892" s="80" t="inlineStr">
        <is>
          <t>Duration</t>
        </is>
      </c>
      <c r="H892" s="103">
        <f>IF(OR(batches!D151="",batches!E151=""),"",batches!E151-batches!D151+1&amp;" days")</f>
        <v/>
      </c>
      <c r="I892" s="101" t="n"/>
      <c r="J892" s="102" t="n"/>
    </row>
    <row r="893" ht="15.75" customHeight="1" s="84">
      <c r="A893" s="80" t="inlineStr">
        <is>
          <t>Timing</t>
        </is>
      </c>
      <c r="B893" s="103">
        <f>IF(A889="","",batches!F150)</f>
        <v/>
      </c>
      <c r="C893" s="101" t="n"/>
      <c r="D893" s="102" t="n"/>
      <c r="G893" s="80" t="inlineStr">
        <is>
          <t>Timing</t>
        </is>
      </c>
      <c r="H893" s="103">
        <f>IF(G889="","",batches!F151)</f>
        <v/>
      </c>
      <c r="I893" s="101" t="n"/>
      <c r="J893" s="102" t="n"/>
    </row>
    <row r="894" ht="15.75" customHeight="1" s="84">
      <c r="A894" s="80" t="inlineStr">
        <is>
          <t>Capacity</t>
        </is>
      </c>
      <c r="B894" s="103">
        <f>IF(A889="","",batches!G150)</f>
        <v/>
      </c>
      <c r="C894" s="101" t="n"/>
      <c r="D894" s="102" t="n"/>
      <c r="G894" s="80" t="inlineStr">
        <is>
          <t>Capacity</t>
        </is>
      </c>
      <c r="H894" s="103">
        <f>IF(G889="","",batches!G151)</f>
        <v/>
      </c>
      <c r="I894" s="101" t="n"/>
      <c r="J894" s="102" t="n"/>
    </row>
    <row r="895" ht="15.75" customHeight="1" s="84">
      <c r="A895" s="80" t="inlineStr">
        <is>
          <t>Enrolled</t>
        </is>
      </c>
      <c r="B895" s="103">
        <f>IF(A889="","",COUNTIF(admissions!$M:$M,batches!A150))</f>
        <v/>
      </c>
      <c r="C895" s="101" t="n"/>
      <c r="D895" s="102" t="n"/>
      <c r="G895" s="80" t="inlineStr">
        <is>
          <t>Enrolled</t>
        </is>
      </c>
      <c r="H895" s="103">
        <f>IF(G889="","",COUNTIF(admissions!$M:$M,batches!A151))</f>
        <v/>
      </c>
      <c r="I895" s="101" t="n"/>
      <c r="J895" s="102" t="n"/>
    </row>
    <row r="896" ht="15.75" customHeight="1" s="84">
      <c r="A896" s="80" t="inlineStr">
        <is>
          <t>Available</t>
        </is>
      </c>
      <c r="B896" s="103">
        <f>IF(OR(batches!A150="",batches!G150=""),"",batches!G150-COUNTIF(admissions!$M:$M,batches!A150))</f>
        <v/>
      </c>
      <c r="C896" s="101" t="n"/>
      <c r="D896" s="102" t="n"/>
      <c r="G896" s="80" t="inlineStr">
        <is>
          <t>Available</t>
        </is>
      </c>
      <c r="H896" s="103">
        <f>IF(OR(batches!A151="",batches!G151=""),"",batches!G151-COUNTIF(admissions!$M:$M,batches!A151))</f>
        <v/>
      </c>
      <c r="I896" s="101" t="n"/>
      <c r="J896" s="102" t="n"/>
    </row>
    <row r="897" ht="15.75" customHeight="1" s="84">
      <c r="A897" s="104" t="inlineStr">
        <is>
          <t>Student List</t>
        </is>
      </c>
      <c r="B897" s="101" t="n"/>
      <c r="C897" s="101" t="n"/>
      <c r="D897" s="102" t="n"/>
      <c r="G897" s="104" t="inlineStr">
        <is>
          <t>Student List</t>
        </is>
      </c>
      <c r="H897" s="101" t="n"/>
      <c r="I897" s="101" t="n"/>
      <c r="J897" s="102" t="n"/>
    </row>
    <row r="898" ht="15.75" customHeight="1" s="84">
      <c r="A898" s="105">
        <f>IFERROR(__xludf.DUMMYFUNCTION("IF(batches!A150="""","""",TEXTJOIN(CHAR(10),TRUE,FILTER(admissions!$G$2:$G$78,admissions!$M$2:$M$78=batches!A150,"""")))"),"")</f>
        <v/>
      </c>
      <c r="B898" s="101" t="n"/>
      <c r="C898" s="101" t="n"/>
      <c r="D898" s="102" t="n"/>
      <c r="G898" s="105">
        <f>IFERROR(__xludf.DUMMYFUNCTION("IF(batches!A151="""","""",TEXTJOIN(CHAR(10),TRUE,FILTER(admissions!$G$2:$G$78,admissions!$M$2:$M$78=batches!A151,"""")))"),"")</f>
        <v/>
      </c>
      <c r="H898" s="101" t="n"/>
      <c r="I898" s="101" t="n"/>
      <c r="J898" s="102" t="n"/>
    </row>
    <row r="899" ht="15.75" customHeight="1" s="84"/>
    <row r="900" ht="15.75" customHeight="1" s="84"/>
    <row r="901" ht="15.75" customHeight="1" s="84">
      <c r="A901" s="100">
        <f>IF(batches!A152="","",batches!A152)</f>
        <v/>
      </c>
      <c r="B901" s="101" t="n"/>
      <c r="C901" s="101" t="n"/>
      <c r="D901" s="102" t="n"/>
      <c r="G901" s="100">
        <f>IF(batches!A153="","",batches!A153)</f>
        <v/>
      </c>
      <c r="H901" s="101" t="n"/>
      <c r="I901" s="101" t="n"/>
      <c r="J901" s="102" t="n"/>
    </row>
    <row r="902" ht="15.75" customHeight="1" s="84">
      <c r="A902" s="80" t="inlineStr">
        <is>
          <t>Level / Mode</t>
        </is>
      </c>
      <c r="B902" s="103">
        <f>IF(A901="","",batches!B152&amp;" / "&amp;batches!C152)</f>
        <v/>
      </c>
      <c r="C902" s="101" t="n"/>
      <c r="D902" s="102" t="n"/>
      <c r="G902" s="80" t="inlineStr">
        <is>
          <t>Level / Mode</t>
        </is>
      </c>
      <c r="H902" s="103">
        <f>IF(G901="","",batches!B153&amp;" / "&amp;batches!C153)</f>
        <v/>
      </c>
      <c r="I902" s="101" t="n"/>
      <c r="J902" s="102" t="n"/>
    </row>
    <row r="903" ht="15.75" customHeight="1" s="84">
      <c r="A903" s="80" t="inlineStr">
        <is>
          <t>Dates</t>
        </is>
      </c>
      <c r="B903" s="103">
        <f>IF(A901="","",TEXT(batches!D152,"yyyy-mm-dd")&amp;" to "&amp;TEXT(batches!E152,"yyyy-mm-dd"))</f>
        <v/>
      </c>
      <c r="C903" s="101" t="n"/>
      <c r="D903" s="102" t="n"/>
      <c r="G903" s="80" t="inlineStr">
        <is>
          <t>Dates</t>
        </is>
      </c>
      <c r="H903" s="103">
        <f>IF(G901="","",TEXT(batches!D153,"yyyy-mm-dd")&amp;" to "&amp;TEXT(batches!E153,"yyyy-mm-dd"))</f>
        <v/>
      </c>
      <c r="I903" s="101" t="n"/>
      <c r="J903" s="102" t="n"/>
    </row>
    <row r="904" ht="15.75" customHeight="1" s="84">
      <c r="A904" s="80" t="inlineStr">
        <is>
          <t>Duration</t>
        </is>
      </c>
      <c r="B904" s="103">
        <f>IF(OR(batches!D152="",batches!E152=""),"",batches!E152-batches!D152+1&amp;" days")</f>
        <v/>
      </c>
      <c r="C904" s="101" t="n"/>
      <c r="D904" s="102" t="n"/>
      <c r="G904" s="80" t="inlineStr">
        <is>
          <t>Duration</t>
        </is>
      </c>
      <c r="H904" s="103">
        <f>IF(OR(batches!D153="",batches!E153=""),"",batches!E153-batches!D153+1&amp;" days")</f>
        <v/>
      </c>
      <c r="I904" s="101" t="n"/>
      <c r="J904" s="102" t="n"/>
    </row>
    <row r="905" ht="15.75" customHeight="1" s="84">
      <c r="A905" s="80" t="inlineStr">
        <is>
          <t>Timing</t>
        </is>
      </c>
      <c r="B905" s="103">
        <f>IF(A901="","",batches!F152)</f>
        <v/>
      </c>
      <c r="C905" s="101" t="n"/>
      <c r="D905" s="102" t="n"/>
      <c r="G905" s="80" t="inlineStr">
        <is>
          <t>Timing</t>
        </is>
      </c>
      <c r="H905" s="103">
        <f>IF(G901="","",batches!F153)</f>
        <v/>
      </c>
      <c r="I905" s="101" t="n"/>
      <c r="J905" s="102" t="n"/>
    </row>
    <row r="906" ht="15.75" customHeight="1" s="84">
      <c r="A906" s="80" t="inlineStr">
        <is>
          <t>Capacity</t>
        </is>
      </c>
      <c r="B906" s="103">
        <f>IF(A901="","",batches!G152)</f>
        <v/>
      </c>
      <c r="C906" s="101" t="n"/>
      <c r="D906" s="102" t="n"/>
      <c r="G906" s="80" t="inlineStr">
        <is>
          <t>Capacity</t>
        </is>
      </c>
      <c r="H906" s="103">
        <f>IF(G901="","",batches!G153)</f>
        <v/>
      </c>
      <c r="I906" s="101" t="n"/>
      <c r="J906" s="102" t="n"/>
    </row>
    <row r="907" ht="15.75" customHeight="1" s="84">
      <c r="A907" s="80" t="inlineStr">
        <is>
          <t>Enrolled</t>
        </is>
      </c>
      <c r="B907" s="103">
        <f>IF(A901="","",COUNTIF(admissions!$M:$M,batches!A152))</f>
        <v/>
      </c>
      <c r="C907" s="101" t="n"/>
      <c r="D907" s="102" t="n"/>
      <c r="G907" s="80" t="inlineStr">
        <is>
          <t>Enrolled</t>
        </is>
      </c>
      <c r="H907" s="103">
        <f>IF(G901="","",COUNTIF(admissions!$M:$M,batches!A153))</f>
        <v/>
      </c>
      <c r="I907" s="101" t="n"/>
      <c r="J907" s="102" t="n"/>
    </row>
    <row r="908" ht="15.75" customHeight="1" s="84">
      <c r="A908" s="80" t="inlineStr">
        <is>
          <t>Available</t>
        </is>
      </c>
      <c r="B908" s="103">
        <f>IF(OR(batches!A152="",batches!G152=""),"",batches!G152-COUNTIF(admissions!$M:$M,batches!A152))</f>
        <v/>
      </c>
      <c r="C908" s="101" t="n"/>
      <c r="D908" s="102" t="n"/>
      <c r="G908" s="80" t="inlineStr">
        <is>
          <t>Available</t>
        </is>
      </c>
      <c r="H908" s="103">
        <f>IF(OR(batches!A153="",batches!G153=""),"",batches!G153-COUNTIF(admissions!$M:$M,batches!A153))</f>
        <v/>
      </c>
      <c r="I908" s="101" t="n"/>
      <c r="J908" s="102" t="n"/>
    </row>
    <row r="909" ht="15.75" customHeight="1" s="84">
      <c r="A909" s="104" t="inlineStr">
        <is>
          <t>Student List</t>
        </is>
      </c>
      <c r="B909" s="101" t="n"/>
      <c r="C909" s="101" t="n"/>
      <c r="D909" s="102" t="n"/>
      <c r="G909" s="104" t="inlineStr">
        <is>
          <t>Student List</t>
        </is>
      </c>
      <c r="H909" s="101" t="n"/>
      <c r="I909" s="101" t="n"/>
      <c r="J909" s="102" t="n"/>
    </row>
    <row r="910" ht="15.75" customHeight="1" s="84">
      <c r="A910" s="105">
        <f>IFERROR(__xludf.DUMMYFUNCTION("IF(batches!A152="""","""",TEXTJOIN(CHAR(10),TRUE,FILTER(admissions!$G$2:$G$78,admissions!$M$2:$M$78=batches!A152,"""")))"),"")</f>
        <v/>
      </c>
      <c r="B910" s="101" t="n"/>
      <c r="C910" s="101" t="n"/>
      <c r="D910" s="102" t="n"/>
      <c r="G910" s="105">
        <f>IFERROR(__xludf.DUMMYFUNCTION("IF(batches!A153="""","""",TEXTJOIN(CHAR(10),TRUE,FILTER(admissions!$G$2:$G$78,admissions!$M$2:$M$78=batches!A153,"""")))"),"")</f>
        <v/>
      </c>
      <c r="H910" s="101" t="n"/>
      <c r="I910" s="101" t="n"/>
      <c r="J910" s="102" t="n"/>
    </row>
    <row r="911" ht="15.75" customHeight="1" s="84"/>
    <row r="912" ht="15.75" customHeight="1" s="84"/>
    <row r="913" ht="15.75" customHeight="1" s="84">
      <c r="A913" s="100">
        <f>IF(batches!A154="","",batches!A154)</f>
        <v/>
      </c>
      <c r="B913" s="101" t="n"/>
      <c r="C913" s="101" t="n"/>
      <c r="D913" s="102" t="n"/>
      <c r="G913" s="100">
        <f>IF(batches!A155="","",batches!A155)</f>
        <v/>
      </c>
      <c r="H913" s="101" t="n"/>
      <c r="I913" s="101" t="n"/>
      <c r="J913" s="102" t="n"/>
    </row>
    <row r="914" ht="15.75" customHeight="1" s="84">
      <c r="A914" s="80" t="inlineStr">
        <is>
          <t>Level / Mode</t>
        </is>
      </c>
      <c r="B914" s="103">
        <f>IF(A913="","",batches!B154&amp;" / "&amp;batches!C154)</f>
        <v/>
      </c>
      <c r="C914" s="101" t="n"/>
      <c r="D914" s="102" t="n"/>
      <c r="G914" s="80" t="inlineStr">
        <is>
          <t>Level / Mode</t>
        </is>
      </c>
      <c r="H914" s="103">
        <f>IF(G913="","",batches!B155&amp;" / "&amp;batches!C155)</f>
        <v/>
      </c>
      <c r="I914" s="101" t="n"/>
      <c r="J914" s="102" t="n"/>
    </row>
    <row r="915" ht="15.75" customHeight="1" s="84">
      <c r="A915" s="80" t="inlineStr">
        <is>
          <t>Dates</t>
        </is>
      </c>
      <c r="B915" s="103">
        <f>IF(A913="","",TEXT(batches!D154,"yyyy-mm-dd")&amp;" to "&amp;TEXT(batches!E154,"yyyy-mm-dd"))</f>
        <v/>
      </c>
      <c r="C915" s="101" t="n"/>
      <c r="D915" s="102" t="n"/>
      <c r="G915" s="80" t="inlineStr">
        <is>
          <t>Dates</t>
        </is>
      </c>
      <c r="H915" s="103">
        <f>IF(G913="","",TEXT(batches!D155,"yyyy-mm-dd")&amp;" to "&amp;TEXT(batches!E155,"yyyy-mm-dd"))</f>
        <v/>
      </c>
      <c r="I915" s="101" t="n"/>
      <c r="J915" s="102" t="n"/>
    </row>
    <row r="916" ht="15.75" customHeight="1" s="84">
      <c r="A916" s="80" t="inlineStr">
        <is>
          <t>Duration</t>
        </is>
      </c>
      <c r="B916" s="103">
        <f>IF(OR(batches!D154="",batches!E154=""),"",batches!E154-batches!D154+1&amp;" days")</f>
        <v/>
      </c>
      <c r="C916" s="101" t="n"/>
      <c r="D916" s="102" t="n"/>
      <c r="G916" s="80" t="inlineStr">
        <is>
          <t>Duration</t>
        </is>
      </c>
      <c r="H916" s="103">
        <f>IF(OR(batches!D155="",batches!E155=""),"",batches!E155-batches!D155+1&amp;" days")</f>
        <v/>
      </c>
      <c r="I916" s="101" t="n"/>
      <c r="J916" s="102" t="n"/>
    </row>
    <row r="917" ht="15.75" customHeight="1" s="84">
      <c r="A917" s="80" t="inlineStr">
        <is>
          <t>Timing</t>
        </is>
      </c>
      <c r="B917" s="103">
        <f>IF(A913="","",batches!F154)</f>
        <v/>
      </c>
      <c r="C917" s="101" t="n"/>
      <c r="D917" s="102" t="n"/>
      <c r="G917" s="80" t="inlineStr">
        <is>
          <t>Timing</t>
        </is>
      </c>
      <c r="H917" s="103">
        <f>IF(G913="","",batches!F155)</f>
        <v/>
      </c>
      <c r="I917" s="101" t="n"/>
      <c r="J917" s="102" t="n"/>
    </row>
    <row r="918" ht="15.75" customHeight="1" s="84">
      <c r="A918" s="80" t="inlineStr">
        <is>
          <t>Capacity</t>
        </is>
      </c>
      <c r="B918" s="103">
        <f>IF(A913="","",batches!G154)</f>
        <v/>
      </c>
      <c r="C918" s="101" t="n"/>
      <c r="D918" s="102" t="n"/>
      <c r="G918" s="80" t="inlineStr">
        <is>
          <t>Capacity</t>
        </is>
      </c>
      <c r="H918" s="103">
        <f>IF(G913="","",batches!G155)</f>
        <v/>
      </c>
      <c r="I918" s="101" t="n"/>
      <c r="J918" s="102" t="n"/>
    </row>
    <row r="919" ht="15.75" customHeight="1" s="84">
      <c r="A919" s="80" t="inlineStr">
        <is>
          <t>Enrolled</t>
        </is>
      </c>
      <c r="B919" s="103">
        <f>IF(A913="","",COUNTIF(admissions!$M:$M,batches!A154))</f>
        <v/>
      </c>
      <c r="C919" s="101" t="n"/>
      <c r="D919" s="102" t="n"/>
      <c r="G919" s="80" t="inlineStr">
        <is>
          <t>Enrolled</t>
        </is>
      </c>
      <c r="H919" s="103">
        <f>IF(G913="","",COUNTIF(admissions!$M:$M,batches!A155))</f>
        <v/>
      </c>
      <c r="I919" s="101" t="n"/>
      <c r="J919" s="102" t="n"/>
    </row>
    <row r="920" ht="15.75" customHeight="1" s="84">
      <c r="A920" s="80" t="inlineStr">
        <is>
          <t>Available</t>
        </is>
      </c>
      <c r="B920" s="103">
        <f>IF(OR(batches!A154="",batches!G154=""),"",batches!G154-COUNTIF(admissions!$M:$M,batches!A154))</f>
        <v/>
      </c>
      <c r="C920" s="101" t="n"/>
      <c r="D920" s="102" t="n"/>
      <c r="G920" s="80" t="inlineStr">
        <is>
          <t>Available</t>
        </is>
      </c>
      <c r="H920" s="103">
        <f>IF(OR(batches!A155="",batches!G155=""),"",batches!G155-COUNTIF(admissions!$M:$M,batches!A155))</f>
        <v/>
      </c>
      <c r="I920" s="101" t="n"/>
      <c r="J920" s="102" t="n"/>
    </row>
    <row r="921" ht="15.75" customHeight="1" s="84">
      <c r="A921" s="104" t="inlineStr">
        <is>
          <t>Student List</t>
        </is>
      </c>
      <c r="B921" s="101" t="n"/>
      <c r="C921" s="101" t="n"/>
      <c r="D921" s="102" t="n"/>
      <c r="G921" s="104" t="inlineStr">
        <is>
          <t>Student List</t>
        </is>
      </c>
      <c r="H921" s="101" t="n"/>
      <c r="I921" s="101" t="n"/>
      <c r="J921" s="102" t="n"/>
    </row>
    <row r="922" ht="15.75" customHeight="1" s="84">
      <c r="A922" s="105">
        <f>IFERROR(__xludf.DUMMYFUNCTION("IF(batches!A154="""","""",TEXTJOIN(CHAR(10),TRUE,FILTER(admissions!$G$2:$G$78,admissions!$M$2:$M$78=batches!A154,"""")))"),"")</f>
        <v/>
      </c>
      <c r="B922" s="101" t="n"/>
      <c r="C922" s="101" t="n"/>
      <c r="D922" s="102" t="n"/>
      <c r="G922" s="105">
        <f>IFERROR(__xludf.DUMMYFUNCTION("IF(batches!A155="""","""",TEXTJOIN(CHAR(10),TRUE,FILTER(admissions!$G$2:$G$78,admissions!$M$2:$M$78=batches!A155,"""")))"),"")</f>
        <v/>
      </c>
      <c r="H922" s="101" t="n"/>
      <c r="I922" s="101" t="n"/>
      <c r="J922" s="102" t="n"/>
    </row>
    <row r="923" ht="15.75" customHeight="1" s="84"/>
    <row r="924" ht="15.75" customHeight="1" s="84"/>
    <row r="925" ht="15.75" customHeight="1" s="84">
      <c r="A925" s="100">
        <f>IF(batches!A156="","",batches!A156)</f>
        <v/>
      </c>
      <c r="B925" s="101" t="n"/>
      <c r="C925" s="101" t="n"/>
      <c r="D925" s="102" t="n"/>
      <c r="G925" s="100">
        <f>IF(batches!A157="","",batches!A157)</f>
        <v/>
      </c>
      <c r="H925" s="101" t="n"/>
      <c r="I925" s="101" t="n"/>
      <c r="J925" s="102" t="n"/>
    </row>
    <row r="926" ht="15.75" customHeight="1" s="84">
      <c r="A926" s="80" t="inlineStr">
        <is>
          <t>Level / Mode</t>
        </is>
      </c>
      <c r="B926" s="103">
        <f>IF(A925="","",batches!B156&amp;" / "&amp;batches!C156)</f>
        <v/>
      </c>
      <c r="C926" s="101" t="n"/>
      <c r="D926" s="102" t="n"/>
      <c r="G926" s="80" t="inlineStr">
        <is>
          <t>Level / Mode</t>
        </is>
      </c>
      <c r="H926" s="103">
        <f>IF(G925="","",batches!B157&amp;" / "&amp;batches!C157)</f>
        <v/>
      </c>
      <c r="I926" s="101" t="n"/>
      <c r="J926" s="102" t="n"/>
    </row>
    <row r="927" ht="15.75" customHeight="1" s="84">
      <c r="A927" s="80" t="inlineStr">
        <is>
          <t>Dates</t>
        </is>
      </c>
      <c r="B927" s="103">
        <f>IF(A925="","",TEXT(batches!D156,"yyyy-mm-dd")&amp;" to "&amp;TEXT(batches!E156,"yyyy-mm-dd"))</f>
        <v/>
      </c>
      <c r="C927" s="101" t="n"/>
      <c r="D927" s="102" t="n"/>
      <c r="G927" s="80" t="inlineStr">
        <is>
          <t>Dates</t>
        </is>
      </c>
      <c r="H927" s="103">
        <f>IF(G925="","",TEXT(batches!D157,"yyyy-mm-dd")&amp;" to "&amp;TEXT(batches!E157,"yyyy-mm-dd"))</f>
        <v/>
      </c>
      <c r="I927" s="101" t="n"/>
      <c r="J927" s="102" t="n"/>
    </row>
    <row r="928" ht="15.75" customHeight="1" s="84">
      <c r="A928" s="80" t="inlineStr">
        <is>
          <t>Duration</t>
        </is>
      </c>
      <c r="B928" s="103">
        <f>IF(OR(batches!D156="",batches!E156=""),"",batches!E156-batches!D156+1&amp;" days")</f>
        <v/>
      </c>
      <c r="C928" s="101" t="n"/>
      <c r="D928" s="102" t="n"/>
      <c r="G928" s="80" t="inlineStr">
        <is>
          <t>Duration</t>
        </is>
      </c>
      <c r="H928" s="103">
        <f>IF(OR(batches!D157="",batches!E157=""),"",batches!E157-batches!D157+1&amp;" days")</f>
        <v/>
      </c>
      <c r="I928" s="101" t="n"/>
      <c r="J928" s="102" t="n"/>
    </row>
    <row r="929" ht="15.75" customHeight="1" s="84">
      <c r="A929" s="80" t="inlineStr">
        <is>
          <t>Timing</t>
        </is>
      </c>
      <c r="B929" s="103">
        <f>IF(A925="","",batches!F156)</f>
        <v/>
      </c>
      <c r="C929" s="101" t="n"/>
      <c r="D929" s="102" t="n"/>
      <c r="G929" s="80" t="inlineStr">
        <is>
          <t>Timing</t>
        </is>
      </c>
      <c r="H929" s="103">
        <f>IF(G925="","",batches!F157)</f>
        <v/>
      </c>
      <c r="I929" s="101" t="n"/>
      <c r="J929" s="102" t="n"/>
    </row>
    <row r="930" ht="15.75" customHeight="1" s="84">
      <c r="A930" s="80" t="inlineStr">
        <is>
          <t>Capacity</t>
        </is>
      </c>
      <c r="B930" s="103">
        <f>IF(A925="","",batches!G156)</f>
        <v/>
      </c>
      <c r="C930" s="101" t="n"/>
      <c r="D930" s="102" t="n"/>
      <c r="G930" s="80" t="inlineStr">
        <is>
          <t>Capacity</t>
        </is>
      </c>
      <c r="H930" s="103">
        <f>IF(G925="","",batches!G157)</f>
        <v/>
      </c>
      <c r="I930" s="101" t="n"/>
      <c r="J930" s="102" t="n"/>
    </row>
    <row r="931" ht="15.75" customHeight="1" s="84">
      <c r="A931" s="80" t="inlineStr">
        <is>
          <t>Enrolled</t>
        </is>
      </c>
      <c r="B931" s="103">
        <f>IF(A925="","",COUNTIF(admissions!$M:$M,batches!A156))</f>
        <v/>
      </c>
      <c r="C931" s="101" t="n"/>
      <c r="D931" s="102" t="n"/>
      <c r="G931" s="80" t="inlineStr">
        <is>
          <t>Enrolled</t>
        </is>
      </c>
      <c r="H931" s="103">
        <f>IF(G925="","",COUNTIF(admissions!$M:$M,batches!A157))</f>
        <v/>
      </c>
      <c r="I931" s="101" t="n"/>
      <c r="J931" s="102" t="n"/>
    </row>
    <row r="932" ht="15.75" customHeight="1" s="84">
      <c r="A932" s="80" t="inlineStr">
        <is>
          <t>Available</t>
        </is>
      </c>
      <c r="B932" s="103">
        <f>IF(OR(batches!A156="",batches!G156=""),"",batches!G156-COUNTIF(admissions!$M:$M,batches!A156))</f>
        <v/>
      </c>
      <c r="C932" s="101" t="n"/>
      <c r="D932" s="102" t="n"/>
      <c r="G932" s="80" t="inlineStr">
        <is>
          <t>Available</t>
        </is>
      </c>
      <c r="H932" s="103">
        <f>IF(OR(batches!A157="",batches!G157=""),"",batches!G157-COUNTIF(admissions!$M:$M,batches!A157))</f>
        <v/>
      </c>
      <c r="I932" s="101" t="n"/>
      <c r="J932" s="102" t="n"/>
    </row>
    <row r="933" ht="15.75" customHeight="1" s="84">
      <c r="A933" s="104" t="inlineStr">
        <is>
          <t>Student List</t>
        </is>
      </c>
      <c r="B933" s="101" t="n"/>
      <c r="C933" s="101" t="n"/>
      <c r="D933" s="102" t="n"/>
      <c r="G933" s="104" t="inlineStr">
        <is>
          <t>Student List</t>
        </is>
      </c>
      <c r="H933" s="101" t="n"/>
      <c r="I933" s="101" t="n"/>
      <c r="J933" s="102" t="n"/>
    </row>
    <row r="934" ht="15.75" customHeight="1" s="84">
      <c r="A934" s="105">
        <f>IFERROR(__xludf.DUMMYFUNCTION("IF(batches!A156="""","""",TEXTJOIN(CHAR(10),TRUE,FILTER(admissions!$G$2:$G$78,admissions!$M$2:$M$78=batches!A156,"""")))"),"")</f>
        <v/>
      </c>
      <c r="B934" s="101" t="n"/>
      <c r="C934" s="101" t="n"/>
      <c r="D934" s="102" t="n"/>
      <c r="G934" s="105">
        <f>IFERROR(__xludf.DUMMYFUNCTION("IF(batches!A157="""","""",TEXTJOIN(CHAR(10),TRUE,FILTER(admissions!$G$2:$G$78,admissions!$M$2:$M$78=batches!A157,"""")))"),"")</f>
        <v/>
      </c>
      <c r="H934" s="101" t="n"/>
      <c r="I934" s="101" t="n"/>
      <c r="J934" s="102" t="n"/>
    </row>
    <row r="935" ht="15.75" customHeight="1" s="84"/>
    <row r="936" ht="15.75" customHeight="1" s="84"/>
    <row r="937" ht="15.75" customHeight="1" s="84">
      <c r="A937" s="100">
        <f>IF(batches!A158="","",batches!A158)</f>
        <v/>
      </c>
      <c r="B937" s="101" t="n"/>
      <c r="C937" s="101" t="n"/>
      <c r="D937" s="102" t="n"/>
      <c r="G937" s="100">
        <f>IF(batches!A159="","",batches!A159)</f>
        <v/>
      </c>
      <c r="H937" s="101" t="n"/>
      <c r="I937" s="101" t="n"/>
      <c r="J937" s="102" t="n"/>
    </row>
    <row r="938" ht="15.75" customHeight="1" s="84">
      <c r="A938" s="80" t="inlineStr">
        <is>
          <t>Level / Mode</t>
        </is>
      </c>
      <c r="B938" s="103">
        <f>IF(A937="","",batches!B158&amp;" / "&amp;batches!C158)</f>
        <v/>
      </c>
      <c r="C938" s="101" t="n"/>
      <c r="D938" s="102" t="n"/>
      <c r="G938" s="80" t="inlineStr">
        <is>
          <t>Level / Mode</t>
        </is>
      </c>
      <c r="H938" s="103">
        <f>IF(G937="","",batches!B159&amp;" / "&amp;batches!C159)</f>
        <v/>
      </c>
      <c r="I938" s="101" t="n"/>
      <c r="J938" s="102" t="n"/>
    </row>
    <row r="939" ht="15.75" customHeight="1" s="84">
      <c r="A939" s="80" t="inlineStr">
        <is>
          <t>Dates</t>
        </is>
      </c>
      <c r="B939" s="103">
        <f>IF(A937="","",TEXT(batches!D158,"yyyy-mm-dd")&amp;" to "&amp;TEXT(batches!E158,"yyyy-mm-dd"))</f>
        <v/>
      </c>
      <c r="C939" s="101" t="n"/>
      <c r="D939" s="102" t="n"/>
      <c r="G939" s="80" t="inlineStr">
        <is>
          <t>Dates</t>
        </is>
      </c>
      <c r="H939" s="103">
        <f>IF(G937="","",TEXT(batches!D159,"yyyy-mm-dd")&amp;" to "&amp;TEXT(batches!E159,"yyyy-mm-dd"))</f>
        <v/>
      </c>
      <c r="I939" s="101" t="n"/>
      <c r="J939" s="102" t="n"/>
    </row>
    <row r="940" ht="15.75" customHeight="1" s="84">
      <c r="A940" s="80" t="inlineStr">
        <is>
          <t>Duration</t>
        </is>
      </c>
      <c r="B940" s="103">
        <f>IF(OR(batches!D158="",batches!E158=""),"",batches!E158-batches!D158+1&amp;" days")</f>
        <v/>
      </c>
      <c r="C940" s="101" t="n"/>
      <c r="D940" s="102" t="n"/>
      <c r="G940" s="80" t="inlineStr">
        <is>
          <t>Duration</t>
        </is>
      </c>
      <c r="H940" s="103">
        <f>IF(OR(batches!D159="",batches!E159=""),"",batches!E159-batches!D159+1&amp;" days")</f>
        <v/>
      </c>
      <c r="I940" s="101" t="n"/>
      <c r="J940" s="102" t="n"/>
    </row>
    <row r="941" ht="15.75" customHeight="1" s="84">
      <c r="A941" s="80" t="inlineStr">
        <is>
          <t>Timing</t>
        </is>
      </c>
      <c r="B941" s="103">
        <f>IF(A937="","",batches!F158)</f>
        <v/>
      </c>
      <c r="C941" s="101" t="n"/>
      <c r="D941" s="102" t="n"/>
      <c r="G941" s="80" t="inlineStr">
        <is>
          <t>Timing</t>
        </is>
      </c>
      <c r="H941" s="103">
        <f>IF(G937="","",batches!F159)</f>
        <v/>
      </c>
      <c r="I941" s="101" t="n"/>
      <c r="J941" s="102" t="n"/>
    </row>
    <row r="942" ht="15.75" customHeight="1" s="84">
      <c r="A942" s="80" t="inlineStr">
        <is>
          <t>Capacity</t>
        </is>
      </c>
      <c r="B942" s="103">
        <f>IF(A937="","",batches!G158)</f>
        <v/>
      </c>
      <c r="C942" s="101" t="n"/>
      <c r="D942" s="102" t="n"/>
      <c r="G942" s="80" t="inlineStr">
        <is>
          <t>Capacity</t>
        </is>
      </c>
      <c r="H942" s="103">
        <f>IF(G937="","",batches!G159)</f>
        <v/>
      </c>
      <c r="I942" s="101" t="n"/>
      <c r="J942" s="102" t="n"/>
    </row>
    <row r="943" ht="15.75" customHeight="1" s="84">
      <c r="A943" s="80" t="inlineStr">
        <is>
          <t>Enrolled</t>
        </is>
      </c>
      <c r="B943" s="103">
        <f>IF(A937="","",COUNTIF(admissions!$M:$M,batches!A158))</f>
        <v/>
      </c>
      <c r="C943" s="101" t="n"/>
      <c r="D943" s="102" t="n"/>
      <c r="G943" s="80" t="inlineStr">
        <is>
          <t>Enrolled</t>
        </is>
      </c>
      <c r="H943" s="103">
        <f>IF(G937="","",COUNTIF(admissions!$M:$M,batches!A159))</f>
        <v/>
      </c>
      <c r="I943" s="101" t="n"/>
      <c r="J943" s="102" t="n"/>
    </row>
    <row r="944" ht="15.75" customHeight="1" s="84">
      <c r="A944" s="80" t="inlineStr">
        <is>
          <t>Available</t>
        </is>
      </c>
      <c r="B944" s="103">
        <f>IF(OR(batches!A158="",batches!G158=""),"",batches!G158-COUNTIF(admissions!$M:$M,batches!A158))</f>
        <v/>
      </c>
      <c r="C944" s="101" t="n"/>
      <c r="D944" s="102" t="n"/>
      <c r="G944" s="80" t="inlineStr">
        <is>
          <t>Available</t>
        </is>
      </c>
      <c r="H944" s="103">
        <f>IF(OR(batches!A159="",batches!G159=""),"",batches!G159-COUNTIF(admissions!$M:$M,batches!A159))</f>
        <v/>
      </c>
      <c r="I944" s="101" t="n"/>
      <c r="J944" s="102" t="n"/>
    </row>
    <row r="945" ht="15.75" customHeight="1" s="84">
      <c r="A945" s="104" t="inlineStr">
        <is>
          <t>Student List</t>
        </is>
      </c>
      <c r="B945" s="101" t="n"/>
      <c r="C945" s="101" t="n"/>
      <c r="D945" s="102" t="n"/>
      <c r="G945" s="104" t="inlineStr">
        <is>
          <t>Student List</t>
        </is>
      </c>
      <c r="H945" s="101" t="n"/>
      <c r="I945" s="101" t="n"/>
      <c r="J945" s="102" t="n"/>
    </row>
    <row r="946" ht="15.75" customHeight="1" s="84">
      <c r="A946" s="105">
        <f>IFERROR(__xludf.DUMMYFUNCTION("IF(batches!A158="""","""",TEXTJOIN(CHAR(10),TRUE,FILTER(admissions!$G$2:$G$78,admissions!$M$2:$M$78=batches!A158,"""")))"),"")</f>
        <v/>
      </c>
      <c r="B946" s="101" t="n"/>
      <c r="C946" s="101" t="n"/>
      <c r="D946" s="102" t="n"/>
      <c r="G946" s="105">
        <f>IFERROR(__xludf.DUMMYFUNCTION("IF(batches!A159="""","""",TEXTJOIN(CHAR(10),TRUE,FILTER(admissions!$G$2:$G$78,admissions!$M$2:$M$78=batches!A159,"""")))"),"")</f>
        <v/>
      </c>
      <c r="H946" s="101" t="n"/>
      <c r="I946" s="101" t="n"/>
      <c r="J946" s="102" t="n"/>
    </row>
    <row r="947" ht="15.75" customHeight="1" s="84"/>
    <row r="948" ht="15.75" customHeight="1" s="84"/>
    <row r="949" ht="15.75" customHeight="1" s="84">
      <c r="A949" s="100">
        <f>IF(batches!A160="","",batches!A160)</f>
        <v/>
      </c>
      <c r="B949" s="101" t="n"/>
      <c r="C949" s="101" t="n"/>
      <c r="D949" s="102" t="n"/>
      <c r="G949" s="100">
        <f>IF(batches!A161="","",batches!A161)</f>
        <v/>
      </c>
      <c r="H949" s="101" t="n"/>
      <c r="I949" s="101" t="n"/>
      <c r="J949" s="102" t="n"/>
    </row>
    <row r="950" ht="15.75" customHeight="1" s="84">
      <c r="A950" s="80" t="inlineStr">
        <is>
          <t>Level / Mode</t>
        </is>
      </c>
      <c r="B950" s="103">
        <f>IF(A949="","",batches!B160&amp;" / "&amp;batches!C160)</f>
        <v/>
      </c>
      <c r="C950" s="101" t="n"/>
      <c r="D950" s="102" t="n"/>
      <c r="G950" s="80" t="inlineStr">
        <is>
          <t>Level / Mode</t>
        </is>
      </c>
      <c r="H950" s="103">
        <f>IF(G949="","",batches!B161&amp;" / "&amp;batches!C161)</f>
        <v/>
      </c>
      <c r="I950" s="101" t="n"/>
      <c r="J950" s="102" t="n"/>
    </row>
    <row r="951" ht="15.75" customHeight="1" s="84">
      <c r="A951" s="80" t="inlineStr">
        <is>
          <t>Dates</t>
        </is>
      </c>
      <c r="B951" s="103">
        <f>IF(A949="","",TEXT(batches!D160,"yyyy-mm-dd")&amp;" to "&amp;TEXT(batches!E160,"yyyy-mm-dd"))</f>
        <v/>
      </c>
      <c r="C951" s="101" t="n"/>
      <c r="D951" s="102" t="n"/>
      <c r="G951" s="80" t="inlineStr">
        <is>
          <t>Dates</t>
        </is>
      </c>
      <c r="H951" s="103">
        <f>IF(G949="","",TEXT(batches!D161,"yyyy-mm-dd")&amp;" to "&amp;TEXT(batches!E161,"yyyy-mm-dd"))</f>
        <v/>
      </c>
      <c r="I951" s="101" t="n"/>
      <c r="J951" s="102" t="n"/>
    </row>
    <row r="952" ht="15.75" customHeight="1" s="84">
      <c r="A952" s="80" t="inlineStr">
        <is>
          <t>Duration</t>
        </is>
      </c>
      <c r="B952" s="103">
        <f>IF(OR(batches!D160="",batches!E160=""),"",batches!E160-batches!D160+1&amp;" days")</f>
        <v/>
      </c>
      <c r="C952" s="101" t="n"/>
      <c r="D952" s="102" t="n"/>
      <c r="G952" s="80" t="inlineStr">
        <is>
          <t>Duration</t>
        </is>
      </c>
      <c r="H952" s="103">
        <f>IF(OR(batches!D161="",batches!E161=""),"",batches!E161-batches!D161+1&amp;" days")</f>
        <v/>
      </c>
      <c r="I952" s="101" t="n"/>
      <c r="J952" s="102" t="n"/>
    </row>
    <row r="953" ht="15.75" customHeight="1" s="84">
      <c r="A953" s="80" t="inlineStr">
        <is>
          <t>Timing</t>
        </is>
      </c>
      <c r="B953" s="103">
        <f>IF(A949="","",batches!F160)</f>
        <v/>
      </c>
      <c r="C953" s="101" t="n"/>
      <c r="D953" s="102" t="n"/>
      <c r="G953" s="80" t="inlineStr">
        <is>
          <t>Timing</t>
        </is>
      </c>
      <c r="H953" s="103">
        <f>IF(G949="","",batches!F161)</f>
        <v/>
      </c>
      <c r="I953" s="101" t="n"/>
      <c r="J953" s="102" t="n"/>
    </row>
    <row r="954" ht="15.75" customHeight="1" s="84">
      <c r="A954" s="80" t="inlineStr">
        <is>
          <t>Capacity</t>
        </is>
      </c>
      <c r="B954" s="103">
        <f>IF(A949="","",batches!G160)</f>
        <v/>
      </c>
      <c r="C954" s="101" t="n"/>
      <c r="D954" s="102" t="n"/>
      <c r="G954" s="80" t="inlineStr">
        <is>
          <t>Capacity</t>
        </is>
      </c>
      <c r="H954" s="103">
        <f>IF(G949="","",batches!G161)</f>
        <v/>
      </c>
      <c r="I954" s="101" t="n"/>
      <c r="J954" s="102" t="n"/>
    </row>
    <row r="955" ht="15.75" customHeight="1" s="84">
      <c r="A955" s="80" t="inlineStr">
        <is>
          <t>Enrolled</t>
        </is>
      </c>
      <c r="B955" s="103">
        <f>IF(A949="","",COUNTIF(admissions!$M:$M,batches!A160))</f>
        <v/>
      </c>
      <c r="C955" s="101" t="n"/>
      <c r="D955" s="102" t="n"/>
      <c r="G955" s="80" t="inlineStr">
        <is>
          <t>Enrolled</t>
        </is>
      </c>
      <c r="H955" s="103">
        <f>IF(G949="","",COUNTIF(admissions!$M:$M,batches!A161))</f>
        <v/>
      </c>
      <c r="I955" s="101" t="n"/>
      <c r="J955" s="102" t="n"/>
    </row>
    <row r="956" ht="15.75" customHeight="1" s="84">
      <c r="A956" s="80" t="inlineStr">
        <is>
          <t>Available</t>
        </is>
      </c>
      <c r="B956" s="103">
        <f>IF(OR(batches!A160="",batches!G160=""),"",batches!G160-COUNTIF(admissions!$M:$M,batches!A160))</f>
        <v/>
      </c>
      <c r="C956" s="101" t="n"/>
      <c r="D956" s="102" t="n"/>
      <c r="G956" s="80" t="inlineStr">
        <is>
          <t>Available</t>
        </is>
      </c>
      <c r="H956" s="103">
        <f>IF(OR(batches!A161="",batches!G161=""),"",batches!G161-COUNTIF(admissions!$M:$M,batches!A161))</f>
        <v/>
      </c>
      <c r="I956" s="101" t="n"/>
      <c r="J956" s="102" t="n"/>
    </row>
    <row r="957" ht="15.75" customHeight="1" s="84">
      <c r="A957" s="104" t="inlineStr">
        <is>
          <t>Student List</t>
        </is>
      </c>
      <c r="B957" s="101" t="n"/>
      <c r="C957" s="101" t="n"/>
      <c r="D957" s="102" t="n"/>
      <c r="G957" s="104" t="inlineStr">
        <is>
          <t>Student List</t>
        </is>
      </c>
      <c r="H957" s="101" t="n"/>
      <c r="I957" s="101" t="n"/>
      <c r="J957" s="102" t="n"/>
    </row>
    <row r="958" ht="15.75" customHeight="1" s="84">
      <c r="A958" s="105">
        <f>IFERROR(__xludf.DUMMYFUNCTION("IF(batches!A160="""","""",TEXTJOIN(CHAR(10),TRUE,FILTER(admissions!$G$2:$G$78,admissions!$M$2:$M$78=batches!A160,"""")))"),"")</f>
        <v/>
      </c>
      <c r="B958" s="101" t="n"/>
      <c r="C958" s="101" t="n"/>
      <c r="D958" s="102" t="n"/>
      <c r="G958" s="105">
        <f>IFERROR(__xludf.DUMMYFUNCTION("IF(batches!A161="""","""",TEXTJOIN(CHAR(10),TRUE,FILTER(admissions!$G$2:$G$78,admissions!$M$2:$M$78=batches!A161,"""")))"),"")</f>
        <v/>
      </c>
      <c r="H958" s="101" t="n"/>
      <c r="I958" s="101" t="n"/>
      <c r="J958" s="102" t="n"/>
    </row>
    <row r="959" ht="15.75" customHeight="1" s="84"/>
    <row r="960" ht="15.75" customHeight="1" s="84"/>
    <row r="961" ht="15.75" customHeight="1" s="84">
      <c r="A961" s="100">
        <f>IF(batches!A162="","",batches!A162)</f>
        <v/>
      </c>
      <c r="B961" s="101" t="n"/>
      <c r="C961" s="101" t="n"/>
      <c r="D961" s="102" t="n"/>
      <c r="G961" s="100">
        <f>IF(batches!A163="","",batches!A163)</f>
        <v/>
      </c>
      <c r="H961" s="101" t="n"/>
      <c r="I961" s="101" t="n"/>
      <c r="J961" s="102" t="n"/>
    </row>
    <row r="962" ht="15.75" customHeight="1" s="84">
      <c r="A962" s="80" t="inlineStr">
        <is>
          <t>Level / Mode</t>
        </is>
      </c>
      <c r="B962" s="103">
        <f>IF(A961="","",batches!B162&amp;" / "&amp;batches!C162)</f>
        <v/>
      </c>
      <c r="C962" s="101" t="n"/>
      <c r="D962" s="102" t="n"/>
      <c r="G962" s="80" t="inlineStr">
        <is>
          <t>Level / Mode</t>
        </is>
      </c>
      <c r="H962" s="103">
        <f>IF(G961="","",batches!B163&amp;" / "&amp;batches!C163)</f>
        <v/>
      </c>
      <c r="I962" s="101" t="n"/>
      <c r="J962" s="102" t="n"/>
    </row>
    <row r="963" ht="15.75" customHeight="1" s="84">
      <c r="A963" s="80" t="inlineStr">
        <is>
          <t>Dates</t>
        </is>
      </c>
      <c r="B963" s="103">
        <f>IF(A961="","",TEXT(batches!D162,"yyyy-mm-dd")&amp;" to "&amp;TEXT(batches!E162,"yyyy-mm-dd"))</f>
        <v/>
      </c>
      <c r="C963" s="101" t="n"/>
      <c r="D963" s="102" t="n"/>
      <c r="G963" s="80" t="inlineStr">
        <is>
          <t>Dates</t>
        </is>
      </c>
      <c r="H963" s="103">
        <f>IF(G961="","",TEXT(batches!D163,"yyyy-mm-dd")&amp;" to "&amp;TEXT(batches!E163,"yyyy-mm-dd"))</f>
        <v/>
      </c>
      <c r="I963" s="101" t="n"/>
      <c r="J963" s="102" t="n"/>
    </row>
    <row r="964" ht="15.75" customHeight="1" s="84">
      <c r="A964" s="80" t="inlineStr">
        <is>
          <t>Duration</t>
        </is>
      </c>
      <c r="B964" s="103">
        <f>IF(OR(batches!D162="",batches!E162=""),"",batches!E162-batches!D162+1&amp;" days")</f>
        <v/>
      </c>
      <c r="C964" s="101" t="n"/>
      <c r="D964" s="102" t="n"/>
      <c r="G964" s="80" t="inlineStr">
        <is>
          <t>Duration</t>
        </is>
      </c>
      <c r="H964" s="103">
        <f>IF(OR(batches!D163="",batches!E163=""),"",batches!E163-batches!D163+1&amp;" days")</f>
        <v/>
      </c>
      <c r="I964" s="101" t="n"/>
      <c r="J964" s="102" t="n"/>
    </row>
    <row r="965" ht="15.75" customHeight="1" s="84">
      <c r="A965" s="80" t="inlineStr">
        <is>
          <t>Timing</t>
        </is>
      </c>
      <c r="B965" s="103">
        <f>IF(A961="","",batches!F162)</f>
        <v/>
      </c>
      <c r="C965" s="101" t="n"/>
      <c r="D965" s="102" t="n"/>
      <c r="G965" s="80" t="inlineStr">
        <is>
          <t>Timing</t>
        </is>
      </c>
      <c r="H965" s="103">
        <f>IF(G961="","",batches!F163)</f>
        <v/>
      </c>
      <c r="I965" s="101" t="n"/>
      <c r="J965" s="102" t="n"/>
    </row>
    <row r="966" ht="15.75" customHeight="1" s="84">
      <c r="A966" s="80" t="inlineStr">
        <is>
          <t>Capacity</t>
        </is>
      </c>
      <c r="B966" s="103">
        <f>IF(A961="","",batches!G162)</f>
        <v/>
      </c>
      <c r="C966" s="101" t="n"/>
      <c r="D966" s="102" t="n"/>
      <c r="G966" s="80" t="inlineStr">
        <is>
          <t>Capacity</t>
        </is>
      </c>
      <c r="H966" s="103">
        <f>IF(G961="","",batches!G163)</f>
        <v/>
      </c>
      <c r="I966" s="101" t="n"/>
      <c r="J966" s="102" t="n"/>
    </row>
    <row r="967" ht="15.75" customHeight="1" s="84">
      <c r="A967" s="80" t="inlineStr">
        <is>
          <t>Enrolled</t>
        </is>
      </c>
      <c r="B967" s="103">
        <f>IF(A961="","",COUNTIF(admissions!$M:$M,batches!A162))</f>
        <v/>
      </c>
      <c r="C967" s="101" t="n"/>
      <c r="D967" s="102" t="n"/>
      <c r="G967" s="80" t="inlineStr">
        <is>
          <t>Enrolled</t>
        </is>
      </c>
      <c r="H967" s="103">
        <f>IF(G961="","",COUNTIF(admissions!$M:$M,batches!A163))</f>
        <v/>
      </c>
      <c r="I967" s="101" t="n"/>
      <c r="J967" s="102" t="n"/>
    </row>
    <row r="968" ht="15.75" customHeight="1" s="84">
      <c r="A968" s="80" t="inlineStr">
        <is>
          <t>Available</t>
        </is>
      </c>
      <c r="B968" s="103">
        <f>IF(OR(batches!A162="",batches!G162=""),"",batches!G162-COUNTIF(admissions!$M:$M,batches!A162))</f>
        <v/>
      </c>
      <c r="C968" s="101" t="n"/>
      <c r="D968" s="102" t="n"/>
      <c r="G968" s="80" t="inlineStr">
        <is>
          <t>Available</t>
        </is>
      </c>
      <c r="H968" s="103">
        <f>IF(OR(batches!A163="",batches!G163=""),"",batches!G163-COUNTIF(admissions!$M:$M,batches!A163))</f>
        <v/>
      </c>
      <c r="I968" s="101" t="n"/>
      <c r="J968" s="102" t="n"/>
    </row>
    <row r="969" ht="15.75" customHeight="1" s="84">
      <c r="A969" s="104" t="inlineStr">
        <is>
          <t>Student List</t>
        </is>
      </c>
      <c r="B969" s="101" t="n"/>
      <c r="C969" s="101" t="n"/>
      <c r="D969" s="102" t="n"/>
      <c r="G969" s="104" t="inlineStr">
        <is>
          <t>Student List</t>
        </is>
      </c>
      <c r="H969" s="101" t="n"/>
      <c r="I969" s="101" t="n"/>
      <c r="J969" s="102" t="n"/>
    </row>
    <row r="970" ht="15.75" customHeight="1" s="84">
      <c r="A970" s="105">
        <f>IFERROR(__xludf.DUMMYFUNCTION("IF(batches!A162="""","""",TEXTJOIN(CHAR(10),TRUE,FILTER(admissions!$G$2:$G$78,admissions!$M$2:$M$78=batches!A162,"""")))"),"")</f>
        <v/>
      </c>
      <c r="B970" s="101" t="n"/>
      <c r="C970" s="101" t="n"/>
      <c r="D970" s="102" t="n"/>
      <c r="G970" s="105">
        <f>IFERROR(__xludf.DUMMYFUNCTION("IF(batches!A163="""","""",TEXTJOIN(CHAR(10),TRUE,FILTER(admissions!$G$2:$G$78,admissions!$M$2:$M$78=batches!A163,"""")))"),"")</f>
        <v/>
      </c>
      <c r="H970" s="101" t="n"/>
      <c r="I970" s="101" t="n"/>
      <c r="J970" s="102" t="n"/>
    </row>
    <row r="971" ht="15.75" customHeight="1" s="84"/>
    <row r="972" ht="15.75" customHeight="1" s="84"/>
    <row r="973" ht="15.75" customHeight="1" s="84">
      <c r="A973" s="100">
        <f>IF(batches!A164="","",batches!A164)</f>
        <v/>
      </c>
      <c r="B973" s="101" t="n"/>
      <c r="C973" s="101" t="n"/>
      <c r="D973" s="102" t="n"/>
      <c r="G973" s="100">
        <f>IF(batches!A165="","",batches!A165)</f>
        <v/>
      </c>
      <c r="H973" s="101" t="n"/>
      <c r="I973" s="101" t="n"/>
      <c r="J973" s="102" t="n"/>
    </row>
    <row r="974" ht="15.75" customHeight="1" s="84">
      <c r="A974" s="80" t="inlineStr">
        <is>
          <t>Level / Mode</t>
        </is>
      </c>
      <c r="B974" s="103">
        <f>IF(A973="","",batches!B164&amp;" / "&amp;batches!C164)</f>
        <v/>
      </c>
      <c r="C974" s="101" t="n"/>
      <c r="D974" s="102" t="n"/>
      <c r="G974" s="80" t="inlineStr">
        <is>
          <t>Level / Mode</t>
        </is>
      </c>
      <c r="H974" s="103">
        <f>IF(G973="","",batches!B165&amp;" / "&amp;batches!C165)</f>
        <v/>
      </c>
      <c r="I974" s="101" t="n"/>
      <c r="J974" s="102" t="n"/>
    </row>
    <row r="975" ht="15.75" customHeight="1" s="84">
      <c r="A975" s="80" t="inlineStr">
        <is>
          <t>Dates</t>
        </is>
      </c>
      <c r="B975" s="103">
        <f>IF(A973="","",TEXT(batches!D164,"yyyy-mm-dd")&amp;" to "&amp;TEXT(batches!E164,"yyyy-mm-dd"))</f>
        <v/>
      </c>
      <c r="C975" s="101" t="n"/>
      <c r="D975" s="102" t="n"/>
      <c r="G975" s="80" t="inlineStr">
        <is>
          <t>Dates</t>
        </is>
      </c>
      <c r="H975" s="103">
        <f>IF(G973="","",TEXT(batches!D165,"yyyy-mm-dd")&amp;" to "&amp;TEXT(batches!E165,"yyyy-mm-dd"))</f>
        <v/>
      </c>
      <c r="I975" s="101" t="n"/>
      <c r="J975" s="102" t="n"/>
    </row>
    <row r="976" ht="15.75" customHeight="1" s="84">
      <c r="A976" s="80" t="inlineStr">
        <is>
          <t>Duration</t>
        </is>
      </c>
      <c r="B976" s="103">
        <f>IF(OR(batches!D164="",batches!E164=""),"",batches!E164-batches!D164+1&amp;" days")</f>
        <v/>
      </c>
      <c r="C976" s="101" t="n"/>
      <c r="D976" s="102" t="n"/>
      <c r="G976" s="80" t="inlineStr">
        <is>
          <t>Duration</t>
        </is>
      </c>
      <c r="H976" s="103">
        <f>IF(OR(batches!D165="",batches!E165=""),"",batches!E165-batches!D165+1&amp;" days")</f>
        <v/>
      </c>
      <c r="I976" s="101" t="n"/>
      <c r="J976" s="102" t="n"/>
    </row>
    <row r="977" ht="15.75" customHeight="1" s="84">
      <c r="A977" s="80" t="inlineStr">
        <is>
          <t>Timing</t>
        </is>
      </c>
      <c r="B977" s="103">
        <f>IF(A973="","",batches!F164)</f>
        <v/>
      </c>
      <c r="C977" s="101" t="n"/>
      <c r="D977" s="102" t="n"/>
      <c r="G977" s="80" t="inlineStr">
        <is>
          <t>Timing</t>
        </is>
      </c>
      <c r="H977" s="103">
        <f>IF(G973="","",batches!F165)</f>
        <v/>
      </c>
      <c r="I977" s="101" t="n"/>
      <c r="J977" s="102" t="n"/>
    </row>
    <row r="978" ht="15.75" customHeight="1" s="84">
      <c r="A978" s="80" t="inlineStr">
        <is>
          <t>Capacity</t>
        </is>
      </c>
      <c r="B978" s="103">
        <f>IF(A973="","",batches!G164)</f>
        <v/>
      </c>
      <c r="C978" s="101" t="n"/>
      <c r="D978" s="102" t="n"/>
      <c r="G978" s="80" t="inlineStr">
        <is>
          <t>Capacity</t>
        </is>
      </c>
      <c r="H978" s="103">
        <f>IF(G973="","",batches!G165)</f>
        <v/>
      </c>
      <c r="I978" s="101" t="n"/>
      <c r="J978" s="102" t="n"/>
    </row>
    <row r="979" ht="15.75" customHeight="1" s="84">
      <c r="A979" s="80" t="inlineStr">
        <is>
          <t>Enrolled</t>
        </is>
      </c>
      <c r="B979" s="103">
        <f>IF(A973="","",COUNTIF(admissions!$M:$M,batches!A164))</f>
        <v/>
      </c>
      <c r="C979" s="101" t="n"/>
      <c r="D979" s="102" t="n"/>
      <c r="G979" s="80" t="inlineStr">
        <is>
          <t>Enrolled</t>
        </is>
      </c>
      <c r="H979" s="103">
        <f>IF(G973="","",COUNTIF(admissions!$M:$M,batches!A165))</f>
        <v/>
      </c>
      <c r="I979" s="101" t="n"/>
      <c r="J979" s="102" t="n"/>
    </row>
    <row r="980" ht="15.75" customHeight="1" s="84">
      <c r="A980" s="80" t="inlineStr">
        <is>
          <t>Available</t>
        </is>
      </c>
      <c r="B980" s="103">
        <f>IF(OR(batches!A164="",batches!G164=""),"",batches!G164-COUNTIF(admissions!$M:$M,batches!A164))</f>
        <v/>
      </c>
      <c r="C980" s="101" t="n"/>
      <c r="D980" s="102" t="n"/>
      <c r="G980" s="80" t="inlineStr">
        <is>
          <t>Available</t>
        </is>
      </c>
      <c r="H980" s="103">
        <f>IF(OR(batches!A165="",batches!G165=""),"",batches!G165-COUNTIF(admissions!$M:$M,batches!A165))</f>
        <v/>
      </c>
      <c r="I980" s="101" t="n"/>
      <c r="J980" s="102" t="n"/>
    </row>
    <row r="981" ht="15.75" customHeight="1" s="84">
      <c r="A981" s="104" t="inlineStr">
        <is>
          <t>Student List</t>
        </is>
      </c>
      <c r="B981" s="101" t="n"/>
      <c r="C981" s="101" t="n"/>
      <c r="D981" s="102" t="n"/>
      <c r="G981" s="104" t="inlineStr">
        <is>
          <t>Student List</t>
        </is>
      </c>
      <c r="H981" s="101" t="n"/>
      <c r="I981" s="101" t="n"/>
      <c r="J981" s="102" t="n"/>
    </row>
    <row r="982" ht="15.75" customHeight="1" s="84">
      <c r="A982" s="105">
        <f>IFERROR(__xludf.DUMMYFUNCTION("IF(batches!A164="""","""",TEXTJOIN(CHAR(10),TRUE,FILTER(admissions!$G$2:$G$78,admissions!$M$2:$M$78=batches!A164,"""")))"),"")</f>
        <v/>
      </c>
      <c r="B982" s="101" t="n"/>
      <c r="C982" s="101" t="n"/>
      <c r="D982" s="102" t="n"/>
      <c r="G982" s="105">
        <f>IFERROR(__xludf.DUMMYFUNCTION("IF(batches!A165="""","""",TEXTJOIN(CHAR(10),TRUE,FILTER(admissions!$G$2:$G$78,admissions!$M$2:$M$78=batches!A165,"""")))"),"")</f>
        <v/>
      </c>
      <c r="H982" s="101" t="n"/>
      <c r="I982" s="101" t="n"/>
      <c r="J982" s="102" t="n"/>
    </row>
    <row r="983" ht="15.75" customHeight="1" s="84"/>
    <row r="984" ht="15.75" customHeight="1" s="84"/>
    <row r="985" ht="15.75" customHeight="1" s="84">
      <c r="A985" s="100">
        <f>IF(batches!A166="","",batches!A166)</f>
        <v/>
      </c>
      <c r="B985" s="101" t="n"/>
      <c r="C985" s="101" t="n"/>
      <c r="D985" s="102" t="n"/>
      <c r="G985" s="100">
        <f>IF(batches!A167="","",batches!A167)</f>
        <v/>
      </c>
      <c r="H985" s="101" t="n"/>
      <c r="I985" s="101" t="n"/>
      <c r="J985" s="102" t="n"/>
    </row>
    <row r="986" ht="15.75" customHeight="1" s="84">
      <c r="A986" s="80" t="inlineStr">
        <is>
          <t>Level / Mode</t>
        </is>
      </c>
      <c r="B986" s="103">
        <f>IF(A985="","",batches!B166&amp;" / "&amp;batches!C166)</f>
        <v/>
      </c>
      <c r="C986" s="101" t="n"/>
      <c r="D986" s="102" t="n"/>
      <c r="G986" s="80" t="inlineStr">
        <is>
          <t>Level / Mode</t>
        </is>
      </c>
      <c r="H986" s="103">
        <f>IF(G985="","",batches!B167&amp;" / "&amp;batches!C167)</f>
        <v/>
      </c>
      <c r="I986" s="101" t="n"/>
      <c r="J986" s="102" t="n"/>
    </row>
    <row r="987" ht="15.75" customHeight="1" s="84">
      <c r="A987" s="80" t="inlineStr">
        <is>
          <t>Dates</t>
        </is>
      </c>
      <c r="B987" s="103">
        <f>IF(A985="","",TEXT(batches!D166,"yyyy-mm-dd")&amp;" to "&amp;TEXT(batches!E166,"yyyy-mm-dd"))</f>
        <v/>
      </c>
      <c r="C987" s="101" t="n"/>
      <c r="D987" s="102" t="n"/>
      <c r="G987" s="80" t="inlineStr">
        <is>
          <t>Dates</t>
        </is>
      </c>
      <c r="H987" s="103">
        <f>IF(G985="","",TEXT(batches!D167,"yyyy-mm-dd")&amp;" to "&amp;TEXT(batches!E167,"yyyy-mm-dd"))</f>
        <v/>
      </c>
      <c r="I987" s="101" t="n"/>
      <c r="J987" s="102" t="n"/>
    </row>
    <row r="988" ht="15.75" customHeight="1" s="84">
      <c r="A988" s="80" t="inlineStr">
        <is>
          <t>Duration</t>
        </is>
      </c>
      <c r="B988" s="103">
        <f>IF(OR(batches!D166="",batches!E166=""),"",batches!E166-batches!D166+1&amp;" days")</f>
        <v/>
      </c>
      <c r="C988" s="101" t="n"/>
      <c r="D988" s="102" t="n"/>
      <c r="G988" s="80" t="inlineStr">
        <is>
          <t>Duration</t>
        </is>
      </c>
      <c r="H988" s="103">
        <f>IF(OR(batches!D167="",batches!E167=""),"",batches!E167-batches!D167+1&amp;" days")</f>
        <v/>
      </c>
      <c r="I988" s="101" t="n"/>
      <c r="J988" s="102" t="n"/>
    </row>
    <row r="989" ht="15.75" customHeight="1" s="84">
      <c r="A989" s="80" t="inlineStr">
        <is>
          <t>Timing</t>
        </is>
      </c>
      <c r="B989" s="103">
        <f>IF(A985="","",batches!F166)</f>
        <v/>
      </c>
      <c r="C989" s="101" t="n"/>
      <c r="D989" s="102" t="n"/>
      <c r="G989" s="80" t="inlineStr">
        <is>
          <t>Timing</t>
        </is>
      </c>
      <c r="H989" s="103">
        <f>IF(G985="","",batches!F167)</f>
        <v/>
      </c>
      <c r="I989" s="101" t="n"/>
      <c r="J989" s="102" t="n"/>
    </row>
    <row r="990" ht="15.75" customHeight="1" s="84">
      <c r="A990" s="80" t="inlineStr">
        <is>
          <t>Capacity</t>
        </is>
      </c>
      <c r="B990" s="103">
        <f>IF(A985="","",batches!G166)</f>
        <v/>
      </c>
      <c r="C990" s="101" t="n"/>
      <c r="D990" s="102" t="n"/>
      <c r="G990" s="80" t="inlineStr">
        <is>
          <t>Capacity</t>
        </is>
      </c>
      <c r="H990" s="103">
        <f>IF(G985="","",batches!G167)</f>
        <v/>
      </c>
      <c r="I990" s="101" t="n"/>
      <c r="J990" s="102" t="n"/>
    </row>
    <row r="991" ht="15.75" customHeight="1" s="84">
      <c r="A991" s="80" t="inlineStr">
        <is>
          <t>Enrolled</t>
        </is>
      </c>
      <c r="B991" s="103">
        <f>IF(A985="","",COUNTIF(admissions!$M:$M,batches!A166))</f>
        <v/>
      </c>
      <c r="C991" s="101" t="n"/>
      <c r="D991" s="102" t="n"/>
      <c r="G991" s="80" t="inlineStr">
        <is>
          <t>Enrolled</t>
        </is>
      </c>
      <c r="H991" s="103">
        <f>IF(G985="","",COUNTIF(admissions!$M:$M,batches!A167))</f>
        <v/>
      </c>
      <c r="I991" s="101" t="n"/>
      <c r="J991" s="102" t="n"/>
    </row>
    <row r="992" ht="15.75" customHeight="1" s="84">
      <c r="A992" s="80" t="inlineStr">
        <is>
          <t>Available</t>
        </is>
      </c>
      <c r="B992" s="103">
        <f>IF(OR(batches!A166="",batches!G166=""),"",batches!G166-COUNTIF(admissions!$M:$M,batches!A166))</f>
        <v/>
      </c>
      <c r="C992" s="101" t="n"/>
      <c r="D992" s="102" t="n"/>
      <c r="G992" s="80" t="inlineStr">
        <is>
          <t>Available</t>
        </is>
      </c>
      <c r="H992" s="103">
        <f>IF(OR(batches!A167="",batches!G167=""),"",batches!G167-COUNTIF(admissions!$M:$M,batches!A167))</f>
        <v/>
      </c>
      <c r="I992" s="101" t="n"/>
      <c r="J992" s="102" t="n"/>
    </row>
    <row r="993" ht="15.75" customHeight="1" s="84">
      <c r="A993" s="104" t="inlineStr">
        <is>
          <t>Student List</t>
        </is>
      </c>
      <c r="B993" s="101" t="n"/>
      <c r="C993" s="101" t="n"/>
      <c r="D993" s="102" t="n"/>
      <c r="G993" s="104" t="inlineStr">
        <is>
          <t>Student List</t>
        </is>
      </c>
      <c r="H993" s="101" t="n"/>
      <c r="I993" s="101" t="n"/>
      <c r="J993" s="102" t="n"/>
    </row>
    <row r="994" ht="15.75" customHeight="1" s="84">
      <c r="A994" s="105">
        <f>IFERROR(__xludf.DUMMYFUNCTION("IF(batches!A166="""","""",TEXTJOIN(CHAR(10),TRUE,FILTER(admissions!$G$2:$G$78,admissions!$M$2:$M$78=batches!A166,"""")))"),"")</f>
        <v/>
      </c>
      <c r="B994" s="101" t="n"/>
      <c r="C994" s="101" t="n"/>
      <c r="D994" s="102" t="n"/>
      <c r="G994" s="105">
        <f>IFERROR(__xludf.DUMMYFUNCTION("IF(batches!A167="""","""",TEXTJOIN(CHAR(10),TRUE,FILTER(admissions!$G$2:$G$78,admissions!$M$2:$M$78=batches!A167,"""")))"),"")</f>
        <v/>
      </c>
      <c r="H994" s="101" t="n"/>
      <c r="I994" s="101" t="n"/>
      <c r="J994" s="102" t="n"/>
    </row>
    <row r="995" ht="15.75" customHeight="1" s="84"/>
    <row r="996" ht="15.75" customHeight="1" s="84"/>
    <row r="997" ht="15.75" customHeight="1" s="84">
      <c r="A997" s="100">
        <f>IF(batches!A168="","",batches!A168)</f>
        <v/>
      </c>
      <c r="B997" s="101" t="n"/>
      <c r="C997" s="101" t="n"/>
      <c r="D997" s="102" t="n"/>
      <c r="G997" s="100">
        <f>IF(batches!A169="","",batches!A169)</f>
        <v/>
      </c>
      <c r="H997" s="101" t="n"/>
      <c r="I997" s="101" t="n"/>
      <c r="J997" s="102" t="n"/>
    </row>
    <row r="998" ht="15.75" customHeight="1" s="84">
      <c r="A998" s="80" t="inlineStr">
        <is>
          <t>Level / Mode</t>
        </is>
      </c>
      <c r="B998" s="103">
        <f>IF(A997="","",batches!B168&amp;" / "&amp;batches!C168)</f>
        <v/>
      </c>
      <c r="C998" s="101" t="n"/>
      <c r="D998" s="102" t="n"/>
      <c r="G998" s="80" t="inlineStr">
        <is>
          <t>Level / Mode</t>
        </is>
      </c>
      <c r="H998" s="103">
        <f>IF(G997="","",batches!B169&amp;" / "&amp;batches!C169)</f>
        <v/>
      </c>
      <c r="I998" s="101" t="n"/>
      <c r="J998" s="102" t="n"/>
    </row>
    <row r="999" ht="15.75" customHeight="1" s="84">
      <c r="A999" s="80" t="inlineStr">
        <is>
          <t>Dates</t>
        </is>
      </c>
      <c r="B999" s="103">
        <f>IF(A997="","",TEXT(batches!D168,"yyyy-mm-dd")&amp;" to "&amp;TEXT(batches!E168,"yyyy-mm-dd"))</f>
        <v/>
      </c>
      <c r="C999" s="101" t="n"/>
      <c r="D999" s="102" t="n"/>
      <c r="G999" s="80" t="inlineStr">
        <is>
          <t>Dates</t>
        </is>
      </c>
      <c r="H999" s="103">
        <f>IF(G997="","",TEXT(batches!D169,"yyyy-mm-dd")&amp;" to "&amp;TEXT(batches!E169,"yyyy-mm-dd"))</f>
        <v/>
      </c>
      <c r="I999" s="101" t="n"/>
      <c r="J999" s="102" t="n"/>
    </row>
    <row r="1000" ht="15.75" customHeight="1" s="84">
      <c r="A1000" s="80" t="inlineStr">
        <is>
          <t>Duration</t>
        </is>
      </c>
      <c r="B1000" s="103">
        <f>IF(OR(batches!D168="",batches!E168=""),"",batches!E168-batches!D168+1&amp;" days")</f>
        <v/>
      </c>
      <c r="C1000" s="101" t="n"/>
      <c r="D1000" s="102" t="n"/>
      <c r="G1000" s="80" t="inlineStr">
        <is>
          <t>Duration</t>
        </is>
      </c>
      <c r="H1000" s="103">
        <f>IF(OR(batches!D169="",batches!E169=""),"",batches!E169-batches!D169+1&amp;" days")</f>
        <v/>
      </c>
      <c r="I1000" s="101" t="n"/>
      <c r="J1000" s="102" t="n"/>
    </row>
    <row r="1001" ht="15.75" customHeight="1" s="84">
      <c r="A1001" s="80" t="inlineStr">
        <is>
          <t>Timing</t>
        </is>
      </c>
      <c r="B1001" s="103">
        <f>IF(A997="","",batches!F168)</f>
        <v/>
      </c>
      <c r="C1001" s="101" t="n"/>
      <c r="D1001" s="102" t="n"/>
      <c r="G1001" s="80" t="inlineStr">
        <is>
          <t>Timing</t>
        </is>
      </c>
      <c r="H1001" s="103">
        <f>IF(G997="","",batches!F169)</f>
        <v/>
      </c>
      <c r="I1001" s="101" t="n"/>
      <c r="J1001" s="102" t="n"/>
    </row>
    <row r="1002" ht="15.75" customHeight="1" s="84">
      <c r="A1002" s="80" t="inlineStr">
        <is>
          <t>Capacity</t>
        </is>
      </c>
      <c r="B1002" s="103">
        <f>IF(A997="","",batches!G168)</f>
        <v/>
      </c>
      <c r="C1002" s="101" t="n"/>
      <c r="D1002" s="102" t="n"/>
      <c r="G1002" s="80" t="inlineStr">
        <is>
          <t>Capacity</t>
        </is>
      </c>
      <c r="H1002" s="103">
        <f>IF(G997="","",batches!G169)</f>
        <v/>
      </c>
      <c r="I1002" s="101" t="n"/>
      <c r="J1002" s="102" t="n"/>
    </row>
    <row r="1003" ht="15.75" customHeight="1" s="84">
      <c r="A1003" s="80" t="inlineStr">
        <is>
          <t>Enrolled</t>
        </is>
      </c>
      <c r="B1003" s="103">
        <f>IF(A997="","",COUNTIF(admissions!$M:$M,batches!A168))</f>
        <v/>
      </c>
      <c r="C1003" s="101" t="n"/>
      <c r="D1003" s="102" t="n"/>
      <c r="G1003" s="80" t="inlineStr">
        <is>
          <t>Enrolled</t>
        </is>
      </c>
      <c r="H1003" s="103">
        <f>IF(G997="","",COUNTIF(admissions!$M:$M,batches!A169))</f>
        <v/>
      </c>
      <c r="I1003" s="101" t="n"/>
      <c r="J1003" s="102" t="n"/>
    </row>
    <row r="1004" ht="15.75" customHeight="1" s="84">
      <c r="A1004" s="80" t="inlineStr">
        <is>
          <t>Available</t>
        </is>
      </c>
      <c r="B1004" s="103">
        <f>IF(OR(batches!A168="",batches!G168=""),"",batches!G168-COUNTIF(admissions!$M:$M,batches!A168))</f>
        <v/>
      </c>
      <c r="C1004" s="101" t="n"/>
      <c r="D1004" s="102" t="n"/>
      <c r="G1004" s="80" t="inlineStr">
        <is>
          <t>Available</t>
        </is>
      </c>
      <c r="H1004" s="103">
        <f>IF(OR(batches!A169="",batches!G169=""),"",batches!G169-COUNTIF(admissions!$M:$M,batches!A169))</f>
        <v/>
      </c>
      <c r="I1004" s="101" t="n"/>
      <c r="J1004" s="102" t="n"/>
    </row>
    <row r="1005" ht="15.75" customHeight="1" s="84">
      <c r="A1005" s="104" t="inlineStr">
        <is>
          <t>Student List</t>
        </is>
      </c>
      <c r="B1005" s="101" t="n"/>
      <c r="C1005" s="101" t="n"/>
      <c r="D1005" s="102" t="n"/>
      <c r="G1005" s="104" t="inlineStr">
        <is>
          <t>Student List</t>
        </is>
      </c>
      <c r="H1005" s="101" t="n"/>
      <c r="I1005" s="101" t="n"/>
      <c r="J1005" s="102" t="n"/>
    </row>
    <row r="1006" ht="15.75" customHeight="1" s="84">
      <c r="A1006" s="105">
        <f>IFERROR(__xludf.DUMMYFUNCTION("IF(batches!A168="""","""",TEXTJOIN(CHAR(10),TRUE,FILTER(admissions!$G$2:$G$78,admissions!$M$2:$M$78=batches!A168,"""")))"),"")</f>
        <v/>
      </c>
      <c r="B1006" s="101" t="n"/>
      <c r="C1006" s="101" t="n"/>
      <c r="D1006" s="102" t="n"/>
      <c r="G1006" s="105">
        <f>IFERROR(__xludf.DUMMYFUNCTION("IF(batches!A169="""","""",TEXTJOIN(CHAR(10),TRUE,FILTER(admissions!$G$2:$G$78,admissions!$M$2:$M$78=batches!A169,"""")))"),"")</f>
        <v/>
      </c>
      <c r="H1006" s="101" t="n"/>
      <c r="I1006" s="101" t="n"/>
      <c r="J1006" s="102" t="n"/>
    </row>
    <row r="1007" ht="15.75" customHeight="1" s="84"/>
    <row r="1008" ht="15.75" customHeight="1" s="84"/>
    <row r="1009" ht="15.75" customHeight="1" s="84">
      <c r="A1009" s="100">
        <f>IF(batches!A170="","",batches!A170)</f>
        <v/>
      </c>
      <c r="B1009" s="101" t="n"/>
      <c r="C1009" s="101" t="n"/>
      <c r="D1009" s="102" t="n"/>
      <c r="G1009" s="100">
        <f>IF(batches!A171="","",batches!A171)</f>
        <v/>
      </c>
      <c r="H1009" s="101" t="n"/>
      <c r="I1009" s="101" t="n"/>
      <c r="J1009" s="102" t="n"/>
    </row>
    <row r="1010" ht="15.75" customHeight="1" s="84">
      <c r="A1010" s="80" t="inlineStr">
        <is>
          <t>Level / Mode</t>
        </is>
      </c>
      <c r="B1010" s="103">
        <f>IF(A1009="","",batches!B170&amp;" / "&amp;batches!C170)</f>
        <v/>
      </c>
      <c r="C1010" s="101" t="n"/>
      <c r="D1010" s="102" t="n"/>
      <c r="G1010" s="80" t="inlineStr">
        <is>
          <t>Level / Mode</t>
        </is>
      </c>
      <c r="H1010" s="103">
        <f>IF(G1009="","",batches!B171&amp;" / "&amp;batches!C171)</f>
        <v/>
      </c>
      <c r="I1010" s="101" t="n"/>
      <c r="J1010" s="102" t="n"/>
    </row>
    <row r="1011" ht="15.75" customHeight="1" s="84">
      <c r="A1011" s="80" t="inlineStr">
        <is>
          <t>Dates</t>
        </is>
      </c>
      <c r="B1011" s="103">
        <f>IF(A1009="","",TEXT(batches!D170,"yyyy-mm-dd")&amp;" to "&amp;TEXT(batches!E170,"yyyy-mm-dd"))</f>
        <v/>
      </c>
      <c r="C1011" s="101" t="n"/>
      <c r="D1011" s="102" t="n"/>
      <c r="G1011" s="80" t="inlineStr">
        <is>
          <t>Dates</t>
        </is>
      </c>
      <c r="H1011" s="103">
        <f>IF(G1009="","",TEXT(batches!D171,"yyyy-mm-dd")&amp;" to "&amp;TEXT(batches!E171,"yyyy-mm-dd"))</f>
        <v/>
      </c>
      <c r="I1011" s="101" t="n"/>
      <c r="J1011" s="102" t="n"/>
    </row>
    <row r="1012" ht="15.75" customHeight="1" s="84">
      <c r="A1012" s="80" t="inlineStr">
        <is>
          <t>Duration</t>
        </is>
      </c>
      <c r="B1012" s="103">
        <f>IF(OR(batches!D170="",batches!E170=""),"",batches!E170-batches!D170+1&amp;" days")</f>
        <v/>
      </c>
      <c r="C1012" s="101" t="n"/>
      <c r="D1012" s="102" t="n"/>
      <c r="G1012" s="80" t="inlineStr">
        <is>
          <t>Duration</t>
        </is>
      </c>
      <c r="H1012" s="103">
        <f>IF(OR(batches!D171="",batches!E171=""),"",batches!E171-batches!D171+1&amp;" days")</f>
        <v/>
      </c>
      <c r="I1012" s="101" t="n"/>
      <c r="J1012" s="102" t="n"/>
    </row>
    <row r="1013" ht="15.75" customHeight="1" s="84">
      <c r="A1013" s="80" t="inlineStr">
        <is>
          <t>Timing</t>
        </is>
      </c>
      <c r="B1013" s="103">
        <f>IF(A1009="","",batches!F170)</f>
        <v/>
      </c>
      <c r="C1013" s="101" t="n"/>
      <c r="D1013" s="102" t="n"/>
      <c r="G1013" s="80" t="inlineStr">
        <is>
          <t>Timing</t>
        </is>
      </c>
      <c r="H1013" s="103">
        <f>IF(G1009="","",batches!F171)</f>
        <v/>
      </c>
      <c r="I1013" s="101" t="n"/>
      <c r="J1013" s="102" t="n"/>
    </row>
    <row r="1014" ht="15.75" customHeight="1" s="84">
      <c r="A1014" s="80" t="inlineStr">
        <is>
          <t>Capacity</t>
        </is>
      </c>
      <c r="B1014" s="103">
        <f>IF(A1009="","",batches!G170)</f>
        <v/>
      </c>
      <c r="C1014" s="101" t="n"/>
      <c r="D1014" s="102" t="n"/>
      <c r="G1014" s="80" t="inlineStr">
        <is>
          <t>Capacity</t>
        </is>
      </c>
      <c r="H1014" s="103">
        <f>IF(G1009="","",batches!G171)</f>
        <v/>
      </c>
      <c r="I1014" s="101" t="n"/>
      <c r="J1014" s="102" t="n"/>
    </row>
    <row r="1015" ht="15.75" customHeight="1" s="84">
      <c r="A1015" s="80" t="inlineStr">
        <is>
          <t>Enrolled</t>
        </is>
      </c>
      <c r="B1015" s="103">
        <f>IF(A1009="","",COUNTIF(admissions!$M:$M,batches!A170))</f>
        <v/>
      </c>
      <c r="C1015" s="101" t="n"/>
      <c r="D1015" s="102" t="n"/>
      <c r="G1015" s="80" t="inlineStr">
        <is>
          <t>Enrolled</t>
        </is>
      </c>
      <c r="H1015" s="103">
        <f>IF(G1009="","",COUNTIF(admissions!$M:$M,batches!A171))</f>
        <v/>
      </c>
      <c r="I1015" s="101" t="n"/>
      <c r="J1015" s="102" t="n"/>
    </row>
    <row r="1016" ht="15.75" customHeight="1" s="84">
      <c r="A1016" s="80" t="inlineStr">
        <is>
          <t>Available</t>
        </is>
      </c>
      <c r="B1016" s="103">
        <f>IF(OR(batches!A170="",batches!G170=""),"",batches!G170-COUNTIF(admissions!$M:$M,batches!A170))</f>
        <v/>
      </c>
      <c r="C1016" s="101" t="n"/>
      <c r="D1016" s="102" t="n"/>
      <c r="G1016" s="80" t="inlineStr">
        <is>
          <t>Available</t>
        </is>
      </c>
      <c r="H1016" s="103">
        <f>IF(OR(batches!A171="",batches!G171=""),"",batches!G171-COUNTIF(admissions!$M:$M,batches!A171))</f>
        <v/>
      </c>
      <c r="I1016" s="101" t="n"/>
      <c r="J1016" s="102" t="n"/>
    </row>
    <row r="1017" ht="15.75" customHeight="1" s="84">
      <c r="A1017" s="104" t="inlineStr">
        <is>
          <t>Student List</t>
        </is>
      </c>
      <c r="B1017" s="101" t="n"/>
      <c r="C1017" s="101" t="n"/>
      <c r="D1017" s="102" t="n"/>
      <c r="G1017" s="104" t="inlineStr">
        <is>
          <t>Student List</t>
        </is>
      </c>
      <c r="H1017" s="101" t="n"/>
      <c r="I1017" s="101" t="n"/>
      <c r="J1017" s="102" t="n"/>
    </row>
    <row r="1018" ht="15.75" customHeight="1" s="84">
      <c r="A1018" s="105">
        <f>IFERROR(__xludf.DUMMYFUNCTION("IF(batches!A170="""","""",TEXTJOIN(CHAR(10),TRUE,FILTER(admissions!$G$2:$G$78,admissions!$M$2:$M$78=batches!A170,"""")))"),"")</f>
        <v/>
      </c>
      <c r="B1018" s="101" t="n"/>
      <c r="C1018" s="101" t="n"/>
      <c r="D1018" s="102" t="n"/>
      <c r="G1018" s="105">
        <f>IFERROR(__xludf.DUMMYFUNCTION("IF(batches!A171="""","""",TEXTJOIN(CHAR(10),TRUE,FILTER(admissions!$G$2:$G$78,admissions!$M$2:$M$78=batches!A171,"""")))"),"")</f>
        <v/>
      </c>
      <c r="H1018" s="101" t="n"/>
      <c r="I1018" s="101" t="n"/>
      <c r="J1018" s="102" t="n"/>
    </row>
    <row r="1019" ht="15.75" customHeight="1" s="84"/>
    <row r="1020" ht="15.75" customHeight="1" s="84"/>
    <row r="1021" ht="15.75" customHeight="1" s="84">
      <c r="A1021" s="100">
        <f>IF(batches!A172="","",batches!A172)</f>
        <v/>
      </c>
      <c r="B1021" s="101" t="n"/>
      <c r="C1021" s="101" t="n"/>
      <c r="D1021" s="102" t="n"/>
      <c r="G1021" s="100">
        <f>IF(batches!A173="","",batches!A173)</f>
        <v/>
      </c>
      <c r="H1021" s="101" t="n"/>
      <c r="I1021" s="101" t="n"/>
      <c r="J1021" s="102" t="n"/>
    </row>
    <row r="1022" ht="15.75" customHeight="1" s="84">
      <c r="A1022" s="80" t="inlineStr">
        <is>
          <t>Level / Mode</t>
        </is>
      </c>
      <c r="B1022" s="103">
        <f>IF(A1021="","",batches!B172&amp;" / "&amp;batches!C172)</f>
        <v/>
      </c>
      <c r="C1022" s="101" t="n"/>
      <c r="D1022" s="102" t="n"/>
      <c r="G1022" s="80" t="inlineStr">
        <is>
          <t>Level / Mode</t>
        </is>
      </c>
      <c r="H1022" s="103">
        <f>IF(G1021="","",batches!B173&amp;" / "&amp;batches!C173)</f>
        <v/>
      </c>
      <c r="I1022" s="101" t="n"/>
      <c r="J1022" s="102" t="n"/>
    </row>
    <row r="1023" ht="15.75" customHeight="1" s="84">
      <c r="A1023" s="80" t="inlineStr">
        <is>
          <t>Dates</t>
        </is>
      </c>
      <c r="B1023" s="103">
        <f>IF(A1021="","",TEXT(batches!D172,"yyyy-mm-dd")&amp;" to "&amp;TEXT(batches!E172,"yyyy-mm-dd"))</f>
        <v/>
      </c>
      <c r="C1023" s="101" t="n"/>
      <c r="D1023" s="102" t="n"/>
      <c r="G1023" s="80" t="inlineStr">
        <is>
          <t>Dates</t>
        </is>
      </c>
      <c r="H1023" s="103">
        <f>IF(G1021="","",TEXT(batches!D173,"yyyy-mm-dd")&amp;" to "&amp;TEXT(batches!E173,"yyyy-mm-dd"))</f>
        <v/>
      </c>
      <c r="I1023" s="101" t="n"/>
      <c r="J1023" s="102" t="n"/>
    </row>
    <row r="1024" ht="15.75" customHeight="1" s="84">
      <c r="A1024" s="80" t="inlineStr">
        <is>
          <t>Duration</t>
        </is>
      </c>
      <c r="B1024" s="103">
        <f>IF(OR(batches!D172="",batches!E172=""),"",batches!E172-batches!D172+1&amp;" days")</f>
        <v/>
      </c>
      <c r="C1024" s="101" t="n"/>
      <c r="D1024" s="102" t="n"/>
      <c r="G1024" s="80" t="inlineStr">
        <is>
          <t>Duration</t>
        </is>
      </c>
      <c r="H1024" s="103">
        <f>IF(OR(batches!D173="",batches!E173=""),"",batches!E173-batches!D173+1&amp;" days")</f>
        <v/>
      </c>
      <c r="I1024" s="101" t="n"/>
      <c r="J1024" s="102" t="n"/>
    </row>
    <row r="1025" ht="15.75" customHeight="1" s="84">
      <c r="A1025" s="80" t="inlineStr">
        <is>
          <t>Timing</t>
        </is>
      </c>
      <c r="B1025" s="103">
        <f>IF(A1021="","",batches!F172)</f>
        <v/>
      </c>
      <c r="C1025" s="101" t="n"/>
      <c r="D1025" s="102" t="n"/>
      <c r="G1025" s="80" t="inlineStr">
        <is>
          <t>Timing</t>
        </is>
      </c>
      <c r="H1025" s="103">
        <f>IF(G1021="","",batches!F173)</f>
        <v/>
      </c>
      <c r="I1025" s="101" t="n"/>
      <c r="J1025" s="102" t="n"/>
    </row>
    <row r="1026" ht="15.75" customHeight="1" s="84">
      <c r="A1026" s="80" t="inlineStr">
        <is>
          <t>Capacity</t>
        </is>
      </c>
      <c r="B1026" s="103">
        <f>IF(A1021="","",batches!G172)</f>
        <v/>
      </c>
      <c r="C1026" s="101" t="n"/>
      <c r="D1026" s="102" t="n"/>
      <c r="G1026" s="80" t="inlineStr">
        <is>
          <t>Capacity</t>
        </is>
      </c>
      <c r="H1026" s="103">
        <f>IF(G1021="","",batches!G173)</f>
        <v/>
      </c>
      <c r="I1026" s="101" t="n"/>
      <c r="J1026" s="102" t="n"/>
    </row>
    <row r="1027" ht="15.75" customHeight="1" s="84">
      <c r="A1027" s="80" t="inlineStr">
        <is>
          <t>Enrolled</t>
        </is>
      </c>
      <c r="B1027" s="103">
        <f>IF(A1021="","",COUNTIF(admissions!$M:$M,batches!A172))</f>
        <v/>
      </c>
      <c r="C1027" s="101" t="n"/>
      <c r="D1027" s="102" t="n"/>
      <c r="G1027" s="80" t="inlineStr">
        <is>
          <t>Enrolled</t>
        </is>
      </c>
      <c r="H1027" s="103">
        <f>IF(G1021="","",COUNTIF(admissions!$M:$M,batches!A173))</f>
        <v/>
      </c>
      <c r="I1027" s="101" t="n"/>
      <c r="J1027" s="102" t="n"/>
    </row>
    <row r="1028" ht="15.75" customHeight="1" s="84">
      <c r="A1028" s="80" t="inlineStr">
        <is>
          <t>Available</t>
        </is>
      </c>
      <c r="B1028" s="103">
        <f>IF(OR(batches!A172="",batches!G172=""),"",batches!G172-COUNTIF(admissions!$M:$M,batches!A172))</f>
        <v/>
      </c>
      <c r="C1028" s="101" t="n"/>
      <c r="D1028" s="102" t="n"/>
      <c r="G1028" s="80" t="inlineStr">
        <is>
          <t>Available</t>
        </is>
      </c>
      <c r="H1028" s="103">
        <f>IF(OR(batches!A173="",batches!G173=""),"",batches!G173-COUNTIF(admissions!$M:$M,batches!A173))</f>
        <v/>
      </c>
      <c r="I1028" s="101" t="n"/>
      <c r="J1028" s="102" t="n"/>
    </row>
    <row r="1029" ht="15.75" customHeight="1" s="84">
      <c r="A1029" s="104" t="inlineStr">
        <is>
          <t>Student List</t>
        </is>
      </c>
      <c r="B1029" s="101" t="n"/>
      <c r="C1029" s="101" t="n"/>
      <c r="D1029" s="102" t="n"/>
      <c r="G1029" s="104" t="inlineStr">
        <is>
          <t>Student List</t>
        </is>
      </c>
      <c r="H1029" s="101" t="n"/>
      <c r="I1029" s="101" t="n"/>
      <c r="J1029" s="102" t="n"/>
    </row>
    <row r="1030" ht="15.75" customHeight="1" s="84">
      <c r="A1030" s="105">
        <f>IFERROR(__xludf.DUMMYFUNCTION("IF(batches!A172="""","""",TEXTJOIN(CHAR(10),TRUE,FILTER(admissions!$G$2:$G$78,admissions!$M$2:$M$78=batches!A172,"""")))"),"")</f>
        <v/>
      </c>
      <c r="B1030" s="101" t="n"/>
      <c r="C1030" s="101" t="n"/>
      <c r="D1030" s="102" t="n"/>
      <c r="G1030" s="105">
        <f>IFERROR(__xludf.DUMMYFUNCTION("IF(batches!A173="""","""",TEXTJOIN(CHAR(10),TRUE,FILTER(admissions!$G$2:$G$78,admissions!$M$2:$M$78=batches!A173,"""")))"),"")</f>
        <v/>
      </c>
      <c r="H1030" s="101" t="n"/>
      <c r="I1030" s="101" t="n"/>
      <c r="J1030" s="102" t="n"/>
    </row>
    <row r="1031" ht="15.75" customHeight="1" s="84"/>
    <row r="1032" ht="15.75" customHeight="1" s="84"/>
    <row r="1033" ht="15.75" customHeight="1" s="84">
      <c r="A1033" s="100">
        <f>IF(batches!A174="","",batches!A174)</f>
        <v/>
      </c>
      <c r="B1033" s="101" t="n"/>
      <c r="C1033" s="101" t="n"/>
      <c r="D1033" s="102" t="n"/>
      <c r="G1033" s="100">
        <f>IF(batches!A175="","",batches!A175)</f>
        <v/>
      </c>
      <c r="H1033" s="101" t="n"/>
      <c r="I1033" s="101" t="n"/>
      <c r="J1033" s="102" t="n"/>
    </row>
    <row r="1034" ht="15.75" customHeight="1" s="84">
      <c r="A1034" s="80" t="inlineStr">
        <is>
          <t>Level / Mode</t>
        </is>
      </c>
      <c r="B1034" s="103">
        <f>IF(A1033="","",batches!B174&amp;" / "&amp;batches!C174)</f>
        <v/>
      </c>
      <c r="C1034" s="101" t="n"/>
      <c r="D1034" s="102" t="n"/>
      <c r="G1034" s="80" t="inlineStr">
        <is>
          <t>Level / Mode</t>
        </is>
      </c>
      <c r="H1034" s="103">
        <f>IF(G1033="","",batches!B175&amp;" / "&amp;batches!C175)</f>
        <v/>
      </c>
      <c r="I1034" s="101" t="n"/>
      <c r="J1034" s="102" t="n"/>
    </row>
    <row r="1035" ht="15.75" customHeight="1" s="84">
      <c r="A1035" s="80" t="inlineStr">
        <is>
          <t>Dates</t>
        </is>
      </c>
      <c r="B1035" s="103">
        <f>IF(A1033="","",TEXT(batches!D174,"yyyy-mm-dd")&amp;" to "&amp;TEXT(batches!E174,"yyyy-mm-dd"))</f>
        <v/>
      </c>
      <c r="C1035" s="101" t="n"/>
      <c r="D1035" s="102" t="n"/>
      <c r="G1035" s="80" t="inlineStr">
        <is>
          <t>Dates</t>
        </is>
      </c>
      <c r="H1035" s="103">
        <f>IF(G1033="","",TEXT(batches!D175,"yyyy-mm-dd")&amp;" to "&amp;TEXT(batches!E175,"yyyy-mm-dd"))</f>
        <v/>
      </c>
      <c r="I1035" s="101" t="n"/>
      <c r="J1035" s="102" t="n"/>
    </row>
    <row r="1036" ht="15.75" customHeight="1" s="84">
      <c r="A1036" s="80" t="inlineStr">
        <is>
          <t>Duration</t>
        </is>
      </c>
      <c r="B1036" s="103">
        <f>IF(OR(batches!D174="",batches!E174=""),"",batches!E174-batches!D174+1&amp;" days")</f>
        <v/>
      </c>
      <c r="C1036" s="101" t="n"/>
      <c r="D1036" s="102" t="n"/>
      <c r="G1036" s="80" t="inlineStr">
        <is>
          <t>Duration</t>
        </is>
      </c>
      <c r="H1036" s="103">
        <f>IF(OR(batches!D175="",batches!E175=""),"",batches!E175-batches!D175+1&amp;" days")</f>
        <v/>
      </c>
      <c r="I1036" s="101" t="n"/>
      <c r="J1036" s="102" t="n"/>
    </row>
    <row r="1037" ht="15.75" customHeight="1" s="84">
      <c r="A1037" s="80" t="inlineStr">
        <is>
          <t>Timing</t>
        </is>
      </c>
      <c r="B1037" s="103">
        <f>IF(A1033="","",batches!F174)</f>
        <v/>
      </c>
      <c r="C1037" s="101" t="n"/>
      <c r="D1037" s="102" t="n"/>
      <c r="G1037" s="80" t="inlineStr">
        <is>
          <t>Timing</t>
        </is>
      </c>
      <c r="H1037" s="103">
        <f>IF(G1033="","",batches!F175)</f>
        <v/>
      </c>
      <c r="I1037" s="101" t="n"/>
      <c r="J1037" s="102" t="n"/>
    </row>
    <row r="1038" ht="15.75" customHeight="1" s="84">
      <c r="A1038" s="80" t="inlineStr">
        <is>
          <t>Capacity</t>
        </is>
      </c>
      <c r="B1038" s="103">
        <f>IF(A1033="","",batches!G174)</f>
        <v/>
      </c>
      <c r="C1038" s="101" t="n"/>
      <c r="D1038" s="102" t="n"/>
      <c r="G1038" s="80" t="inlineStr">
        <is>
          <t>Capacity</t>
        </is>
      </c>
      <c r="H1038" s="103">
        <f>IF(G1033="","",batches!G175)</f>
        <v/>
      </c>
      <c r="I1038" s="101" t="n"/>
      <c r="J1038" s="102" t="n"/>
    </row>
    <row r="1039" ht="15.75" customHeight="1" s="84">
      <c r="A1039" s="80" t="inlineStr">
        <is>
          <t>Enrolled</t>
        </is>
      </c>
      <c r="B1039" s="103">
        <f>IF(A1033="","",COUNTIF(admissions!$M:$M,batches!A174))</f>
        <v/>
      </c>
      <c r="C1039" s="101" t="n"/>
      <c r="D1039" s="102" t="n"/>
      <c r="G1039" s="80" t="inlineStr">
        <is>
          <t>Enrolled</t>
        </is>
      </c>
      <c r="H1039" s="103">
        <f>IF(G1033="","",COUNTIF(admissions!$M:$M,batches!A175))</f>
        <v/>
      </c>
      <c r="I1039" s="101" t="n"/>
      <c r="J1039" s="102" t="n"/>
    </row>
    <row r="1040" ht="15.75" customHeight="1" s="84">
      <c r="A1040" s="80" t="inlineStr">
        <is>
          <t>Available</t>
        </is>
      </c>
      <c r="B1040" s="103">
        <f>IF(OR(batches!A174="",batches!G174=""),"",batches!G174-COUNTIF(admissions!$M:$M,batches!A174))</f>
        <v/>
      </c>
      <c r="C1040" s="101" t="n"/>
      <c r="D1040" s="102" t="n"/>
      <c r="G1040" s="80" t="inlineStr">
        <is>
          <t>Available</t>
        </is>
      </c>
      <c r="H1040" s="103">
        <f>IF(OR(batches!A175="",batches!G175=""),"",batches!G175-COUNTIF(admissions!$M:$M,batches!A175))</f>
        <v/>
      </c>
      <c r="I1040" s="101" t="n"/>
      <c r="J1040" s="102" t="n"/>
    </row>
    <row r="1041" ht="15.75" customHeight="1" s="84">
      <c r="A1041" s="104" t="inlineStr">
        <is>
          <t>Student List</t>
        </is>
      </c>
      <c r="B1041" s="101" t="n"/>
      <c r="C1041" s="101" t="n"/>
      <c r="D1041" s="102" t="n"/>
      <c r="G1041" s="104" t="inlineStr">
        <is>
          <t>Student List</t>
        </is>
      </c>
      <c r="H1041" s="101" t="n"/>
      <c r="I1041" s="101" t="n"/>
      <c r="J1041" s="102" t="n"/>
    </row>
    <row r="1042" ht="15.75" customHeight="1" s="84">
      <c r="A1042" s="105">
        <f>IFERROR(__xludf.DUMMYFUNCTION("IF(batches!A174="""","""",TEXTJOIN(CHAR(10),TRUE,FILTER(admissions!$G$2:$G$78,admissions!$M$2:$M$78=batches!A174,"""")))"),"")</f>
        <v/>
      </c>
      <c r="B1042" s="101" t="n"/>
      <c r="C1042" s="101" t="n"/>
      <c r="D1042" s="102" t="n"/>
      <c r="G1042" s="105">
        <f>IFERROR(__xludf.DUMMYFUNCTION("IF(batches!A175="""","""",TEXTJOIN(CHAR(10),TRUE,FILTER(admissions!$G$2:$G$78,admissions!$M$2:$M$78=batches!A175,"""")))"),"")</f>
        <v/>
      </c>
      <c r="H1042" s="101" t="n"/>
      <c r="I1042" s="101" t="n"/>
      <c r="J1042" s="102" t="n"/>
    </row>
    <row r="1043" ht="15.75" customHeight="1" s="84"/>
    <row r="1044" ht="15.75" customHeight="1" s="84"/>
    <row r="1045" ht="15.75" customHeight="1" s="84">
      <c r="A1045" s="100">
        <f>IF(batches!A176="","",batches!A176)</f>
        <v/>
      </c>
      <c r="B1045" s="101" t="n"/>
      <c r="C1045" s="101" t="n"/>
      <c r="D1045" s="102" t="n"/>
      <c r="G1045" s="100">
        <f>IF(batches!A177="","",batches!A177)</f>
        <v/>
      </c>
      <c r="H1045" s="101" t="n"/>
      <c r="I1045" s="101" t="n"/>
      <c r="J1045" s="102" t="n"/>
    </row>
    <row r="1046" ht="15.75" customHeight="1" s="84">
      <c r="A1046" s="80" t="inlineStr">
        <is>
          <t>Level / Mode</t>
        </is>
      </c>
      <c r="B1046" s="103">
        <f>IF(A1045="","",batches!B176&amp;" / "&amp;batches!C176)</f>
        <v/>
      </c>
      <c r="C1046" s="101" t="n"/>
      <c r="D1046" s="102" t="n"/>
      <c r="G1046" s="80" t="inlineStr">
        <is>
          <t>Level / Mode</t>
        </is>
      </c>
      <c r="H1046" s="103">
        <f>IF(G1045="","",batches!B177&amp;" / "&amp;batches!C177)</f>
        <v/>
      </c>
      <c r="I1046" s="101" t="n"/>
      <c r="J1046" s="102" t="n"/>
    </row>
    <row r="1047" ht="15.75" customHeight="1" s="84">
      <c r="A1047" s="80" t="inlineStr">
        <is>
          <t>Dates</t>
        </is>
      </c>
      <c r="B1047" s="103">
        <f>IF(A1045="","",TEXT(batches!D176,"yyyy-mm-dd")&amp;" to "&amp;TEXT(batches!E176,"yyyy-mm-dd"))</f>
        <v/>
      </c>
      <c r="C1047" s="101" t="n"/>
      <c r="D1047" s="102" t="n"/>
      <c r="G1047" s="80" t="inlineStr">
        <is>
          <t>Dates</t>
        </is>
      </c>
      <c r="H1047" s="103">
        <f>IF(G1045="","",TEXT(batches!D177,"yyyy-mm-dd")&amp;" to "&amp;TEXT(batches!E177,"yyyy-mm-dd"))</f>
        <v/>
      </c>
      <c r="I1047" s="101" t="n"/>
      <c r="J1047" s="102" t="n"/>
    </row>
    <row r="1048" ht="15.75" customHeight="1" s="84">
      <c r="A1048" s="80" t="inlineStr">
        <is>
          <t>Duration</t>
        </is>
      </c>
      <c r="B1048" s="103">
        <f>IF(OR(batches!D176="",batches!E176=""),"",batches!E176-batches!D176+1&amp;" days")</f>
        <v/>
      </c>
      <c r="C1048" s="101" t="n"/>
      <c r="D1048" s="102" t="n"/>
      <c r="G1048" s="80" t="inlineStr">
        <is>
          <t>Duration</t>
        </is>
      </c>
      <c r="H1048" s="103">
        <f>IF(OR(batches!D177="",batches!E177=""),"",batches!E177-batches!D177+1&amp;" days")</f>
        <v/>
      </c>
      <c r="I1048" s="101" t="n"/>
      <c r="J1048" s="102" t="n"/>
    </row>
    <row r="1049" ht="15.75" customHeight="1" s="84">
      <c r="A1049" s="80" t="inlineStr">
        <is>
          <t>Timing</t>
        </is>
      </c>
      <c r="B1049" s="103">
        <f>IF(A1045="","",batches!F176)</f>
        <v/>
      </c>
      <c r="C1049" s="101" t="n"/>
      <c r="D1049" s="102" t="n"/>
      <c r="G1049" s="80" t="inlineStr">
        <is>
          <t>Timing</t>
        </is>
      </c>
      <c r="H1049" s="103">
        <f>IF(G1045="","",batches!F177)</f>
        <v/>
      </c>
      <c r="I1049" s="101" t="n"/>
      <c r="J1049" s="102" t="n"/>
    </row>
    <row r="1050" ht="15.75" customHeight="1" s="84">
      <c r="A1050" s="80" t="inlineStr">
        <is>
          <t>Capacity</t>
        </is>
      </c>
      <c r="B1050" s="103">
        <f>IF(A1045="","",batches!G176)</f>
        <v/>
      </c>
      <c r="C1050" s="101" t="n"/>
      <c r="D1050" s="102" t="n"/>
      <c r="G1050" s="80" t="inlineStr">
        <is>
          <t>Capacity</t>
        </is>
      </c>
      <c r="H1050" s="103">
        <f>IF(G1045="","",batches!G177)</f>
        <v/>
      </c>
      <c r="I1050" s="101" t="n"/>
      <c r="J1050" s="102" t="n"/>
    </row>
    <row r="1051" ht="15.75" customHeight="1" s="84">
      <c r="A1051" s="80" t="inlineStr">
        <is>
          <t>Enrolled</t>
        </is>
      </c>
      <c r="B1051" s="103">
        <f>IF(A1045="","",COUNTIF(admissions!$M:$M,batches!A176))</f>
        <v/>
      </c>
      <c r="C1051" s="101" t="n"/>
      <c r="D1051" s="102" t="n"/>
      <c r="G1051" s="80" t="inlineStr">
        <is>
          <t>Enrolled</t>
        </is>
      </c>
      <c r="H1051" s="103">
        <f>IF(G1045="","",COUNTIF(admissions!$M:$M,batches!A177))</f>
        <v/>
      </c>
      <c r="I1051" s="101" t="n"/>
      <c r="J1051" s="102" t="n"/>
    </row>
    <row r="1052" ht="15.75" customHeight="1" s="84">
      <c r="A1052" s="80" t="inlineStr">
        <is>
          <t>Available</t>
        </is>
      </c>
      <c r="B1052" s="103">
        <f>IF(OR(batches!A176="",batches!G176=""),"",batches!G176-COUNTIF(admissions!$M:$M,batches!A176))</f>
        <v/>
      </c>
      <c r="C1052" s="101" t="n"/>
      <c r="D1052" s="102" t="n"/>
      <c r="G1052" s="80" t="inlineStr">
        <is>
          <t>Available</t>
        </is>
      </c>
      <c r="H1052" s="103">
        <f>IF(OR(batches!A177="",batches!G177=""),"",batches!G177-COUNTIF(admissions!$M:$M,batches!A177))</f>
        <v/>
      </c>
      <c r="I1052" s="101" t="n"/>
      <c r="J1052" s="102" t="n"/>
    </row>
    <row r="1053" ht="15.75" customHeight="1" s="84">
      <c r="A1053" s="104" t="inlineStr">
        <is>
          <t>Student List</t>
        </is>
      </c>
      <c r="B1053" s="101" t="n"/>
      <c r="C1053" s="101" t="n"/>
      <c r="D1053" s="102" t="n"/>
      <c r="G1053" s="104" t="inlineStr">
        <is>
          <t>Student List</t>
        </is>
      </c>
      <c r="H1053" s="101" t="n"/>
      <c r="I1053" s="101" t="n"/>
      <c r="J1053" s="102" t="n"/>
    </row>
    <row r="1054" ht="15.75" customHeight="1" s="84">
      <c r="A1054" s="105">
        <f>IFERROR(__xludf.DUMMYFUNCTION("IF(batches!A176="""","""",TEXTJOIN(CHAR(10),TRUE,FILTER(admissions!$G$2:$G$78,admissions!$M$2:$M$78=batches!A176,"""")))"),"")</f>
        <v/>
      </c>
      <c r="B1054" s="101" t="n"/>
      <c r="C1054" s="101" t="n"/>
      <c r="D1054" s="102" t="n"/>
      <c r="G1054" s="105">
        <f>IFERROR(__xludf.DUMMYFUNCTION("IF(batches!A177="""","""",TEXTJOIN(CHAR(10),TRUE,FILTER(admissions!$G$2:$G$78,admissions!$M$2:$M$78=batches!A177,"""")))"),"")</f>
        <v/>
      </c>
      <c r="H1054" s="101" t="n"/>
      <c r="I1054" s="101" t="n"/>
      <c r="J1054" s="102" t="n"/>
    </row>
    <row r="1055" ht="15.75" customHeight="1" s="84"/>
    <row r="1056" ht="15.75" customHeight="1" s="84"/>
    <row r="1057" ht="15.75" customHeight="1" s="84">
      <c r="A1057" s="100">
        <f>IF(batches!A178="","",batches!A178)</f>
        <v/>
      </c>
      <c r="B1057" s="101" t="n"/>
      <c r="C1057" s="101" t="n"/>
      <c r="D1057" s="102" t="n"/>
      <c r="G1057" s="100">
        <f>IF(batches!A179="","",batches!A179)</f>
        <v/>
      </c>
      <c r="H1057" s="101" t="n"/>
      <c r="I1057" s="101" t="n"/>
      <c r="J1057" s="102" t="n"/>
    </row>
    <row r="1058" ht="15.75" customHeight="1" s="84">
      <c r="A1058" s="80" t="inlineStr">
        <is>
          <t>Level / Mode</t>
        </is>
      </c>
      <c r="B1058" s="103">
        <f>IF(A1057="","",batches!B178&amp;" / "&amp;batches!C178)</f>
        <v/>
      </c>
      <c r="C1058" s="101" t="n"/>
      <c r="D1058" s="102" t="n"/>
      <c r="G1058" s="80" t="inlineStr">
        <is>
          <t>Level / Mode</t>
        </is>
      </c>
      <c r="H1058" s="103">
        <f>IF(G1057="","",batches!B179&amp;" / "&amp;batches!C179)</f>
        <v/>
      </c>
      <c r="I1058" s="101" t="n"/>
      <c r="J1058" s="102" t="n"/>
    </row>
    <row r="1059" ht="15.75" customHeight="1" s="84">
      <c r="A1059" s="80" t="inlineStr">
        <is>
          <t>Dates</t>
        </is>
      </c>
      <c r="B1059" s="103">
        <f>IF(A1057="","",TEXT(batches!D178,"yyyy-mm-dd")&amp;" to "&amp;TEXT(batches!E178,"yyyy-mm-dd"))</f>
        <v/>
      </c>
      <c r="C1059" s="101" t="n"/>
      <c r="D1059" s="102" t="n"/>
      <c r="G1059" s="80" t="inlineStr">
        <is>
          <t>Dates</t>
        </is>
      </c>
      <c r="H1059" s="103">
        <f>IF(G1057="","",TEXT(batches!D179,"yyyy-mm-dd")&amp;" to "&amp;TEXT(batches!E179,"yyyy-mm-dd"))</f>
        <v/>
      </c>
      <c r="I1059" s="101" t="n"/>
      <c r="J1059" s="102" t="n"/>
    </row>
    <row r="1060" ht="15.75" customHeight="1" s="84">
      <c r="A1060" s="80" t="inlineStr">
        <is>
          <t>Duration</t>
        </is>
      </c>
      <c r="B1060" s="103">
        <f>IF(OR(batches!D178="",batches!E178=""),"",batches!E178-batches!D178+1&amp;" days")</f>
        <v/>
      </c>
      <c r="C1060" s="101" t="n"/>
      <c r="D1060" s="102" t="n"/>
      <c r="G1060" s="80" t="inlineStr">
        <is>
          <t>Duration</t>
        </is>
      </c>
      <c r="H1060" s="103">
        <f>IF(OR(batches!D179="",batches!E179=""),"",batches!E179-batches!D179+1&amp;" days")</f>
        <v/>
      </c>
      <c r="I1060" s="101" t="n"/>
      <c r="J1060" s="102" t="n"/>
    </row>
    <row r="1061" ht="15.75" customHeight="1" s="84">
      <c r="A1061" s="80" t="inlineStr">
        <is>
          <t>Timing</t>
        </is>
      </c>
      <c r="B1061" s="103">
        <f>IF(A1057="","",batches!F178)</f>
        <v/>
      </c>
      <c r="C1061" s="101" t="n"/>
      <c r="D1061" s="102" t="n"/>
      <c r="G1061" s="80" t="inlineStr">
        <is>
          <t>Timing</t>
        </is>
      </c>
      <c r="H1061" s="103">
        <f>IF(G1057="","",batches!F179)</f>
        <v/>
      </c>
      <c r="I1061" s="101" t="n"/>
      <c r="J1061" s="102" t="n"/>
    </row>
    <row r="1062" ht="15.75" customHeight="1" s="84">
      <c r="A1062" s="80" t="inlineStr">
        <is>
          <t>Capacity</t>
        </is>
      </c>
      <c r="B1062" s="103">
        <f>IF(A1057="","",batches!G178)</f>
        <v/>
      </c>
      <c r="C1062" s="101" t="n"/>
      <c r="D1062" s="102" t="n"/>
      <c r="G1062" s="80" t="inlineStr">
        <is>
          <t>Capacity</t>
        </is>
      </c>
      <c r="H1062" s="103">
        <f>IF(G1057="","",batches!G179)</f>
        <v/>
      </c>
      <c r="I1062" s="101" t="n"/>
      <c r="J1062" s="102" t="n"/>
    </row>
    <row r="1063" ht="15.75" customHeight="1" s="84">
      <c r="A1063" s="80" t="inlineStr">
        <is>
          <t>Enrolled</t>
        </is>
      </c>
      <c r="B1063" s="103">
        <f>IF(A1057="","",COUNTIF(admissions!$M:$M,batches!A178))</f>
        <v/>
      </c>
      <c r="C1063" s="101" t="n"/>
      <c r="D1063" s="102" t="n"/>
      <c r="G1063" s="80" t="inlineStr">
        <is>
          <t>Enrolled</t>
        </is>
      </c>
      <c r="H1063" s="103">
        <f>IF(G1057="","",COUNTIF(admissions!$M:$M,batches!A179))</f>
        <v/>
      </c>
      <c r="I1063" s="101" t="n"/>
      <c r="J1063" s="102" t="n"/>
    </row>
    <row r="1064" ht="15.75" customHeight="1" s="84">
      <c r="A1064" s="80" t="inlineStr">
        <is>
          <t>Available</t>
        </is>
      </c>
      <c r="B1064" s="103">
        <f>IF(OR(batches!A178="",batches!G178=""),"",batches!G178-COUNTIF(admissions!$M:$M,batches!A178))</f>
        <v/>
      </c>
      <c r="C1064" s="101" t="n"/>
      <c r="D1064" s="102" t="n"/>
      <c r="G1064" s="80" t="inlineStr">
        <is>
          <t>Available</t>
        </is>
      </c>
      <c r="H1064" s="103">
        <f>IF(OR(batches!A179="",batches!G179=""),"",batches!G179-COUNTIF(admissions!$M:$M,batches!A179))</f>
        <v/>
      </c>
      <c r="I1064" s="101" t="n"/>
      <c r="J1064" s="102" t="n"/>
    </row>
    <row r="1065" ht="15.75" customHeight="1" s="84">
      <c r="A1065" s="104" t="inlineStr">
        <is>
          <t>Student List</t>
        </is>
      </c>
      <c r="B1065" s="101" t="n"/>
      <c r="C1065" s="101" t="n"/>
      <c r="D1065" s="102" t="n"/>
      <c r="G1065" s="104" t="inlineStr">
        <is>
          <t>Student List</t>
        </is>
      </c>
      <c r="H1065" s="101" t="n"/>
      <c r="I1065" s="101" t="n"/>
      <c r="J1065" s="102" t="n"/>
    </row>
    <row r="1066" ht="15.75" customHeight="1" s="84">
      <c r="A1066" s="105">
        <f>IFERROR(__xludf.DUMMYFUNCTION("IF(batches!A178="""","""",TEXTJOIN(CHAR(10),TRUE,FILTER(admissions!$G$2:$G$78,admissions!$M$2:$M$78=batches!A178,"""")))"),"")</f>
        <v/>
      </c>
      <c r="B1066" s="101" t="n"/>
      <c r="C1066" s="101" t="n"/>
      <c r="D1066" s="102" t="n"/>
      <c r="G1066" s="105">
        <f>IFERROR(__xludf.DUMMYFUNCTION("IF(batches!A179="""","""",TEXTJOIN(CHAR(10),TRUE,FILTER(admissions!$G$2:$G$78,admissions!$M$2:$M$78=batches!A179,"""")))"),"")</f>
        <v/>
      </c>
      <c r="H1066" s="101" t="n"/>
      <c r="I1066" s="101" t="n"/>
      <c r="J1066" s="102" t="n"/>
    </row>
    <row r="1067" ht="15.75" customHeight="1" s="84"/>
    <row r="1068" ht="15.75" customHeight="1" s="84"/>
    <row r="1069" ht="15.75" customHeight="1" s="84">
      <c r="A1069" s="100">
        <f>IF(batches!A180="","",batches!A180)</f>
        <v/>
      </c>
      <c r="B1069" s="101" t="n"/>
      <c r="C1069" s="101" t="n"/>
      <c r="D1069" s="102" t="n"/>
      <c r="G1069" s="100">
        <f>IF(batches!A181="","",batches!A181)</f>
        <v/>
      </c>
      <c r="H1069" s="101" t="n"/>
      <c r="I1069" s="101" t="n"/>
      <c r="J1069" s="102" t="n"/>
    </row>
    <row r="1070" ht="15.75" customHeight="1" s="84">
      <c r="A1070" s="80" t="inlineStr">
        <is>
          <t>Level / Mode</t>
        </is>
      </c>
      <c r="B1070" s="103">
        <f>IF(A1069="","",batches!B180&amp;" / "&amp;batches!C180)</f>
        <v/>
      </c>
      <c r="C1070" s="101" t="n"/>
      <c r="D1070" s="102" t="n"/>
      <c r="G1070" s="80" t="inlineStr">
        <is>
          <t>Level / Mode</t>
        </is>
      </c>
      <c r="H1070" s="103">
        <f>IF(G1069="","",batches!B181&amp;" / "&amp;batches!C181)</f>
        <v/>
      </c>
      <c r="I1070" s="101" t="n"/>
      <c r="J1070" s="102" t="n"/>
    </row>
    <row r="1071" ht="15.75" customHeight="1" s="84">
      <c r="A1071" s="80" t="inlineStr">
        <is>
          <t>Dates</t>
        </is>
      </c>
      <c r="B1071" s="103">
        <f>IF(A1069="","",TEXT(batches!D180,"yyyy-mm-dd")&amp;" to "&amp;TEXT(batches!E180,"yyyy-mm-dd"))</f>
        <v/>
      </c>
      <c r="C1071" s="101" t="n"/>
      <c r="D1071" s="102" t="n"/>
      <c r="G1071" s="80" t="inlineStr">
        <is>
          <t>Dates</t>
        </is>
      </c>
      <c r="H1071" s="103">
        <f>IF(G1069="","",TEXT(batches!D181,"yyyy-mm-dd")&amp;" to "&amp;TEXT(batches!E181,"yyyy-mm-dd"))</f>
        <v/>
      </c>
      <c r="I1071" s="101" t="n"/>
      <c r="J1071" s="102" t="n"/>
    </row>
    <row r="1072" ht="15.75" customHeight="1" s="84">
      <c r="A1072" s="80" t="inlineStr">
        <is>
          <t>Duration</t>
        </is>
      </c>
      <c r="B1072" s="103">
        <f>IF(OR(batches!D180="",batches!E180=""),"",batches!E180-batches!D180+1&amp;" days")</f>
        <v/>
      </c>
      <c r="C1072" s="101" t="n"/>
      <c r="D1072" s="102" t="n"/>
      <c r="G1072" s="80" t="inlineStr">
        <is>
          <t>Duration</t>
        </is>
      </c>
      <c r="H1072" s="103">
        <f>IF(OR(batches!D181="",batches!E181=""),"",batches!E181-batches!D181+1&amp;" days")</f>
        <v/>
      </c>
      <c r="I1072" s="101" t="n"/>
      <c r="J1072" s="102" t="n"/>
    </row>
    <row r="1073" ht="15.75" customHeight="1" s="84">
      <c r="A1073" s="80" t="inlineStr">
        <is>
          <t>Timing</t>
        </is>
      </c>
      <c r="B1073" s="103">
        <f>IF(A1069="","",batches!F180)</f>
        <v/>
      </c>
      <c r="C1073" s="101" t="n"/>
      <c r="D1073" s="102" t="n"/>
      <c r="G1073" s="80" t="inlineStr">
        <is>
          <t>Timing</t>
        </is>
      </c>
      <c r="H1073" s="103">
        <f>IF(G1069="","",batches!F181)</f>
        <v/>
      </c>
      <c r="I1073" s="101" t="n"/>
      <c r="J1073" s="102" t="n"/>
    </row>
    <row r="1074" ht="15.75" customHeight="1" s="84">
      <c r="A1074" s="80" t="inlineStr">
        <is>
          <t>Capacity</t>
        </is>
      </c>
      <c r="B1074" s="103">
        <f>IF(A1069="","",batches!G180)</f>
        <v/>
      </c>
      <c r="C1074" s="101" t="n"/>
      <c r="D1074" s="102" t="n"/>
      <c r="G1074" s="80" t="inlineStr">
        <is>
          <t>Capacity</t>
        </is>
      </c>
      <c r="H1074" s="103">
        <f>IF(G1069="","",batches!G181)</f>
        <v/>
      </c>
      <c r="I1074" s="101" t="n"/>
      <c r="J1074" s="102" t="n"/>
    </row>
    <row r="1075" ht="15.75" customHeight="1" s="84">
      <c r="A1075" s="80" t="inlineStr">
        <is>
          <t>Enrolled</t>
        </is>
      </c>
      <c r="B1075" s="103">
        <f>IF(A1069="","",COUNTIF(admissions!$M:$M,batches!A180))</f>
        <v/>
      </c>
      <c r="C1075" s="101" t="n"/>
      <c r="D1075" s="102" t="n"/>
      <c r="G1075" s="80" t="inlineStr">
        <is>
          <t>Enrolled</t>
        </is>
      </c>
      <c r="H1075" s="103">
        <f>IF(G1069="","",COUNTIF(admissions!$M:$M,batches!A181))</f>
        <v/>
      </c>
      <c r="I1075" s="101" t="n"/>
      <c r="J1075" s="102" t="n"/>
    </row>
    <row r="1076" ht="15.75" customHeight="1" s="84">
      <c r="A1076" s="80" t="inlineStr">
        <is>
          <t>Available</t>
        </is>
      </c>
      <c r="B1076" s="103">
        <f>IF(OR(batches!A180="",batches!G180=""),"",batches!G180-COUNTIF(admissions!$M:$M,batches!A180))</f>
        <v/>
      </c>
      <c r="C1076" s="101" t="n"/>
      <c r="D1076" s="102" t="n"/>
      <c r="G1076" s="80" t="inlineStr">
        <is>
          <t>Available</t>
        </is>
      </c>
      <c r="H1076" s="103">
        <f>IF(OR(batches!A181="",batches!G181=""),"",batches!G181-COUNTIF(admissions!$M:$M,batches!A181))</f>
        <v/>
      </c>
      <c r="I1076" s="101" t="n"/>
      <c r="J1076" s="102" t="n"/>
    </row>
    <row r="1077" ht="15.75" customHeight="1" s="84">
      <c r="A1077" s="104" t="inlineStr">
        <is>
          <t>Student List</t>
        </is>
      </c>
      <c r="B1077" s="101" t="n"/>
      <c r="C1077" s="101" t="n"/>
      <c r="D1077" s="102" t="n"/>
      <c r="G1077" s="104" t="inlineStr">
        <is>
          <t>Student List</t>
        </is>
      </c>
      <c r="H1077" s="101" t="n"/>
      <c r="I1077" s="101" t="n"/>
      <c r="J1077" s="102" t="n"/>
    </row>
    <row r="1078" ht="15.75" customHeight="1" s="84">
      <c r="A1078" s="105">
        <f>IFERROR(__xludf.DUMMYFUNCTION("IF(batches!A180="""","""",TEXTJOIN(CHAR(10),TRUE,FILTER(admissions!$G$2:$G$78,admissions!$M$2:$M$78=batches!A180,"""")))"),"")</f>
        <v/>
      </c>
      <c r="B1078" s="101" t="n"/>
      <c r="C1078" s="101" t="n"/>
      <c r="D1078" s="102" t="n"/>
      <c r="G1078" s="105">
        <f>IFERROR(__xludf.DUMMYFUNCTION("IF(batches!A181="""","""",TEXTJOIN(CHAR(10),TRUE,FILTER(admissions!$G$2:$G$78,admissions!$M$2:$M$78=batches!A181,"""")))"),"")</f>
        <v/>
      </c>
      <c r="H1078" s="101" t="n"/>
      <c r="I1078" s="101" t="n"/>
      <c r="J1078" s="102" t="n"/>
    </row>
    <row r="1079" ht="15.75" customHeight="1" s="84"/>
    <row r="1080" ht="15.75" customHeight="1" s="84"/>
    <row r="1081" ht="15.75" customHeight="1" s="84">
      <c r="A1081" s="100">
        <f>IF(batches!A182="","",batches!A182)</f>
        <v/>
      </c>
      <c r="B1081" s="101" t="n"/>
      <c r="C1081" s="101" t="n"/>
      <c r="D1081" s="102" t="n"/>
      <c r="G1081" s="100">
        <f>IF(batches!A183="","",batches!A183)</f>
        <v/>
      </c>
      <c r="H1081" s="101" t="n"/>
      <c r="I1081" s="101" t="n"/>
      <c r="J1081" s="102" t="n"/>
    </row>
    <row r="1082" ht="15.75" customHeight="1" s="84">
      <c r="A1082" s="80" t="inlineStr">
        <is>
          <t>Level / Mode</t>
        </is>
      </c>
      <c r="B1082" s="103">
        <f>IF(A1081="","",batches!B182&amp;" / "&amp;batches!C182)</f>
        <v/>
      </c>
      <c r="C1082" s="101" t="n"/>
      <c r="D1082" s="102" t="n"/>
      <c r="G1082" s="80" t="inlineStr">
        <is>
          <t>Level / Mode</t>
        </is>
      </c>
      <c r="H1082" s="103">
        <f>IF(G1081="","",batches!B183&amp;" / "&amp;batches!C183)</f>
        <v/>
      </c>
      <c r="I1082" s="101" t="n"/>
      <c r="J1082" s="102" t="n"/>
    </row>
    <row r="1083" ht="15.75" customHeight="1" s="84">
      <c r="A1083" s="80" t="inlineStr">
        <is>
          <t>Dates</t>
        </is>
      </c>
      <c r="B1083" s="103">
        <f>IF(A1081="","",TEXT(batches!D182,"yyyy-mm-dd")&amp;" to "&amp;TEXT(batches!E182,"yyyy-mm-dd"))</f>
        <v/>
      </c>
      <c r="C1083" s="101" t="n"/>
      <c r="D1083" s="102" t="n"/>
      <c r="G1083" s="80" t="inlineStr">
        <is>
          <t>Dates</t>
        </is>
      </c>
      <c r="H1083" s="103">
        <f>IF(G1081="","",TEXT(batches!D183,"yyyy-mm-dd")&amp;" to "&amp;TEXT(batches!E183,"yyyy-mm-dd"))</f>
        <v/>
      </c>
      <c r="I1083" s="101" t="n"/>
      <c r="J1083" s="102" t="n"/>
    </row>
    <row r="1084" ht="15.75" customHeight="1" s="84">
      <c r="A1084" s="80" t="inlineStr">
        <is>
          <t>Duration</t>
        </is>
      </c>
      <c r="B1084" s="103">
        <f>IF(OR(batches!D182="",batches!E182=""),"",batches!E182-batches!D182+1&amp;" days")</f>
        <v/>
      </c>
      <c r="C1084" s="101" t="n"/>
      <c r="D1084" s="102" t="n"/>
      <c r="G1084" s="80" t="inlineStr">
        <is>
          <t>Duration</t>
        </is>
      </c>
      <c r="H1084" s="103">
        <f>IF(OR(batches!D183="",batches!E183=""),"",batches!E183-batches!D183+1&amp;" days")</f>
        <v/>
      </c>
      <c r="I1084" s="101" t="n"/>
      <c r="J1084" s="102" t="n"/>
    </row>
    <row r="1085" ht="15.75" customHeight="1" s="84">
      <c r="A1085" s="80" t="inlineStr">
        <is>
          <t>Timing</t>
        </is>
      </c>
      <c r="B1085" s="103">
        <f>IF(A1081="","",batches!F182)</f>
        <v/>
      </c>
      <c r="C1085" s="101" t="n"/>
      <c r="D1085" s="102" t="n"/>
      <c r="G1085" s="80" t="inlineStr">
        <is>
          <t>Timing</t>
        </is>
      </c>
      <c r="H1085" s="103">
        <f>IF(G1081="","",batches!F183)</f>
        <v/>
      </c>
      <c r="I1085" s="101" t="n"/>
      <c r="J1085" s="102" t="n"/>
    </row>
    <row r="1086" ht="15.75" customHeight="1" s="84">
      <c r="A1086" s="80" t="inlineStr">
        <is>
          <t>Capacity</t>
        </is>
      </c>
      <c r="B1086" s="103">
        <f>IF(A1081="","",batches!G182)</f>
        <v/>
      </c>
      <c r="C1086" s="101" t="n"/>
      <c r="D1086" s="102" t="n"/>
      <c r="G1086" s="80" t="inlineStr">
        <is>
          <t>Capacity</t>
        </is>
      </c>
      <c r="H1086" s="103">
        <f>IF(G1081="","",batches!G183)</f>
        <v/>
      </c>
      <c r="I1086" s="101" t="n"/>
      <c r="J1086" s="102" t="n"/>
    </row>
    <row r="1087" ht="15.75" customHeight="1" s="84">
      <c r="A1087" s="80" t="inlineStr">
        <is>
          <t>Enrolled</t>
        </is>
      </c>
      <c r="B1087" s="103">
        <f>IF(A1081="","",COUNTIF(admissions!$M:$M,batches!A182))</f>
        <v/>
      </c>
      <c r="C1087" s="101" t="n"/>
      <c r="D1087" s="102" t="n"/>
      <c r="G1087" s="80" t="inlineStr">
        <is>
          <t>Enrolled</t>
        </is>
      </c>
      <c r="H1087" s="103">
        <f>IF(G1081="","",COUNTIF(admissions!$M:$M,batches!A183))</f>
        <v/>
      </c>
      <c r="I1087" s="101" t="n"/>
      <c r="J1087" s="102" t="n"/>
    </row>
    <row r="1088" ht="15.75" customHeight="1" s="84">
      <c r="A1088" s="80" t="inlineStr">
        <is>
          <t>Available</t>
        </is>
      </c>
      <c r="B1088" s="103">
        <f>IF(OR(batches!A182="",batches!G182=""),"",batches!G182-COUNTIF(admissions!$M:$M,batches!A182))</f>
        <v/>
      </c>
      <c r="C1088" s="101" t="n"/>
      <c r="D1088" s="102" t="n"/>
      <c r="G1088" s="80" t="inlineStr">
        <is>
          <t>Available</t>
        </is>
      </c>
      <c r="H1088" s="103">
        <f>IF(OR(batches!A183="",batches!G183=""),"",batches!G183-COUNTIF(admissions!$M:$M,batches!A183))</f>
        <v/>
      </c>
      <c r="I1088" s="101" t="n"/>
      <c r="J1088" s="102" t="n"/>
    </row>
    <row r="1089" ht="15.75" customHeight="1" s="84">
      <c r="A1089" s="104" t="inlineStr">
        <is>
          <t>Student List</t>
        </is>
      </c>
      <c r="B1089" s="101" t="n"/>
      <c r="C1089" s="101" t="n"/>
      <c r="D1089" s="102" t="n"/>
      <c r="G1089" s="104" t="inlineStr">
        <is>
          <t>Student List</t>
        </is>
      </c>
      <c r="H1089" s="101" t="n"/>
      <c r="I1089" s="101" t="n"/>
      <c r="J1089" s="102" t="n"/>
    </row>
    <row r="1090" ht="15.75" customHeight="1" s="84">
      <c r="A1090" s="105">
        <f>IFERROR(__xludf.DUMMYFUNCTION("IF(batches!A182="""","""",TEXTJOIN(CHAR(10),TRUE,FILTER(admissions!$G$2:$G$78,admissions!$M$2:$M$78=batches!A182,"""")))"),"")</f>
        <v/>
      </c>
      <c r="B1090" s="101" t="n"/>
      <c r="C1090" s="101" t="n"/>
      <c r="D1090" s="102" t="n"/>
      <c r="G1090" s="105">
        <f>IFERROR(__xludf.DUMMYFUNCTION("IF(batches!A183="""","""",TEXTJOIN(CHAR(10),TRUE,FILTER(admissions!$G$2:$G$78,admissions!$M$2:$M$78=batches!A183,"""")))"),"")</f>
        <v/>
      </c>
      <c r="H1090" s="101" t="n"/>
      <c r="I1090" s="101" t="n"/>
      <c r="J1090" s="102" t="n"/>
    </row>
    <row r="1091" ht="15.75" customHeight="1" s="84"/>
    <row r="1092" ht="15.75" customHeight="1" s="84"/>
    <row r="1093" ht="15.75" customHeight="1" s="84">
      <c r="A1093" s="100">
        <f>IF(batches!A184="","",batches!A184)</f>
        <v/>
      </c>
      <c r="B1093" s="101" t="n"/>
      <c r="C1093" s="101" t="n"/>
      <c r="D1093" s="102" t="n"/>
      <c r="G1093" s="100">
        <f>IF(batches!A185="","",batches!A185)</f>
        <v/>
      </c>
      <c r="H1093" s="101" t="n"/>
      <c r="I1093" s="101" t="n"/>
      <c r="J1093" s="102" t="n"/>
    </row>
    <row r="1094" ht="15.75" customHeight="1" s="84">
      <c r="A1094" s="80" t="inlineStr">
        <is>
          <t>Level / Mode</t>
        </is>
      </c>
      <c r="B1094" s="103">
        <f>IF(A1093="","",batches!B184&amp;" / "&amp;batches!C184)</f>
        <v/>
      </c>
      <c r="C1094" s="101" t="n"/>
      <c r="D1094" s="102" t="n"/>
      <c r="G1094" s="80" t="inlineStr">
        <is>
          <t>Level / Mode</t>
        </is>
      </c>
      <c r="H1094" s="103">
        <f>IF(G1093="","",batches!B185&amp;" / "&amp;batches!C185)</f>
        <v/>
      </c>
      <c r="I1094" s="101" t="n"/>
      <c r="J1094" s="102" t="n"/>
    </row>
    <row r="1095" ht="15.75" customHeight="1" s="84">
      <c r="A1095" s="80" t="inlineStr">
        <is>
          <t>Dates</t>
        </is>
      </c>
      <c r="B1095" s="103">
        <f>IF(A1093="","",TEXT(batches!D184,"yyyy-mm-dd")&amp;" to "&amp;TEXT(batches!E184,"yyyy-mm-dd"))</f>
        <v/>
      </c>
      <c r="C1095" s="101" t="n"/>
      <c r="D1095" s="102" t="n"/>
      <c r="G1095" s="80" t="inlineStr">
        <is>
          <t>Dates</t>
        </is>
      </c>
      <c r="H1095" s="103">
        <f>IF(G1093="","",TEXT(batches!D185,"yyyy-mm-dd")&amp;" to "&amp;TEXT(batches!E185,"yyyy-mm-dd"))</f>
        <v/>
      </c>
      <c r="I1095" s="101" t="n"/>
      <c r="J1095" s="102" t="n"/>
    </row>
    <row r="1096" ht="15.75" customHeight="1" s="84">
      <c r="A1096" s="80" t="inlineStr">
        <is>
          <t>Duration</t>
        </is>
      </c>
      <c r="B1096" s="103">
        <f>IF(OR(batches!D184="",batches!E184=""),"",batches!E184-batches!D184+1&amp;" days")</f>
        <v/>
      </c>
      <c r="C1096" s="101" t="n"/>
      <c r="D1096" s="102" t="n"/>
      <c r="G1096" s="80" t="inlineStr">
        <is>
          <t>Duration</t>
        </is>
      </c>
      <c r="H1096" s="103">
        <f>IF(OR(batches!D185="",batches!E185=""),"",batches!E185-batches!D185+1&amp;" days")</f>
        <v/>
      </c>
      <c r="I1096" s="101" t="n"/>
      <c r="J1096" s="102" t="n"/>
    </row>
    <row r="1097" ht="15.75" customHeight="1" s="84">
      <c r="A1097" s="80" t="inlineStr">
        <is>
          <t>Timing</t>
        </is>
      </c>
      <c r="B1097" s="103">
        <f>IF(A1093="","",batches!F184)</f>
        <v/>
      </c>
      <c r="C1097" s="101" t="n"/>
      <c r="D1097" s="102" t="n"/>
      <c r="G1097" s="80" t="inlineStr">
        <is>
          <t>Timing</t>
        </is>
      </c>
      <c r="H1097" s="103">
        <f>IF(G1093="","",batches!F185)</f>
        <v/>
      </c>
      <c r="I1097" s="101" t="n"/>
      <c r="J1097" s="102" t="n"/>
    </row>
    <row r="1098" ht="15.75" customHeight="1" s="84">
      <c r="A1098" s="80" t="inlineStr">
        <is>
          <t>Capacity</t>
        </is>
      </c>
      <c r="B1098" s="103">
        <f>IF(A1093="","",batches!G184)</f>
        <v/>
      </c>
      <c r="C1098" s="101" t="n"/>
      <c r="D1098" s="102" t="n"/>
      <c r="G1098" s="80" t="inlineStr">
        <is>
          <t>Capacity</t>
        </is>
      </c>
      <c r="H1098" s="103">
        <f>IF(G1093="","",batches!G185)</f>
        <v/>
      </c>
      <c r="I1098" s="101" t="n"/>
      <c r="J1098" s="102" t="n"/>
    </row>
    <row r="1099" ht="15.75" customHeight="1" s="84">
      <c r="A1099" s="80" t="inlineStr">
        <is>
          <t>Enrolled</t>
        </is>
      </c>
      <c r="B1099" s="103">
        <f>IF(A1093="","",COUNTIF(admissions!$M:$M,batches!A184))</f>
        <v/>
      </c>
      <c r="C1099" s="101" t="n"/>
      <c r="D1099" s="102" t="n"/>
      <c r="G1099" s="80" t="inlineStr">
        <is>
          <t>Enrolled</t>
        </is>
      </c>
      <c r="H1099" s="103">
        <f>IF(G1093="","",COUNTIF(admissions!$M:$M,batches!A185))</f>
        <v/>
      </c>
      <c r="I1099" s="101" t="n"/>
      <c r="J1099" s="102" t="n"/>
    </row>
    <row r="1100" ht="15.75" customHeight="1" s="84">
      <c r="A1100" s="80" t="inlineStr">
        <is>
          <t>Available</t>
        </is>
      </c>
      <c r="B1100" s="103">
        <f>IF(OR(batches!A184="",batches!G184=""),"",batches!G184-COUNTIF(admissions!$M:$M,batches!A184))</f>
        <v/>
      </c>
      <c r="C1100" s="101" t="n"/>
      <c r="D1100" s="102" t="n"/>
      <c r="G1100" s="80" t="inlineStr">
        <is>
          <t>Available</t>
        </is>
      </c>
      <c r="H1100" s="103">
        <f>IF(OR(batches!A185="",batches!G185=""),"",batches!G185-COUNTIF(admissions!$M:$M,batches!A185))</f>
        <v/>
      </c>
      <c r="I1100" s="101" t="n"/>
      <c r="J1100" s="102" t="n"/>
    </row>
    <row r="1101" ht="15.75" customHeight="1" s="84">
      <c r="A1101" s="104" t="inlineStr">
        <is>
          <t>Student List</t>
        </is>
      </c>
      <c r="B1101" s="101" t="n"/>
      <c r="C1101" s="101" t="n"/>
      <c r="D1101" s="102" t="n"/>
      <c r="G1101" s="104" t="inlineStr">
        <is>
          <t>Student List</t>
        </is>
      </c>
      <c r="H1101" s="101" t="n"/>
      <c r="I1101" s="101" t="n"/>
      <c r="J1101" s="102" t="n"/>
    </row>
    <row r="1102" ht="15.75" customHeight="1" s="84">
      <c r="A1102" s="105">
        <f>IFERROR(__xludf.DUMMYFUNCTION("IF(batches!A184="""","""",TEXTJOIN(CHAR(10),TRUE,FILTER(admissions!$G$2:$G$78,admissions!$M$2:$M$78=batches!A184,"""")))"),"")</f>
        <v/>
      </c>
      <c r="B1102" s="101" t="n"/>
      <c r="C1102" s="101" t="n"/>
      <c r="D1102" s="102" t="n"/>
      <c r="G1102" s="105">
        <f>IFERROR(__xludf.DUMMYFUNCTION("IF(batches!A185="""","""",TEXTJOIN(CHAR(10),TRUE,FILTER(admissions!$G$2:$G$78,admissions!$M$2:$M$78=batches!A185,"""")))"),"")</f>
        <v/>
      </c>
      <c r="H1102" s="101" t="n"/>
      <c r="I1102" s="101" t="n"/>
      <c r="J1102" s="102" t="n"/>
    </row>
    <row r="1103" ht="15.75" customHeight="1" s="84"/>
    <row r="1104" ht="15.75" customHeight="1" s="84"/>
    <row r="1105" ht="15.75" customHeight="1" s="84">
      <c r="A1105" s="100">
        <f>IF(batches!A186="","",batches!A186)</f>
        <v/>
      </c>
      <c r="B1105" s="101" t="n"/>
      <c r="C1105" s="101" t="n"/>
      <c r="D1105" s="102" t="n"/>
      <c r="G1105" s="100">
        <f>IF(batches!A187="","",batches!A187)</f>
        <v/>
      </c>
      <c r="H1105" s="101" t="n"/>
      <c r="I1105" s="101" t="n"/>
      <c r="J1105" s="102" t="n"/>
    </row>
    <row r="1106" ht="15.75" customHeight="1" s="84">
      <c r="A1106" s="80" t="inlineStr">
        <is>
          <t>Level / Mode</t>
        </is>
      </c>
      <c r="B1106" s="103">
        <f>IF(A1105="","",batches!B186&amp;" / "&amp;batches!C186)</f>
        <v/>
      </c>
      <c r="C1106" s="101" t="n"/>
      <c r="D1106" s="102" t="n"/>
      <c r="G1106" s="80" t="inlineStr">
        <is>
          <t>Level / Mode</t>
        </is>
      </c>
      <c r="H1106" s="103">
        <f>IF(G1105="","",batches!B187&amp;" / "&amp;batches!C187)</f>
        <v/>
      </c>
      <c r="I1106" s="101" t="n"/>
      <c r="J1106" s="102" t="n"/>
    </row>
    <row r="1107" ht="15.75" customHeight="1" s="84">
      <c r="A1107" s="80" t="inlineStr">
        <is>
          <t>Dates</t>
        </is>
      </c>
      <c r="B1107" s="103">
        <f>IF(A1105="","",TEXT(batches!D186,"yyyy-mm-dd")&amp;" to "&amp;TEXT(batches!E186,"yyyy-mm-dd"))</f>
        <v/>
      </c>
      <c r="C1107" s="101" t="n"/>
      <c r="D1107" s="102" t="n"/>
      <c r="G1107" s="80" t="inlineStr">
        <is>
          <t>Dates</t>
        </is>
      </c>
      <c r="H1107" s="103">
        <f>IF(G1105="","",TEXT(batches!D187,"yyyy-mm-dd")&amp;" to "&amp;TEXT(batches!E187,"yyyy-mm-dd"))</f>
        <v/>
      </c>
      <c r="I1107" s="101" t="n"/>
      <c r="J1107" s="102" t="n"/>
    </row>
    <row r="1108" ht="15.75" customHeight="1" s="84">
      <c r="A1108" s="80" t="inlineStr">
        <is>
          <t>Duration</t>
        </is>
      </c>
      <c r="B1108" s="103">
        <f>IF(OR(batches!D186="",batches!E186=""),"",batches!E186-batches!D186+1&amp;" days")</f>
        <v/>
      </c>
      <c r="C1108" s="101" t="n"/>
      <c r="D1108" s="102" t="n"/>
      <c r="G1108" s="80" t="inlineStr">
        <is>
          <t>Duration</t>
        </is>
      </c>
      <c r="H1108" s="103">
        <f>IF(OR(batches!D187="",batches!E187=""),"",batches!E187-batches!D187+1&amp;" days")</f>
        <v/>
      </c>
      <c r="I1108" s="101" t="n"/>
      <c r="J1108" s="102" t="n"/>
    </row>
    <row r="1109" ht="15.75" customHeight="1" s="84">
      <c r="A1109" s="80" t="inlineStr">
        <is>
          <t>Timing</t>
        </is>
      </c>
      <c r="B1109" s="103">
        <f>IF(A1105="","",batches!F186)</f>
        <v/>
      </c>
      <c r="C1109" s="101" t="n"/>
      <c r="D1109" s="102" t="n"/>
      <c r="G1109" s="80" t="inlineStr">
        <is>
          <t>Timing</t>
        </is>
      </c>
      <c r="H1109" s="103">
        <f>IF(G1105="","",batches!F187)</f>
        <v/>
      </c>
      <c r="I1109" s="101" t="n"/>
      <c r="J1109" s="102" t="n"/>
    </row>
    <row r="1110" ht="15.75" customHeight="1" s="84">
      <c r="A1110" s="80" t="inlineStr">
        <is>
          <t>Capacity</t>
        </is>
      </c>
      <c r="B1110" s="103">
        <f>IF(A1105="","",batches!G186)</f>
        <v/>
      </c>
      <c r="C1110" s="101" t="n"/>
      <c r="D1110" s="102" t="n"/>
      <c r="G1110" s="80" t="inlineStr">
        <is>
          <t>Capacity</t>
        </is>
      </c>
      <c r="H1110" s="103">
        <f>IF(G1105="","",batches!G187)</f>
        <v/>
      </c>
      <c r="I1110" s="101" t="n"/>
      <c r="J1110" s="102" t="n"/>
    </row>
    <row r="1111" ht="15.75" customHeight="1" s="84">
      <c r="A1111" s="80" t="inlineStr">
        <is>
          <t>Enrolled</t>
        </is>
      </c>
      <c r="B1111" s="103">
        <f>IF(A1105="","",COUNTIF(admissions!$M:$M,batches!A186))</f>
        <v/>
      </c>
      <c r="C1111" s="101" t="n"/>
      <c r="D1111" s="102" t="n"/>
      <c r="G1111" s="80" t="inlineStr">
        <is>
          <t>Enrolled</t>
        </is>
      </c>
      <c r="H1111" s="103">
        <f>IF(G1105="","",COUNTIF(admissions!$M:$M,batches!A187))</f>
        <v/>
      </c>
      <c r="I1111" s="101" t="n"/>
      <c r="J1111" s="102" t="n"/>
    </row>
    <row r="1112" ht="15.75" customHeight="1" s="84">
      <c r="A1112" s="80" t="inlineStr">
        <is>
          <t>Available</t>
        </is>
      </c>
      <c r="B1112" s="103">
        <f>IF(OR(batches!A186="",batches!G186=""),"",batches!G186-COUNTIF(admissions!$M:$M,batches!A186))</f>
        <v/>
      </c>
      <c r="C1112" s="101" t="n"/>
      <c r="D1112" s="102" t="n"/>
      <c r="G1112" s="80" t="inlineStr">
        <is>
          <t>Available</t>
        </is>
      </c>
      <c r="H1112" s="103">
        <f>IF(OR(batches!A187="",batches!G187=""),"",batches!G187-COUNTIF(admissions!$M:$M,batches!A187))</f>
        <v/>
      </c>
      <c r="I1112" s="101" t="n"/>
      <c r="J1112" s="102" t="n"/>
    </row>
    <row r="1113" ht="15.75" customHeight="1" s="84">
      <c r="A1113" s="104" t="inlineStr">
        <is>
          <t>Student List</t>
        </is>
      </c>
      <c r="B1113" s="101" t="n"/>
      <c r="C1113" s="101" t="n"/>
      <c r="D1113" s="102" t="n"/>
      <c r="G1113" s="104" t="inlineStr">
        <is>
          <t>Student List</t>
        </is>
      </c>
      <c r="H1113" s="101" t="n"/>
      <c r="I1113" s="101" t="n"/>
      <c r="J1113" s="102" t="n"/>
    </row>
    <row r="1114" ht="15.75" customHeight="1" s="84">
      <c r="A1114" s="105">
        <f>IFERROR(__xludf.DUMMYFUNCTION("IF(batches!A186="""","""",TEXTJOIN(CHAR(10),TRUE,FILTER(admissions!$G$2:$G$78,admissions!$M$2:$M$78=batches!A186,"""")))"),"")</f>
        <v/>
      </c>
      <c r="B1114" s="101" t="n"/>
      <c r="C1114" s="101" t="n"/>
      <c r="D1114" s="102" t="n"/>
      <c r="G1114" s="105">
        <f>IFERROR(__xludf.DUMMYFUNCTION("IF(batches!A187="""","""",TEXTJOIN(CHAR(10),TRUE,FILTER(admissions!$G$2:$G$78,admissions!$M$2:$M$78=batches!A187,"""")))"),"")</f>
        <v/>
      </c>
      <c r="H1114" s="101" t="n"/>
      <c r="I1114" s="101" t="n"/>
      <c r="J1114" s="102" t="n"/>
    </row>
    <row r="1115" ht="15.75" customHeight="1" s="84"/>
    <row r="1116" ht="15.75" customHeight="1" s="84"/>
    <row r="1117" ht="15.75" customHeight="1" s="84">
      <c r="A1117" s="100">
        <f>IF(batches!A188="","",batches!A188)</f>
        <v/>
      </c>
      <c r="B1117" s="101" t="n"/>
      <c r="C1117" s="101" t="n"/>
      <c r="D1117" s="102" t="n"/>
      <c r="G1117" s="100">
        <f>IF(batches!A189="","",batches!A189)</f>
        <v/>
      </c>
      <c r="H1117" s="101" t="n"/>
      <c r="I1117" s="101" t="n"/>
      <c r="J1117" s="102" t="n"/>
    </row>
    <row r="1118" ht="15.75" customHeight="1" s="84">
      <c r="A1118" s="80" t="inlineStr">
        <is>
          <t>Level / Mode</t>
        </is>
      </c>
      <c r="B1118" s="103">
        <f>IF(A1117="","",batches!B188&amp;" / "&amp;batches!C188)</f>
        <v/>
      </c>
      <c r="C1118" s="101" t="n"/>
      <c r="D1118" s="102" t="n"/>
      <c r="G1118" s="80" t="inlineStr">
        <is>
          <t>Level / Mode</t>
        </is>
      </c>
      <c r="H1118" s="103">
        <f>IF(G1117="","",batches!B189&amp;" / "&amp;batches!C189)</f>
        <v/>
      </c>
      <c r="I1118" s="101" t="n"/>
      <c r="J1118" s="102" t="n"/>
    </row>
    <row r="1119" ht="15.75" customHeight="1" s="84">
      <c r="A1119" s="80" t="inlineStr">
        <is>
          <t>Dates</t>
        </is>
      </c>
      <c r="B1119" s="103">
        <f>IF(A1117="","",TEXT(batches!D188,"yyyy-mm-dd")&amp;" to "&amp;TEXT(batches!E188,"yyyy-mm-dd"))</f>
        <v/>
      </c>
      <c r="C1119" s="101" t="n"/>
      <c r="D1119" s="102" t="n"/>
      <c r="G1119" s="80" t="inlineStr">
        <is>
          <t>Dates</t>
        </is>
      </c>
      <c r="H1119" s="103">
        <f>IF(G1117="","",TEXT(batches!D189,"yyyy-mm-dd")&amp;" to "&amp;TEXT(batches!E189,"yyyy-mm-dd"))</f>
        <v/>
      </c>
      <c r="I1119" s="101" t="n"/>
      <c r="J1119" s="102" t="n"/>
    </row>
    <row r="1120" ht="15.75" customHeight="1" s="84">
      <c r="A1120" s="80" t="inlineStr">
        <is>
          <t>Duration</t>
        </is>
      </c>
      <c r="B1120" s="103">
        <f>IF(OR(batches!D188="",batches!E188=""),"",batches!E188-batches!D188+1&amp;" days")</f>
        <v/>
      </c>
      <c r="C1120" s="101" t="n"/>
      <c r="D1120" s="102" t="n"/>
      <c r="G1120" s="80" t="inlineStr">
        <is>
          <t>Duration</t>
        </is>
      </c>
      <c r="H1120" s="103">
        <f>IF(OR(batches!D189="",batches!E189=""),"",batches!E189-batches!D189+1&amp;" days")</f>
        <v/>
      </c>
      <c r="I1120" s="101" t="n"/>
      <c r="J1120" s="102" t="n"/>
    </row>
    <row r="1121" ht="15.75" customHeight="1" s="84">
      <c r="A1121" s="80" t="inlineStr">
        <is>
          <t>Timing</t>
        </is>
      </c>
      <c r="B1121" s="103">
        <f>IF(A1117="","",batches!F188)</f>
        <v/>
      </c>
      <c r="C1121" s="101" t="n"/>
      <c r="D1121" s="102" t="n"/>
      <c r="G1121" s="80" t="inlineStr">
        <is>
          <t>Timing</t>
        </is>
      </c>
      <c r="H1121" s="103">
        <f>IF(G1117="","",batches!F189)</f>
        <v/>
      </c>
      <c r="I1121" s="101" t="n"/>
      <c r="J1121" s="102" t="n"/>
    </row>
    <row r="1122" ht="15.75" customHeight="1" s="84">
      <c r="A1122" s="80" t="inlineStr">
        <is>
          <t>Capacity</t>
        </is>
      </c>
      <c r="B1122" s="103">
        <f>IF(A1117="","",batches!G188)</f>
        <v/>
      </c>
      <c r="C1122" s="101" t="n"/>
      <c r="D1122" s="102" t="n"/>
      <c r="G1122" s="80" t="inlineStr">
        <is>
          <t>Capacity</t>
        </is>
      </c>
      <c r="H1122" s="103">
        <f>IF(G1117="","",batches!G189)</f>
        <v/>
      </c>
      <c r="I1122" s="101" t="n"/>
      <c r="J1122" s="102" t="n"/>
    </row>
    <row r="1123" ht="15.75" customHeight="1" s="84">
      <c r="A1123" s="80" t="inlineStr">
        <is>
          <t>Enrolled</t>
        </is>
      </c>
      <c r="B1123" s="103">
        <f>IF(A1117="","",COUNTIF(admissions!$M:$M,batches!A188))</f>
        <v/>
      </c>
      <c r="C1123" s="101" t="n"/>
      <c r="D1123" s="102" t="n"/>
      <c r="G1123" s="80" t="inlineStr">
        <is>
          <t>Enrolled</t>
        </is>
      </c>
      <c r="H1123" s="103">
        <f>IF(G1117="","",COUNTIF(admissions!$M:$M,batches!A189))</f>
        <v/>
      </c>
      <c r="I1123" s="101" t="n"/>
      <c r="J1123" s="102" t="n"/>
    </row>
    <row r="1124" ht="15.75" customHeight="1" s="84">
      <c r="A1124" s="80" t="inlineStr">
        <is>
          <t>Available</t>
        </is>
      </c>
      <c r="B1124" s="103">
        <f>IF(OR(batches!A188="",batches!G188=""),"",batches!G188-COUNTIF(admissions!$M:$M,batches!A188))</f>
        <v/>
      </c>
      <c r="C1124" s="101" t="n"/>
      <c r="D1124" s="102" t="n"/>
      <c r="G1124" s="80" t="inlineStr">
        <is>
          <t>Available</t>
        </is>
      </c>
      <c r="H1124" s="103">
        <f>IF(OR(batches!A189="",batches!G189=""),"",batches!G189-COUNTIF(admissions!$M:$M,batches!A189))</f>
        <v/>
      </c>
      <c r="I1124" s="101" t="n"/>
      <c r="J1124" s="102" t="n"/>
    </row>
    <row r="1125" ht="15.75" customHeight="1" s="84">
      <c r="A1125" s="104" t="inlineStr">
        <is>
          <t>Student List</t>
        </is>
      </c>
      <c r="B1125" s="101" t="n"/>
      <c r="C1125" s="101" t="n"/>
      <c r="D1125" s="102" t="n"/>
      <c r="G1125" s="104" t="inlineStr">
        <is>
          <t>Student List</t>
        </is>
      </c>
      <c r="H1125" s="101" t="n"/>
      <c r="I1125" s="101" t="n"/>
      <c r="J1125" s="102" t="n"/>
    </row>
    <row r="1126" ht="15.75" customHeight="1" s="84">
      <c r="A1126" s="105">
        <f>IFERROR(__xludf.DUMMYFUNCTION("IF(batches!A188="""","""",TEXTJOIN(CHAR(10),TRUE,FILTER(admissions!$G$2:$G$78,admissions!$M$2:$M$78=batches!A188,"""")))"),"")</f>
        <v/>
      </c>
      <c r="B1126" s="101" t="n"/>
      <c r="C1126" s="101" t="n"/>
      <c r="D1126" s="102" t="n"/>
      <c r="G1126" s="105">
        <f>IFERROR(__xludf.DUMMYFUNCTION("IF(batches!A189="""","""",TEXTJOIN(CHAR(10),TRUE,FILTER(admissions!$G$2:$G$78,admissions!$M$2:$M$78=batches!A189,"""")))"),"")</f>
        <v/>
      </c>
      <c r="H1126" s="101" t="n"/>
      <c r="I1126" s="101" t="n"/>
      <c r="J1126" s="102" t="n"/>
    </row>
    <row r="1127" ht="15.75" customHeight="1" s="84"/>
    <row r="1128" ht="15.75" customHeight="1" s="84"/>
    <row r="1129" ht="15.75" customHeight="1" s="84">
      <c r="A1129" s="100">
        <f>IF(batches!A190="","",batches!A190)</f>
        <v/>
      </c>
      <c r="B1129" s="101" t="n"/>
      <c r="C1129" s="101" t="n"/>
      <c r="D1129" s="102" t="n"/>
      <c r="G1129" s="100">
        <f>IF(batches!A191="","",batches!A191)</f>
        <v/>
      </c>
      <c r="H1129" s="101" t="n"/>
      <c r="I1129" s="101" t="n"/>
      <c r="J1129" s="102" t="n"/>
    </row>
    <row r="1130" ht="15.75" customHeight="1" s="84">
      <c r="A1130" s="80" t="inlineStr">
        <is>
          <t>Level / Mode</t>
        </is>
      </c>
      <c r="B1130" s="103">
        <f>IF(A1129="","",batches!B190&amp;" / "&amp;batches!C190)</f>
        <v/>
      </c>
      <c r="C1130" s="101" t="n"/>
      <c r="D1130" s="102" t="n"/>
      <c r="G1130" s="80" t="inlineStr">
        <is>
          <t>Level / Mode</t>
        </is>
      </c>
      <c r="H1130" s="103">
        <f>IF(G1129="","",batches!B191&amp;" / "&amp;batches!C191)</f>
        <v/>
      </c>
      <c r="I1130" s="101" t="n"/>
      <c r="J1130" s="102" t="n"/>
    </row>
    <row r="1131" ht="15.75" customHeight="1" s="84">
      <c r="A1131" s="80" t="inlineStr">
        <is>
          <t>Dates</t>
        </is>
      </c>
      <c r="B1131" s="103">
        <f>IF(A1129="","",TEXT(batches!D190,"yyyy-mm-dd")&amp;" to "&amp;TEXT(batches!E190,"yyyy-mm-dd"))</f>
        <v/>
      </c>
      <c r="C1131" s="101" t="n"/>
      <c r="D1131" s="102" t="n"/>
      <c r="G1131" s="80" t="inlineStr">
        <is>
          <t>Dates</t>
        </is>
      </c>
      <c r="H1131" s="103">
        <f>IF(G1129="","",TEXT(batches!D191,"yyyy-mm-dd")&amp;" to "&amp;TEXT(batches!E191,"yyyy-mm-dd"))</f>
        <v/>
      </c>
      <c r="I1131" s="101" t="n"/>
      <c r="J1131" s="102" t="n"/>
    </row>
    <row r="1132" ht="15.75" customHeight="1" s="84">
      <c r="A1132" s="80" t="inlineStr">
        <is>
          <t>Duration</t>
        </is>
      </c>
      <c r="B1132" s="103">
        <f>IF(OR(batches!D190="",batches!E190=""),"",batches!E190-batches!D190+1&amp;" days")</f>
        <v/>
      </c>
      <c r="C1132" s="101" t="n"/>
      <c r="D1132" s="102" t="n"/>
      <c r="G1132" s="80" t="inlineStr">
        <is>
          <t>Duration</t>
        </is>
      </c>
      <c r="H1132" s="103">
        <f>IF(OR(batches!D191="",batches!E191=""),"",batches!E191-batches!D191+1&amp;" days")</f>
        <v/>
      </c>
      <c r="I1132" s="101" t="n"/>
      <c r="J1132" s="102" t="n"/>
    </row>
    <row r="1133" ht="15.75" customHeight="1" s="84">
      <c r="A1133" s="80" t="inlineStr">
        <is>
          <t>Timing</t>
        </is>
      </c>
      <c r="B1133" s="103">
        <f>IF(A1129="","",batches!F190)</f>
        <v/>
      </c>
      <c r="C1133" s="101" t="n"/>
      <c r="D1133" s="102" t="n"/>
      <c r="G1133" s="80" t="inlineStr">
        <is>
          <t>Timing</t>
        </is>
      </c>
      <c r="H1133" s="103">
        <f>IF(G1129="","",batches!F191)</f>
        <v/>
      </c>
      <c r="I1133" s="101" t="n"/>
      <c r="J1133" s="102" t="n"/>
    </row>
    <row r="1134" ht="15.75" customHeight="1" s="84">
      <c r="A1134" s="80" t="inlineStr">
        <is>
          <t>Capacity</t>
        </is>
      </c>
      <c r="B1134" s="103">
        <f>IF(A1129="","",batches!G190)</f>
        <v/>
      </c>
      <c r="C1134" s="101" t="n"/>
      <c r="D1134" s="102" t="n"/>
      <c r="G1134" s="80" t="inlineStr">
        <is>
          <t>Capacity</t>
        </is>
      </c>
      <c r="H1134" s="103">
        <f>IF(G1129="","",batches!G191)</f>
        <v/>
      </c>
      <c r="I1134" s="101" t="n"/>
      <c r="J1134" s="102" t="n"/>
    </row>
    <row r="1135" ht="15.75" customHeight="1" s="84">
      <c r="A1135" s="80" t="inlineStr">
        <is>
          <t>Enrolled</t>
        </is>
      </c>
      <c r="B1135" s="103">
        <f>IF(A1129="","",COUNTIF(admissions!$M:$M,batches!A190))</f>
        <v/>
      </c>
      <c r="C1135" s="101" t="n"/>
      <c r="D1135" s="102" t="n"/>
      <c r="G1135" s="80" t="inlineStr">
        <is>
          <t>Enrolled</t>
        </is>
      </c>
      <c r="H1135" s="103">
        <f>IF(G1129="","",COUNTIF(admissions!$M:$M,batches!A191))</f>
        <v/>
      </c>
      <c r="I1135" s="101" t="n"/>
      <c r="J1135" s="102" t="n"/>
    </row>
    <row r="1136" ht="15.75" customHeight="1" s="84">
      <c r="A1136" s="80" t="inlineStr">
        <is>
          <t>Available</t>
        </is>
      </c>
      <c r="B1136" s="103">
        <f>IF(OR(batches!A190="",batches!G190=""),"",batches!G190-COUNTIF(admissions!$M:$M,batches!A190))</f>
        <v/>
      </c>
      <c r="C1136" s="101" t="n"/>
      <c r="D1136" s="102" t="n"/>
      <c r="G1136" s="80" t="inlineStr">
        <is>
          <t>Available</t>
        </is>
      </c>
      <c r="H1136" s="103">
        <f>IF(OR(batches!A191="",batches!G191=""),"",batches!G191-COUNTIF(admissions!$M:$M,batches!A191))</f>
        <v/>
      </c>
      <c r="I1136" s="101" t="n"/>
      <c r="J1136" s="102" t="n"/>
    </row>
    <row r="1137" ht="15.75" customHeight="1" s="84">
      <c r="A1137" s="104" t="inlineStr">
        <is>
          <t>Student List</t>
        </is>
      </c>
      <c r="B1137" s="101" t="n"/>
      <c r="C1137" s="101" t="n"/>
      <c r="D1137" s="102" t="n"/>
      <c r="G1137" s="104" t="inlineStr">
        <is>
          <t>Student List</t>
        </is>
      </c>
      <c r="H1137" s="101" t="n"/>
      <c r="I1137" s="101" t="n"/>
      <c r="J1137" s="102" t="n"/>
    </row>
    <row r="1138" ht="15.75" customHeight="1" s="84">
      <c r="A1138" s="105">
        <f>IFERROR(__xludf.DUMMYFUNCTION("IF(batches!A190="""","""",TEXTJOIN(CHAR(10),TRUE,FILTER(admissions!$G$2:$G$78,admissions!$M$2:$M$78=batches!A190,"""")))"),"")</f>
        <v/>
      </c>
      <c r="B1138" s="101" t="n"/>
      <c r="C1138" s="101" t="n"/>
      <c r="D1138" s="102" t="n"/>
      <c r="G1138" s="105">
        <f>IFERROR(__xludf.DUMMYFUNCTION("IF(batches!A191="""","""",TEXTJOIN(CHAR(10),TRUE,FILTER(admissions!$G$2:$G$78,admissions!$M$2:$M$78=batches!A191,"""")))"),"")</f>
        <v/>
      </c>
      <c r="H1138" s="101" t="n"/>
      <c r="I1138" s="101" t="n"/>
      <c r="J1138" s="102" t="n"/>
    </row>
    <row r="1139" ht="15.75" customHeight="1" s="84"/>
    <row r="1140" ht="15.75" customHeight="1" s="84"/>
    <row r="1141" ht="15.75" customHeight="1" s="84">
      <c r="A1141" s="100">
        <f>IF(batches!A192="","",batches!A192)</f>
        <v/>
      </c>
      <c r="B1141" s="101" t="n"/>
      <c r="C1141" s="101" t="n"/>
      <c r="D1141" s="102" t="n"/>
      <c r="G1141" s="100">
        <f>IF(batches!A193="","",batches!A193)</f>
        <v/>
      </c>
      <c r="H1141" s="101" t="n"/>
      <c r="I1141" s="101" t="n"/>
      <c r="J1141" s="102" t="n"/>
    </row>
    <row r="1142" ht="15.75" customHeight="1" s="84">
      <c r="A1142" s="80" t="inlineStr">
        <is>
          <t>Level / Mode</t>
        </is>
      </c>
      <c r="B1142" s="103">
        <f>IF(A1141="","",batches!B192&amp;" / "&amp;batches!C192)</f>
        <v/>
      </c>
      <c r="C1142" s="101" t="n"/>
      <c r="D1142" s="102" t="n"/>
      <c r="G1142" s="80" t="inlineStr">
        <is>
          <t>Level / Mode</t>
        </is>
      </c>
      <c r="H1142" s="103">
        <f>IF(G1141="","",batches!B193&amp;" / "&amp;batches!C193)</f>
        <v/>
      </c>
      <c r="I1142" s="101" t="n"/>
      <c r="J1142" s="102" t="n"/>
    </row>
    <row r="1143" ht="15.75" customHeight="1" s="84">
      <c r="A1143" s="80" t="inlineStr">
        <is>
          <t>Dates</t>
        </is>
      </c>
      <c r="B1143" s="103">
        <f>IF(A1141="","",TEXT(batches!D192,"yyyy-mm-dd")&amp;" to "&amp;TEXT(batches!E192,"yyyy-mm-dd"))</f>
        <v/>
      </c>
      <c r="C1143" s="101" t="n"/>
      <c r="D1143" s="102" t="n"/>
      <c r="G1143" s="80" t="inlineStr">
        <is>
          <t>Dates</t>
        </is>
      </c>
      <c r="H1143" s="103">
        <f>IF(G1141="","",TEXT(batches!D193,"yyyy-mm-dd")&amp;" to "&amp;TEXT(batches!E193,"yyyy-mm-dd"))</f>
        <v/>
      </c>
      <c r="I1143" s="101" t="n"/>
      <c r="J1143" s="102" t="n"/>
    </row>
    <row r="1144" ht="15.75" customHeight="1" s="84">
      <c r="A1144" s="80" t="inlineStr">
        <is>
          <t>Duration</t>
        </is>
      </c>
      <c r="B1144" s="103">
        <f>IF(OR(batches!D192="",batches!E192=""),"",batches!E192-batches!D192+1&amp;" days")</f>
        <v/>
      </c>
      <c r="C1144" s="101" t="n"/>
      <c r="D1144" s="102" t="n"/>
      <c r="G1144" s="80" t="inlineStr">
        <is>
          <t>Duration</t>
        </is>
      </c>
      <c r="H1144" s="103">
        <f>IF(OR(batches!D193="",batches!E193=""),"",batches!E193-batches!D193+1&amp;" days")</f>
        <v/>
      </c>
      <c r="I1144" s="101" t="n"/>
      <c r="J1144" s="102" t="n"/>
    </row>
    <row r="1145" ht="15.75" customHeight="1" s="84">
      <c r="A1145" s="80" t="inlineStr">
        <is>
          <t>Timing</t>
        </is>
      </c>
      <c r="B1145" s="103">
        <f>IF(A1141="","",batches!F192)</f>
        <v/>
      </c>
      <c r="C1145" s="101" t="n"/>
      <c r="D1145" s="102" t="n"/>
      <c r="G1145" s="80" t="inlineStr">
        <is>
          <t>Timing</t>
        </is>
      </c>
      <c r="H1145" s="103">
        <f>IF(G1141="","",batches!F193)</f>
        <v/>
      </c>
      <c r="I1145" s="101" t="n"/>
      <c r="J1145" s="102" t="n"/>
    </row>
    <row r="1146" ht="15.75" customHeight="1" s="84">
      <c r="A1146" s="80" t="inlineStr">
        <is>
          <t>Capacity</t>
        </is>
      </c>
      <c r="B1146" s="103">
        <f>IF(A1141="","",batches!G192)</f>
        <v/>
      </c>
      <c r="C1146" s="101" t="n"/>
      <c r="D1146" s="102" t="n"/>
      <c r="G1146" s="80" t="inlineStr">
        <is>
          <t>Capacity</t>
        </is>
      </c>
      <c r="H1146" s="103">
        <f>IF(G1141="","",batches!G193)</f>
        <v/>
      </c>
      <c r="I1146" s="101" t="n"/>
      <c r="J1146" s="102" t="n"/>
    </row>
    <row r="1147" ht="15.75" customHeight="1" s="84">
      <c r="A1147" s="80" t="inlineStr">
        <is>
          <t>Enrolled</t>
        </is>
      </c>
      <c r="B1147" s="103">
        <f>IF(A1141="","",COUNTIF(admissions!$M:$M,batches!A192))</f>
        <v/>
      </c>
      <c r="C1147" s="101" t="n"/>
      <c r="D1147" s="102" t="n"/>
      <c r="G1147" s="80" t="inlineStr">
        <is>
          <t>Enrolled</t>
        </is>
      </c>
      <c r="H1147" s="103">
        <f>IF(G1141="","",COUNTIF(admissions!$M:$M,batches!A193))</f>
        <v/>
      </c>
      <c r="I1147" s="101" t="n"/>
      <c r="J1147" s="102" t="n"/>
    </row>
    <row r="1148" ht="15.75" customHeight="1" s="84">
      <c r="A1148" s="80" t="inlineStr">
        <is>
          <t>Available</t>
        </is>
      </c>
      <c r="B1148" s="103">
        <f>IF(OR(batches!A192="",batches!G192=""),"",batches!G192-COUNTIF(admissions!$M:$M,batches!A192))</f>
        <v/>
      </c>
      <c r="C1148" s="101" t="n"/>
      <c r="D1148" s="102" t="n"/>
      <c r="G1148" s="80" t="inlineStr">
        <is>
          <t>Available</t>
        </is>
      </c>
      <c r="H1148" s="103">
        <f>IF(OR(batches!A193="",batches!G193=""),"",batches!G193-COUNTIF(admissions!$M:$M,batches!A193))</f>
        <v/>
      </c>
      <c r="I1148" s="101" t="n"/>
      <c r="J1148" s="102" t="n"/>
    </row>
    <row r="1149" ht="15.75" customHeight="1" s="84">
      <c r="A1149" s="104" t="inlineStr">
        <is>
          <t>Student List</t>
        </is>
      </c>
      <c r="B1149" s="101" t="n"/>
      <c r="C1149" s="101" t="n"/>
      <c r="D1149" s="102" t="n"/>
      <c r="G1149" s="104" t="inlineStr">
        <is>
          <t>Student List</t>
        </is>
      </c>
      <c r="H1149" s="101" t="n"/>
      <c r="I1149" s="101" t="n"/>
      <c r="J1149" s="102" t="n"/>
    </row>
    <row r="1150" ht="15.75" customHeight="1" s="84">
      <c r="A1150" s="105">
        <f>IFERROR(__xludf.DUMMYFUNCTION("IF(batches!A192="""","""",TEXTJOIN(CHAR(10),TRUE,FILTER(admissions!$G$2:$G$78,admissions!$M$2:$M$78=batches!A192,"""")))"),"")</f>
        <v/>
      </c>
      <c r="B1150" s="101" t="n"/>
      <c r="C1150" s="101" t="n"/>
      <c r="D1150" s="102" t="n"/>
      <c r="G1150" s="105">
        <f>IFERROR(__xludf.DUMMYFUNCTION("IF(batches!A193="""","""",TEXTJOIN(CHAR(10),TRUE,FILTER(admissions!$G$2:$G$78,admissions!$M$2:$M$78=batches!A193,"""")))"),"")</f>
        <v/>
      </c>
      <c r="H1150" s="101" t="n"/>
      <c r="I1150" s="101" t="n"/>
      <c r="J1150" s="102" t="n"/>
    </row>
    <row r="1151" ht="15.75" customHeight="1" s="84"/>
    <row r="1152" ht="15.75" customHeight="1" s="84"/>
    <row r="1153" ht="15.75" customHeight="1" s="84">
      <c r="A1153" s="100">
        <f>IF(batches!A194="","",batches!A194)</f>
        <v/>
      </c>
      <c r="B1153" s="101" t="n"/>
      <c r="C1153" s="101" t="n"/>
      <c r="D1153" s="102" t="n"/>
      <c r="G1153" s="100">
        <f>IF(batches!A195="","",batches!A195)</f>
        <v/>
      </c>
      <c r="H1153" s="101" t="n"/>
      <c r="I1153" s="101" t="n"/>
      <c r="J1153" s="102" t="n"/>
    </row>
    <row r="1154" ht="15.75" customHeight="1" s="84">
      <c r="A1154" s="80" t="inlineStr">
        <is>
          <t>Level / Mode</t>
        </is>
      </c>
      <c r="B1154" s="103">
        <f>IF(A1153="","",batches!B194&amp;" / "&amp;batches!C194)</f>
        <v/>
      </c>
      <c r="C1154" s="101" t="n"/>
      <c r="D1154" s="102" t="n"/>
      <c r="G1154" s="80" t="inlineStr">
        <is>
          <t>Level / Mode</t>
        </is>
      </c>
      <c r="H1154" s="103">
        <f>IF(G1153="","",batches!B195&amp;" / "&amp;batches!C195)</f>
        <v/>
      </c>
      <c r="I1154" s="101" t="n"/>
      <c r="J1154" s="102" t="n"/>
    </row>
    <row r="1155" ht="15.75" customHeight="1" s="84">
      <c r="A1155" s="80" t="inlineStr">
        <is>
          <t>Dates</t>
        </is>
      </c>
      <c r="B1155" s="103">
        <f>IF(A1153="","",TEXT(batches!D194,"yyyy-mm-dd")&amp;" to "&amp;TEXT(batches!E194,"yyyy-mm-dd"))</f>
        <v/>
      </c>
      <c r="C1155" s="101" t="n"/>
      <c r="D1155" s="102" t="n"/>
      <c r="G1155" s="80" t="inlineStr">
        <is>
          <t>Dates</t>
        </is>
      </c>
      <c r="H1155" s="103">
        <f>IF(G1153="","",TEXT(batches!D195,"yyyy-mm-dd")&amp;" to "&amp;TEXT(batches!E195,"yyyy-mm-dd"))</f>
        <v/>
      </c>
      <c r="I1155" s="101" t="n"/>
      <c r="J1155" s="102" t="n"/>
    </row>
    <row r="1156" ht="15.75" customHeight="1" s="84">
      <c r="A1156" s="80" t="inlineStr">
        <is>
          <t>Duration</t>
        </is>
      </c>
      <c r="B1156" s="103">
        <f>IF(OR(batches!D194="",batches!E194=""),"",batches!E194-batches!D194+1&amp;" days")</f>
        <v/>
      </c>
      <c r="C1156" s="101" t="n"/>
      <c r="D1156" s="102" t="n"/>
      <c r="G1156" s="80" t="inlineStr">
        <is>
          <t>Duration</t>
        </is>
      </c>
      <c r="H1156" s="103">
        <f>IF(OR(batches!D195="",batches!E195=""),"",batches!E195-batches!D195+1&amp;" days")</f>
        <v/>
      </c>
      <c r="I1156" s="101" t="n"/>
      <c r="J1156" s="102" t="n"/>
    </row>
    <row r="1157" ht="15.75" customHeight="1" s="84">
      <c r="A1157" s="80" t="inlineStr">
        <is>
          <t>Timing</t>
        </is>
      </c>
      <c r="B1157" s="103">
        <f>IF(A1153="","",batches!F194)</f>
        <v/>
      </c>
      <c r="C1157" s="101" t="n"/>
      <c r="D1157" s="102" t="n"/>
      <c r="G1157" s="80" t="inlineStr">
        <is>
          <t>Timing</t>
        </is>
      </c>
      <c r="H1157" s="103">
        <f>IF(G1153="","",batches!F195)</f>
        <v/>
      </c>
      <c r="I1157" s="101" t="n"/>
      <c r="J1157" s="102" t="n"/>
    </row>
    <row r="1158" ht="15.75" customHeight="1" s="84">
      <c r="A1158" s="80" t="inlineStr">
        <is>
          <t>Capacity</t>
        </is>
      </c>
      <c r="B1158" s="103">
        <f>IF(A1153="","",batches!G194)</f>
        <v/>
      </c>
      <c r="C1158" s="101" t="n"/>
      <c r="D1158" s="102" t="n"/>
      <c r="G1158" s="80" t="inlineStr">
        <is>
          <t>Capacity</t>
        </is>
      </c>
      <c r="H1158" s="103">
        <f>IF(G1153="","",batches!G195)</f>
        <v/>
      </c>
      <c r="I1158" s="101" t="n"/>
      <c r="J1158" s="102" t="n"/>
    </row>
    <row r="1159" ht="15.75" customHeight="1" s="84">
      <c r="A1159" s="80" t="inlineStr">
        <is>
          <t>Enrolled</t>
        </is>
      </c>
      <c r="B1159" s="103">
        <f>IF(A1153="","",COUNTIF(admissions!$M:$M,batches!A194))</f>
        <v/>
      </c>
      <c r="C1159" s="101" t="n"/>
      <c r="D1159" s="102" t="n"/>
      <c r="G1159" s="80" t="inlineStr">
        <is>
          <t>Enrolled</t>
        </is>
      </c>
      <c r="H1159" s="103">
        <f>IF(G1153="","",COUNTIF(admissions!$M:$M,batches!A195))</f>
        <v/>
      </c>
      <c r="I1159" s="101" t="n"/>
      <c r="J1159" s="102" t="n"/>
    </row>
    <row r="1160" ht="15.75" customHeight="1" s="84">
      <c r="A1160" s="80" t="inlineStr">
        <is>
          <t>Available</t>
        </is>
      </c>
      <c r="B1160" s="103">
        <f>IF(OR(batches!A194="",batches!G194=""),"",batches!G194-COUNTIF(admissions!$M:$M,batches!A194))</f>
        <v/>
      </c>
      <c r="C1160" s="101" t="n"/>
      <c r="D1160" s="102" t="n"/>
      <c r="G1160" s="80" t="inlineStr">
        <is>
          <t>Available</t>
        </is>
      </c>
      <c r="H1160" s="103">
        <f>IF(OR(batches!A195="",batches!G195=""),"",batches!G195-COUNTIF(admissions!$M:$M,batches!A195))</f>
        <v/>
      </c>
      <c r="I1160" s="101" t="n"/>
      <c r="J1160" s="102" t="n"/>
    </row>
    <row r="1161" ht="15.75" customHeight="1" s="84">
      <c r="A1161" s="104" t="inlineStr">
        <is>
          <t>Student List</t>
        </is>
      </c>
      <c r="B1161" s="101" t="n"/>
      <c r="C1161" s="101" t="n"/>
      <c r="D1161" s="102" t="n"/>
      <c r="G1161" s="104" t="inlineStr">
        <is>
          <t>Student List</t>
        </is>
      </c>
      <c r="H1161" s="101" t="n"/>
      <c r="I1161" s="101" t="n"/>
      <c r="J1161" s="102" t="n"/>
    </row>
    <row r="1162" ht="15.75" customHeight="1" s="84">
      <c r="A1162" s="105">
        <f>IFERROR(__xludf.DUMMYFUNCTION("IF(batches!A194="""","""",TEXTJOIN(CHAR(10),TRUE,FILTER(admissions!$G$2:$G$78,admissions!$M$2:$M$78=batches!A194,"""")))"),"")</f>
        <v/>
      </c>
      <c r="B1162" s="101" t="n"/>
      <c r="C1162" s="101" t="n"/>
      <c r="D1162" s="102" t="n"/>
      <c r="G1162" s="105">
        <f>IFERROR(__xludf.DUMMYFUNCTION("IF(batches!A195="""","""",TEXTJOIN(CHAR(10),TRUE,FILTER(admissions!$G$2:$G$78,admissions!$M$2:$M$78=batches!A195,"""")))"),"")</f>
        <v/>
      </c>
      <c r="H1162" s="101" t="n"/>
      <c r="I1162" s="101" t="n"/>
      <c r="J1162" s="102" t="n"/>
    </row>
    <row r="1163" ht="15.75" customHeight="1" s="84"/>
    <row r="1164" ht="15.75" customHeight="1" s="84"/>
    <row r="1165" ht="15.75" customHeight="1" s="84">
      <c r="A1165" s="100">
        <f>IF(batches!A196="","",batches!A196)</f>
        <v/>
      </c>
      <c r="B1165" s="101" t="n"/>
      <c r="C1165" s="101" t="n"/>
      <c r="D1165" s="102" t="n"/>
      <c r="G1165" s="100">
        <f>IF(batches!A197="","",batches!A197)</f>
        <v/>
      </c>
      <c r="H1165" s="101" t="n"/>
      <c r="I1165" s="101" t="n"/>
      <c r="J1165" s="102" t="n"/>
    </row>
    <row r="1166" ht="15.75" customHeight="1" s="84">
      <c r="A1166" s="80" t="inlineStr">
        <is>
          <t>Level / Mode</t>
        </is>
      </c>
      <c r="B1166" s="103">
        <f>IF(A1165="","",batches!B196&amp;" / "&amp;batches!C196)</f>
        <v/>
      </c>
      <c r="C1166" s="101" t="n"/>
      <c r="D1166" s="102" t="n"/>
      <c r="G1166" s="80" t="inlineStr">
        <is>
          <t>Level / Mode</t>
        </is>
      </c>
      <c r="H1166" s="103">
        <f>IF(G1165="","",batches!B197&amp;" / "&amp;batches!C197)</f>
        <v/>
      </c>
      <c r="I1166" s="101" t="n"/>
      <c r="J1166" s="102" t="n"/>
    </row>
    <row r="1167" ht="15.75" customHeight="1" s="84">
      <c r="A1167" s="80" t="inlineStr">
        <is>
          <t>Dates</t>
        </is>
      </c>
      <c r="B1167" s="103">
        <f>IF(A1165="","",TEXT(batches!D196,"yyyy-mm-dd")&amp;" to "&amp;TEXT(batches!E196,"yyyy-mm-dd"))</f>
        <v/>
      </c>
      <c r="C1167" s="101" t="n"/>
      <c r="D1167" s="102" t="n"/>
      <c r="G1167" s="80" t="inlineStr">
        <is>
          <t>Dates</t>
        </is>
      </c>
      <c r="H1167" s="103">
        <f>IF(G1165="","",TEXT(batches!D197,"yyyy-mm-dd")&amp;" to "&amp;TEXT(batches!E197,"yyyy-mm-dd"))</f>
        <v/>
      </c>
      <c r="I1167" s="101" t="n"/>
      <c r="J1167" s="102" t="n"/>
    </row>
    <row r="1168" ht="15.75" customHeight="1" s="84">
      <c r="A1168" s="80" t="inlineStr">
        <is>
          <t>Duration</t>
        </is>
      </c>
      <c r="B1168" s="103">
        <f>IF(OR(batches!D196="",batches!E196=""),"",batches!E196-batches!D196+1&amp;" days")</f>
        <v/>
      </c>
      <c r="C1168" s="101" t="n"/>
      <c r="D1168" s="102" t="n"/>
      <c r="G1168" s="80" t="inlineStr">
        <is>
          <t>Duration</t>
        </is>
      </c>
      <c r="H1168" s="103">
        <f>IF(OR(batches!D197="",batches!E197=""),"",batches!E197-batches!D197+1&amp;" days")</f>
        <v/>
      </c>
      <c r="I1168" s="101" t="n"/>
      <c r="J1168" s="102" t="n"/>
    </row>
    <row r="1169" ht="15.75" customHeight="1" s="84">
      <c r="A1169" s="80" t="inlineStr">
        <is>
          <t>Timing</t>
        </is>
      </c>
      <c r="B1169" s="103">
        <f>IF(A1165="","",batches!F196)</f>
        <v/>
      </c>
      <c r="C1169" s="101" t="n"/>
      <c r="D1169" s="102" t="n"/>
      <c r="G1169" s="80" t="inlineStr">
        <is>
          <t>Timing</t>
        </is>
      </c>
      <c r="H1169" s="103">
        <f>IF(G1165="","",batches!F197)</f>
        <v/>
      </c>
      <c r="I1169" s="101" t="n"/>
      <c r="J1169" s="102" t="n"/>
    </row>
    <row r="1170" ht="15.75" customHeight="1" s="84">
      <c r="A1170" s="80" t="inlineStr">
        <is>
          <t>Capacity</t>
        </is>
      </c>
      <c r="B1170" s="103">
        <f>IF(A1165="","",batches!G196)</f>
        <v/>
      </c>
      <c r="C1170" s="101" t="n"/>
      <c r="D1170" s="102" t="n"/>
      <c r="G1170" s="80" t="inlineStr">
        <is>
          <t>Capacity</t>
        </is>
      </c>
      <c r="H1170" s="103">
        <f>IF(G1165="","",batches!G197)</f>
        <v/>
      </c>
      <c r="I1170" s="101" t="n"/>
      <c r="J1170" s="102" t="n"/>
    </row>
    <row r="1171" ht="15.75" customHeight="1" s="84">
      <c r="A1171" s="80" t="inlineStr">
        <is>
          <t>Enrolled</t>
        </is>
      </c>
      <c r="B1171" s="103">
        <f>IF(A1165="","",COUNTIF(admissions!$M:$M,batches!A196))</f>
        <v/>
      </c>
      <c r="C1171" s="101" t="n"/>
      <c r="D1171" s="102" t="n"/>
      <c r="G1171" s="80" t="inlineStr">
        <is>
          <t>Enrolled</t>
        </is>
      </c>
      <c r="H1171" s="103">
        <f>IF(G1165="","",COUNTIF(admissions!$M:$M,batches!A197))</f>
        <v/>
      </c>
      <c r="I1171" s="101" t="n"/>
      <c r="J1171" s="102" t="n"/>
    </row>
    <row r="1172" ht="15.75" customHeight="1" s="84">
      <c r="A1172" s="80" t="inlineStr">
        <is>
          <t>Available</t>
        </is>
      </c>
      <c r="B1172" s="103">
        <f>IF(OR(batches!A196="",batches!G196=""),"",batches!G196-COUNTIF(admissions!$M:$M,batches!A196))</f>
        <v/>
      </c>
      <c r="C1172" s="101" t="n"/>
      <c r="D1172" s="102" t="n"/>
      <c r="G1172" s="80" t="inlineStr">
        <is>
          <t>Available</t>
        </is>
      </c>
      <c r="H1172" s="103">
        <f>IF(OR(batches!A197="",batches!G197=""),"",batches!G197-COUNTIF(admissions!$M:$M,batches!A197))</f>
        <v/>
      </c>
      <c r="I1172" s="101" t="n"/>
      <c r="J1172" s="102" t="n"/>
    </row>
    <row r="1173" ht="15.75" customHeight="1" s="84">
      <c r="A1173" s="104" t="inlineStr">
        <is>
          <t>Student List</t>
        </is>
      </c>
      <c r="B1173" s="101" t="n"/>
      <c r="C1173" s="101" t="n"/>
      <c r="D1173" s="102" t="n"/>
      <c r="G1173" s="104" t="inlineStr">
        <is>
          <t>Student List</t>
        </is>
      </c>
      <c r="H1173" s="101" t="n"/>
      <c r="I1173" s="101" t="n"/>
      <c r="J1173" s="102" t="n"/>
    </row>
    <row r="1174" ht="15.75" customHeight="1" s="84">
      <c r="A1174" s="105">
        <f>IFERROR(__xludf.DUMMYFUNCTION("IF(batches!A196="""","""",TEXTJOIN(CHAR(10),TRUE,FILTER(admissions!$G$2:$G$78,admissions!$M$2:$M$78=batches!A196,"""")))"),"")</f>
        <v/>
      </c>
      <c r="B1174" s="101" t="n"/>
      <c r="C1174" s="101" t="n"/>
      <c r="D1174" s="102" t="n"/>
      <c r="G1174" s="105">
        <f>IFERROR(__xludf.DUMMYFUNCTION("IF(batches!A197="""","""",TEXTJOIN(CHAR(10),TRUE,FILTER(admissions!$G$2:$G$78,admissions!$M$2:$M$78=batches!A197,"""")))"),"")</f>
        <v/>
      </c>
      <c r="H1174" s="101" t="n"/>
      <c r="I1174" s="101" t="n"/>
      <c r="J1174" s="102" t="n"/>
    </row>
    <row r="1175" ht="15.75" customHeight="1" s="84"/>
    <row r="1176" ht="15.75" customHeight="1" s="84"/>
    <row r="1177" ht="15.75" customHeight="1" s="84">
      <c r="A1177" s="100">
        <f>IF(batches!A198="","",batches!A198)</f>
        <v/>
      </c>
      <c r="B1177" s="101" t="n"/>
      <c r="C1177" s="101" t="n"/>
      <c r="D1177" s="102" t="n"/>
      <c r="G1177" s="100">
        <f>IF(batches!A199="","",batches!A199)</f>
        <v/>
      </c>
      <c r="H1177" s="101" t="n"/>
      <c r="I1177" s="101" t="n"/>
      <c r="J1177" s="102" t="n"/>
    </row>
    <row r="1178" ht="15.75" customHeight="1" s="84">
      <c r="A1178" s="80" t="inlineStr">
        <is>
          <t>Level / Mode</t>
        </is>
      </c>
      <c r="B1178" s="103">
        <f>IF(A1177="","",batches!B198&amp;" / "&amp;batches!C198)</f>
        <v/>
      </c>
      <c r="C1178" s="101" t="n"/>
      <c r="D1178" s="102" t="n"/>
      <c r="G1178" s="80" t="inlineStr">
        <is>
          <t>Level / Mode</t>
        </is>
      </c>
      <c r="H1178" s="103">
        <f>IF(G1177="","",batches!B199&amp;" / "&amp;batches!C199)</f>
        <v/>
      </c>
      <c r="I1178" s="101" t="n"/>
      <c r="J1178" s="102" t="n"/>
    </row>
    <row r="1179" ht="15.75" customHeight="1" s="84">
      <c r="A1179" s="80" t="inlineStr">
        <is>
          <t>Dates</t>
        </is>
      </c>
      <c r="B1179" s="103">
        <f>IF(A1177="","",TEXT(batches!D198,"yyyy-mm-dd")&amp;" to "&amp;TEXT(batches!E198,"yyyy-mm-dd"))</f>
        <v/>
      </c>
      <c r="C1179" s="101" t="n"/>
      <c r="D1179" s="102" t="n"/>
      <c r="G1179" s="80" t="inlineStr">
        <is>
          <t>Dates</t>
        </is>
      </c>
      <c r="H1179" s="103">
        <f>IF(G1177="","",TEXT(batches!D199,"yyyy-mm-dd")&amp;" to "&amp;TEXT(batches!E199,"yyyy-mm-dd"))</f>
        <v/>
      </c>
      <c r="I1179" s="101" t="n"/>
      <c r="J1179" s="102" t="n"/>
    </row>
    <row r="1180" ht="15.75" customHeight="1" s="84">
      <c r="A1180" s="80" t="inlineStr">
        <is>
          <t>Duration</t>
        </is>
      </c>
      <c r="B1180" s="103">
        <f>IF(OR(batches!D198="",batches!E198=""),"",batches!E198-batches!D198+1&amp;" days")</f>
        <v/>
      </c>
      <c r="C1180" s="101" t="n"/>
      <c r="D1180" s="102" t="n"/>
      <c r="G1180" s="80" t="inlineStr">
        <is>
          <t>Duration</t>
        </is>
      </c>
      <c r="H1180" s="103">
        <f>IF(OR(batches!D199="",batches!E199=""),"",batches!E199-batches!D199+1&amp;" days")</f>
        <v/>
      </c>
      <c r="I1180" s="101" t="n"/>
      <c r="J1180" s="102" t="n"/>
    </row>
    <row r="1181" ht="15.75" customHeight="1" s="84">
      <c r="A1181" s="80" t="inlineStr">
        <is>
          <t>Timing</t>
        </is>
      </c>
      <c r="B1181" s="103">
        <f>IF(A1177="","",batches!F198)</f>
        <v/>
      </c>
      <c r="C1181" s="101" t="n"/>
      <c r="D1181" s="102" t="n"/>
      <c r="G1181" s="80" t="inlineStr">
        <is>
          <t>Timing</t>
        </is>
      </c>
      <c r="H1181" s="103">
        <f>IF(G1177="","",batches!F199)</f>
        <v/>
      </c>
      <c r="I1181" s="101" t="n"/>
      <c r="J1181" s="102" t="n"/>
    </row>
    <row r="1182" ht="15.75" customHeight="1" s="84">
      <c r="A1182" s="80" t="inlineStr">
        <is>
          <t>Capacity</t>
        </is>
      </c>
      <c r="B1182" s="103">
        <f>IF(A1177="","",batches!G198)</f>
        <v/>
      </c>
      <c r="C1182" s="101" t="n"/>
      <c r="D1182" s="102" t="n"/>
      <c r="G1182" s="80" t="inlineStr">
        <is>
          <t>Capacity</t>
        </is>
      </c>
      <c r="H1182" s="103">
        <f>IF(G1177="","",batches!G199)</f>
        <v/>
      </c>
      <c r="I1182" s="101" t="n"/>
      <c r="J1182" s="102" t="n"/>
    </row>
    <row r="1183" ht="15.75" customHeight="1" s="84">
      <c r="A1183" s="80" t="inlineStr">
        <is>
          <t>Enrolled</t>
        </is>
      </c>
      <c r="B1183" s="103">
        <f>IF(A1177="","",COUNTIF(admissions!$M:$M,batches!A198))</f>
        <v/>
      </c>
      <c r="C1183" s="101" t="n"/>
      <c r="D1183" s="102" t="n"/>
      <c r="G1183" s="80" t="inlineStr">
        <is>
          <t>Enrolled</t>
        </is>
      </c>
      <c r="H1183" s="103">
        <f>IF(G1177="","",COUNTIF(admissions!$M:$M,batches!A199))</f>
        <v/>
      </c>
      <c r="I1183" s="101" t="n"/>
      <c r="J1183" s="102" t="n"/>
    </row>
    <row r="1184" ht="15.75" customHeight="1" s="84">
      <c r="A1184" s="80" t="inlineStr">
        <is>
          <t>Available</t>
        </is>
      </c>
      <c r="B1184" s="103">
        <f>IF(OR(batches!A198="",batches!G198=""),"",batches!G198-COUNTIF(admissions!$M:$M,batches!A198))</f>
        <v/>
      </c>
      <c r="C1184" s="101" t="n"/>
      <c r="D1184" s="102" t="n"/>
      <c r="G1184" s="80" t="inlineStr">
        <is>
          <t>Available</t>
        </is>
      </c>
      <c r="H1184" s="103">
        <f>IF(OR(batches!A199="",batches!G199=""),"",batches!G199-COUNTIF(admissions!$M:$M,batches!A199))</f>
        <v/>
      </c>
      <c r="I1184" s="101" t="n"/>
      <c r="J1184" s="102" t="n"/>
    </row>
    <row r="1185" ht="15.75" customHeight="1" s="84">
      <c r="A1185" s="104" t="inlineStr">
        <is>
          <t>Student List</t>
        </is>
      </c>
      <c r="B1185" s="101" t="n"/>
      <c r="C1185" s="101" t="n"/>
      <c r="D1185" s="102" t="n"/>
      <c r="G1185" s="104" t="inlineStr">
        <is>
          <t>Student List</t>
        </is>
      </c>
      <c r="H1185" s="101" t="n"/>
      <c r="I1185" s="101" t="n"/>
      <c r="J1185" s="102" t="n"/>
    </row>
    <row r="1186" ht="15.75" customHeight="1" s="84">
      <c r="A1186" s="105">
        <f>IFERROR(__xludf.DUMMYFUNCTION("IF(batches!A198="""","""",TEXTJOIN(CHAR(10),TRUE,FILTER(admissions!$G$2:$G$78,admissions!$M$2:$M$78=batches!A198,"""")))"),"")</f>
        <v/>
      </c>
      <c r="B1186" s="101" t="n"/>
      <c r="C1186" s="101" t="n"/>
      <c r="D1186" s="102" t="n"/>
      <c r="G1186" s="105">
        <f>IFERROR(__xludf.DUMMYFUNCTION("IF(batches!A199="""","""",TEXTJOIN(CHAR(10),TRUE,FILTER(admissions!$G$2:$G$78,admissions!$M$2:$M$78=batches!A199,"""")))"),"")</f>
        <v/>
      </c>
      <c r="H1186" s="101" t="n"/>
      <c r="I1186" s="101" t="n"/>
      <c r="J1186" s="102" t="n"/>
    </row>
    <row r="1187" ht="15.75" customHeight="1" s="84"/>
    <row r="1188" ht="15.75" customHeight="1" s="84"/>
    <row r="1189" ht="15.75" customHeight="1" s="84">
      <c r="A1189" s="100">
        <f>IF(batches!A200="","",batches!A200)</f>
        <v/>
      </c>
      <c r="B1189" s="101" t="n"/>
      <c r="C1189" s="101" t="n"/>
      <c r="D1189" s="102" t="n"/>
      <c r="G1189" s="100">
        <f>IF(batches!A201="","",batches!A201)</f>
        <v/>
      </c>
      <c r="H1189" s="101" t="n"/>
      <c r="I1189" s="101" t="n"/>
      <c r="J1189" s="102" t="n"/>
    </row>
    <row r="1190" ht="15.75" customHeight="1" s="84">
      <c r="A1190" s="80" t="inlineStr">
        <is>
          <t>Level / Mode</t>
        </is>
      </c>
      <c r="B1190" s="103">
        <f>IF(A1189="","",batches!B200&amp;" / "&amp;batches!C200)</f>
        <v/>
      </c>
      <c r="C1190" s="101" t="n"/>
      <c r="D1190" s="102" t="n"/>
      <c r="G1190" s="80" t="inlineStr">
        <is>
          <t>Level / Mode</t>
        </is>
      </c>
      <c r="H1190" s="103">
        <f>IF(G1189="","",batches!B201&amp;" / "&amp;batches!C201)</f>
        <v/>
      </c>
      <c r="I1190" s="101" t="n"/>
      <c r="J1190" s="102" t="n"/>
    </row>
    <row r="1191" ht="15.75" customHeight="1" s="84">
      <c r="A1191" s="80" t="inlineStr">
        <is>
          <t>Dates</t>
        </is>
      </c>
      <c r="B1191" s="103">
        <f>IF(A1189="","",TEXT(batches!D200,"yyyy-mm-dd")&amp;" to "&amp;TEXT(batches!E200,"yyyy-mm-dd"))</f>
        <v/>
      </c>
      <c r="C1191" s="101" t="n"/>
      <c r="D1191" s="102" t="n"/>
      <c r="G1191" s="80" t="inlineStr">
        <is>
          <t>Dates</t>
        </is>
      </c>
      <c r="H1191" s="103">
        <f>IF(G1189="","",TEXT(batches!D201,"yyyy-mm-dd")&amp;" to "&amp;TEXT(batches!E201,"yyyy-mm-dd"))</f>
        <v/>
      </c>
      <c r="I1191" s="101" t="n"/>
      <c r="J1191" s="102" t="n"/>
    </row>
    <row r="1192" ht="15.75" customHeight="1" s="84">
      <c r="A1192" s="80" t="inlineStr">
        <is>
          <t>Duration</t>
        </is>
      </c>
      <c r="B1192" s="103">
        <f>IF(OR(batches!D200="",batches!E200=""),"",batches!E200-batches!D200+1&amp;" days")</f>
        <v/>
      </c>
      <c r="C1192" s="101" t="n"/>
      <c r="D1192" s="102" t="n"/>
      <c r="G1192" s="80" t="inlineStr">
        <is>
          <t>Duration</t>
        </is>
      </c>
      <c r="H1192" s="103">
        <f>IF(OR(batches!D201="",batches!E201=""),"",batches!E201-batches!D201+1&amp;" days")</f>
        <v/>
      </c>
      <c r="I1192" s="101" t="n"/>
      <c r="J1192" s="102" t="n"/>
    </row>
    <row r="1193" ht="15.75" customHeight="1" s="84">
      <c r="A1193" s="80" t="inlineStr">
        <is>
          <t>Timing</t>
        </is>
      </c>
      <c r="B1193" s="103">
        <f>IF(A1189="","",batches!F200)</f>
        <v/>
      </c>
      <c r="C1193" s="101" t="n"/>
      <c r="D1193" s="102" t="n"/>
      <c r="G1193" s="80" t="inlineStr">
        <is>
          <t>Timing</t>
        </is>
      </c>
      <c r="H1193" s="103">
        <f>IF(G1189="","",batches!F201)</f>
        <v/>
      </c>
      <c r="I1193" s="101" t="n"/>
      <c r="J1193" s="102" t="n"/>
    </row>
    <row r="1194" ht="15.75" customHeight="1" s="84">
      <c r="A1194" s="80" t="inlineStr">
        <is>
          <t>Capacity</t>
        </is>
      </c>
      <c r="B1194" s="103">
        <f>IF(A1189="","",batches!G200)</f>
        <v/>
      </c>
      <c r="C1194" s="101" t="n"/>
      <c r="D1194" s="102" t="n"/>
      <c r="G1194" s="80" t="inlineStr">
        <is>
          <t>Capacity</t>
        </is>
      </c>
      <c r="H1194" s="103">
        <f>IF(G1189="","",batches!G201)</f>
        <v/>
      </c>
      <c r="I1194" s="101" t="n"/>
      <c r="J1194" s="102" t="n"/>
    </row>
    <row r="1195" ht="15.75" customHeight="1" s="84">
      <c r="A1195" s="80" t="inlineStr">
        <is>
          <t>Enrolled</t>
        </is>
      </c>
      <c r="B1195" s="103">
        <f>IF(A1189="","",COUNTIF(admissions!$M:$M,batches!A200))</f>
        <v/>
      </c>
      <c r="C1195" s="101" t="n"/>
      <c r="D1195" s="102" t="n"/>
      <c r="G1195" s="80" t="inlineStr">
        <is>
          <t>Enrolled</t>
        </is>
      </c>
      <c r="H1195" s="103">
        <f>IF(G1189="","",COUNTIF(admissions!$M:$M,batches!A201))</f>
        <v/>
      </c>
      <c r="I1195" s="101" t="n"/>
      <c r="J1195" s="102" t="n"/>
    </row>
    <row r="1196" ht="15.75" customHeight="1" s="84">
      <c r="A1196" s="80" t="inlineStr">
        <is>
          <t>Available</t>
        </is>
      </c>
      <c r="B1196" s="103">
        <f>IF(OR(batches!A200="",batches!G200=""),"",batches!G200-COUNTIF(admissions!$M:$M,batches!A200))</f>
        <v/>
      </c>
      <c r="C1196" s="101" t="n"/>
      <c r="D1196" s="102" t="n"/>
      <c r="G1196" s="80" t="inlineStr">
        <is>
          <t>Available</t>
        </is>
      </c>
      <c r="H1196" s="103">
        <f>IF(OR(batches!A201="",batches!G201=""),"",batches!G201-COUNTIF(admissions!$M:$M,batches!A201))</f>
        <v/>
      </c>
      <c r="I1196" s="101" t="n"/>
      <c r="J1196" s="102" t="n"/>
    </row>
    <row r="1197" ht="15.75" customHeight="1" s="84">
      <c r="A1197" s="104" t="inlineStr">
        <is>
          <t>Student List</t>
        </is>
      </c>
      <c r="B1197" s="101" t="n"/>
      <c r="C1197" s="101" t="n"/>
      <c r="D1197" s="102" t="n"/>
      <c r="G1197" s="104" t="inlineStr">
        <is>
          <t>Student List</t>
        </is>
      </c>
      <c r="H1197" s="101" t="n"/>
      <c r="I1197" s="101" t="n"/>
      <c r="J1197" s="102" t="n"/>
    </row>
    <row r="1198" ht="15.75" customHeight="1" s="84">
      <c r="A1198" s="105">
        <f>IFERROR(__xludf.DUMMYFUNCTION("IF(batches!A200="""","""",TEXTJOIN(CHAR(10),TRUE,FILTER(admissions!$G$2:$G$78,admissions!$M$2:$M$78=batches!A200,"""")))"),"")</f>
        <v/>
      </c>
      <c r="B1198" s="101" t="n"/>
      <c r="C1198" s="101" t="n"/>
      <c r="D1198" s="102" t="n"/>
      <c r="G1198" s="105">
        <f>IFERROR(__xludf.DUMMYFUNCTION("IF(batches!A201="""","""",TEXTJOIN(CHAR(10),TRUE,FILTER(admissions!$G$2:$G$78,admissions!$M$2:$M$78=batches!A201,"""")))"),"")</f>
        <v/>
      </c>
      <c r="H1198" s="101" t="n"/>
      <c r="I1198" s="101" t="n"/>
      <c r="J1198" s="102" t="n"/>
    </row>
    <row r="1199" ht="15.75" customHeight="1" s="84"/>
    <row r="1200" ht="15.75" customHeight="1" s="84"/>
    <row r="1201" ht="15.75" customHeight="1" s="84">
      <c r="A1201" s="100">
        <f>IF(batches!A202="","",batches!A202)</f>
        <v/>
      </c>
      <c r="B1201" s="101" t="n"/>
      <c r="C1201" s="101" t="n"/>
      <c r="D1201" s="102" t="n"/>
      <c r="G1201" s="100">
        <f>IF(batches!A203="","",batches!A203)</f>
        <v/>
      </c>
      <c r="H1201" s="101" t="n"/>
      <c r="I1201" s="101" t="n"/>
      <c r="J1201" s="102" t="n"/>
    </row>
    <row r="1202" ht="15.75" customHeight="1" s="84">
      <c r="A1202" s="80" t="inlineStr">
        <is>
          <t>Level / Mode</t>
        </is>
      </c>
      <c r="B1202" s="103">
        <f>IF(A1201="","",batches!B202&amp;" / "&amp;batches!C202)</f>
        <v/>
      </c>
      <c r="C1202" s="101" t="n"/>
      <c r="D1202" s="102" t="n"/>
      <c r="G1202" s="80" t="inlineStr">
        <is>
          <t>Level / Mode</t>
        </is>
      </c>
      <c r="H1202" s="103">
        <f>IF(G1201="","",batches!B203&amp;" / "&amp;batches!C203)</f>
        <v/>
      </c>
      <c r="I1202" s="101" t="n"/>
      <c r="J1202" s="102" t="n"/>
    </row>
    <row r="1203" ht="15.75" customHeight="1" s="84">
      <c r="A1203" s="80" t="inlineStr">
        <is>
          <t>Dates</t>
        </is>
      </c>
      <c r="B1203" s="103">
        <f>IF(A1201="","",TEXT(batches!D202,"yyyy-mm-dd")&amp;" to "&amp;TEXT(batches!E202,"yyyy-mm-dd"))</f>
        <v/>
      </c>
      <c r="C1203" s="101" t="n"/>
      <c r="D1203" s="102" t="n"/>
      <c r="G1203" s="80" t="inlineStr">
        <is>
          <t>Dates</t>
        </is>
      </c>
      <c r="H1203" s="103">
        <f>IF(G1201="","",TEXT(batches!D203,"yyyy-mm-dd")&amp;" to "&amp;TEXT(batches!E203,"yyyy-mm-dd"))</f>
        <v/>
      </c>
      <c r="I1203" s="101" t="n"/>
      <c r="J1203" s="102" t="n"/>
    </row>
    <row r="1204" ht="15.75" customHeight="1" s="84">
      <c r="A1204" s="80" t="inlineStr">
        <is>
          <t>Duration</t>
        </is>
      </c>
      <c r="B1204" s="103">
        <f>IF(OR(batches!D202="",batches!E202=""),"",batches!E202-batches!D202+1&amp;" days")</f>
        <v/>
      </c>
      <c r="C1204" s="101" t="n"/>
      <c r="D1204" s="102" t="n"/>
      <c r="G1204" s="80" t="inlineStr">
        <is>
          <t>Duration</t>
        </is>
      </c>
      <c r="H1204" s="103">
        <f>IF(OR(batches!D203="",batches!E203=""),"",batches!E203-batches!D203+1&amp;" days")</f>
        <v/>
      </c>
      <c r="I1204" s="101" t="n"/>
      <c r="J1204" s="102" t="n"/>
    </row>
    <row r="1205" ht="15.75" customHeight="1" s="84">
      <c r="A1205" s="80" t="inlineStr">
        <is>
          <t>Timing</t>
        </is>
      </c>
      <c r="B1205" s="103">
        <f>IF(A1201="","",batches!F202)</f>
        <v/>
      </c>
      <c r="C1205" s="101" t="n"/>
      <c r="D1205" s="102" t="n"/>
      <c r="G1205" s="80" t="inlineStr">
        <is>
          <t>Timing</t>
        </is>
      </c>
      <c r="H1205" s="103">
        <f>IF(G1201="","",batches!F203)</f>
        <v/>
      </c>
      <c r="I1205" s="101" t="n"/>
      <c r="J1205" s="102" t="n"/>
    </row>
    <row r="1206" ht="15.75" customHeight="1" s="84">
      <c r="A1206" s="80" t="inlineStr">
        <is>
          <t>Capacity</t>
        </is>
      </c>
      <c r="B1206" s="103">
        <f>IF(A1201="","",batches!G202)</f>
        <v/>
      </c>
      <c r="C1206" s="101" t="n"/>
      <c r="D1206" s="102" t="n"/>
      <c r="G1206" s="80" t="inlineStr">
        <is>
          <t>Capacity</t>
        </is>
      </c>
      <c r="H1206" s="103">
        <f>IF(G1201="","",batches!G203)</f>
        <v/>
      </c>
      <c r="I1206" s="101" t="n"/>
      <c r="J1206" s="102" t="n"/>
    </row>
    <row r="1207" ht="15.75" customHeight="1" s="84">
      <c r="A1207" s="80" t="inlineStr">
        <is>
          <t>Enrolled</t>
        </is>
      </c>
      <c r="B1207" s="103">
        <f>IF(A1201="","",COUNTIF(admissions!$M:$M,batches!A202))</f>
        <v/>
      </c>
      <c r="C1207" s="101" t="n"/>
      <c r="D1207" s="102" t="n"/>
      <c r="G1207" s="80" t="inlineStr">
        <is>
          <t>Enrolled</t>
        </is>
      </c>
      <c r="H1207" s="103">
        <f>IF(G1201="","",COUNTIF(admissions!$M:$M,batches!A203))</f>
        <v/>
      </c>
      <c r="I1207" s="101" t="n"/>
      <c r="J1207" s="102" t="n"/>
    </row>
    <row r="1208" ht="15.75" customHeight="1" s="84">
      <c r="A1208" s="80" t="inlineStr">
        <is>
          <t>Available</t>
        </is>
      </c>
      <c r="B1208" s="103">
        <f>IF(OR(batches!A202="",batches!G202=""),"",batches!G202-COUNTIF(admissions!$M:$M,batches!A202))</f>
        <v/>
      </c>
      <c r="C1208" s="101" t="n"/>
      <c r="D1208" s="102" t="n"/>
      <c r="G1208" s="80" t="inlineStr">
        <is>
          <t>Available</t>
        </is>
      </c>
      <c r="H1208" s="103">
        <f>IF(OR(batches!A203="",batches!G203=""),"",batches!G203-COUNTIF(admissions!$M:$M,batches!A203))</f>
        <v/>
      </c>
      <c r="I1208" s="101" t="n"/>
      <c r="J1208" s="102" t="n"/>
    </row>
    <row r="1209" ht="15.75" customHeight="1" s="84">
      <c r="A1209" s="104" t="inlineStr">
        <is>
          <t>Student List</t>
        </is>
      </c>
      <c r="B1209" s="101" t="n"/>
      <c r="C1209" s="101" t="n"/>
      <c r="D1209" s="102" t="n"/>
      <c r="G1209" s="104" t="inlineStr">
        <is>
          <t>Student List</t>
        </is>
      </c>
      <c r="H1209" s="101" t="n"/>
      <c r="I1209" s="101" t="n"/>
      <c r="J1209" s="102" t="n"/>
    </row>
    <row r="1210" ht="15.75" customHeight="1" s="84">
      <c r="A1210" s="105">
        <f>IFERROR(__xludf.DUMMYFUNCTION("IF(batches!A202="""","""",TEXTJOIN(CHAR(10),TRUE,FILTER(admissions!$G$2:$G$78,admissions!$M$2:$M$78=batches!A202,"""")))"),"")</f>
        <v/>
      </c>
      <c r="B1210" s="101" t="n"/>
      <c r="C1210" s="101" t="n"/>
      <c r="D1210" s="102" t="n"/>
      <c r="G1210" s="105">
        <f>IFERROR(__xludf.DUMMYFUNCTION("IF(batches!A203="""","""",TEXTJOIN(CHAR(10),TRUE,FILTER(admissions!$G$2:$G$78,admissions!$M$2:$M$78=batches!A203,"""")))"),"")</f>
        <v/>
      </c>
      <c r="H1210" s="101" t="n"/>
      <c r="I1210" s="101" t="n"/>
      <c r="J1210" s="102" t="n"/>
    </row>
    <row r="1211" ht="15.75" customHeight="1" s="84"/>
    <row r="1212" ht="15.75" customHeight="1" s="84"/>
    <row r="1213" ht="15.75" customHeight="1" s="84">
      <c r="A1213" s="100">
        <f>IF(batches!A204="","",batches!A204)</f>
        <v/>
      </c>
      <c r="B1213" s="101" t="n"/>
      <c r="C1213" s="101" t="n"/>
      <c r="D1213" s="102" t="n"/>
      <c r="G1213" s="100">
        <f>IF(batches!A205="","",batches!A205)</f>
        <v/>
      </c>
      <c r="H1213" s="101" t="n"/>
      <c r="I1213" s="101" t="n"/>
      <c r="J1213" s="102" t="n"/>
    </row>
    <row r="1214" ht="15.75" customHeight="1" s="84">
      <c r="A1214" s="80" t="inlineStr">
        <is>
          <t>Level / Mode</t>
        </is>
      </c>
      <c r="B1214" s="103">
        <f>IF(A1213="","",batches!B204&amp;" / "&amp;batches!C204)</f>
        <v/>
      </c>
      <c r="C1214" s="101" t="n"/>
      <c r="D1214" s="102" t="n"/>
      <c r="G1214" s="80" t="inlineStr">
        <is>
          <t>Level / Mode</t>
        </is>
      </c>
      <c r="H1214" s="103">
        <f>IF(G1213="","",batches!B205&amp;" / "&amp;batches!C205)</f>
        <v/>
      </c>
      <c r="I1214" s="101" t="n"/>
      <c r="J1214" s="102" t="n"/>
    </row>
    <row r="1215" ht="15.75" customHeight="1" s="84">
      <c r="A1215" s="80" t="inlineStr">
        <is>
          <t>Dates</t>
        </is>
      </c>
      <c r="B1215" s="103">
        <f>IF(A1213="","",TEXT(batches!D204,"yyyy-mm-dd")&amp;" to "&amp;TEXT(batches!E204,"yyyy-mm-dd"))</f>
        <v/>
      </c>
      <c r="C1215" s="101" t="n"/>
      <c r="D1215" s="102" t="n"/>
      <c r="G1215" s="80" t="inlineStr">
        <is>
          <t>Dates</t>
        </is>
      </c>
      <c r="H1215" s="103">
        <f>IF(G1213="","",TEXT(batches!D205,"yyyy-mm-dd")&amp;" to "&amp;TEXT(batches!E205,"yyyy-mm-dd"))</f>
        <v/>
      </c>
      <c r="I1215" s="101" t="n"/>
      <c r="J1215" s="102" t="n"/>
    </row>
    <row r="1216" ht="15.75" customHeight="1" s="84">
      <c r="A1216" s="80" t="inlineStr">
        <is>
          <t>Duration</t>
        </is>
      </c>
      <c r="B1216" s="103">
        <f>IF(OR(batches!D204="",batches!E204=""),"",batches!E204-batches!D204+1&amp;" days")</f>
        <v/>
      </c>
      <c r="C1216" s="101" t="n"/>
      <c r="D1216" s="102" t="n"/>
      <c r="G1216" s="80" t="inlineStr">
        <is>
          <t>Duration</t>
        </is>
      </c>
      <c r="H1216" s="103">
        <f>IF(OR(batches!D205="",batches!E205=""),"",batches!E205-batches!D205+1&amp;" days")</f>
        <v/>
      </c>
      <c r="I1216" s="101" t="n"/>
      <c r="J1216" s="102" t="n"/>
    </row>
    <row r="1217" ht="15.75" customHeight="1" s="84">
      <c r="A1217" s="80" t="inlineStr">
        <is>
          <t>Timing</t>
        </is>
      </c>
      <c r="B1217" s="103">
        <f>IF(A1213="","",batches!F204)</f>
        <v/>
      </c>
      <c r="C1217" s="101" t="n"/>
      <c r="D1217" s="102" t="n"/>
      <c r="G1217" s="80" t="inlineStr">
        <is>
          <t>Timing</t>
        </is>
      </c>
      <c r="H1217" s="103">
        <f>IF(G1213="","",batches!F205)</f>
        <v/>
      </c>
      <c r="I1217" s="101" t="n"/>
      <c r="J1217" s="102" t="n"/>
    </row>
    <row r="1218" ht="15.75" customHeight="1" s="84">
      <c r="A1218" s="80" t="inlineStr">
        <is>
          <t>Capacity</t>
        </is>
      </c>
      <c r="B1218" s="103">
        <f>IF(A1213="","",batches!G204)</f>
        <v/>
      </c>
      <c r="C1218" s="101" t="n"/>
      <c r="D1218" s="102" t="n"/>
      <c r="G1218" s="80" t="inlineStr">
        <is>
          <t>Capacity</t>
        </is>
      </c>
      <c r="H1218" s="103">
        <f>IF(G1213="","",batches!G205)</f>
        <v/>
      </c>
      <c r="I1218" s="101" t="n"/>
      <c r="J1218" s="102" t="n"/>
    </row>
    <row r="1219" ht="15.75" customHeight="1" s="84">
      <c r="A1219" s="80" t="inlineStr">
        <is>
          <t>Enrolled</t>
        </is>
      </c>
      <c r="B1219" s="103">
        <f>IF(A1213="","",COUNTIF(admissions!$M:$M,batches!A204))</f>
        <v/>
      </c>
      <c r="C1219" s="101" t="n"/>
      <c r="D1219" s="102" t="n"/>
      <c r="G1219" s="80" t="inlineStr">
        <is>
          <t>Enrolled</t>
        </is>
      </c>
      <c r="H1219" s="103">
        <f>IF(G1213="","",COUNTIF(admissions!$M:$M,batches!A205))</f>
        <v/>
      </c>
      <c r="I1219" s="101" t="n"/>
      <c r="J1219" s="102" t="n"/>
    </row>
    <row r="1220" ht="15.75" customHeight="1" s="84">
      <c r="A1220" s="80" t="inlineStr">
        <is>
          <t>Available</t>
        </is>
      </c>
      <c r="B1220" s="103">
        <f>IF(OR(batches!A204="",batches!G204=""),"",batches!G204-COUNTIF(admissions!$M:$M,batches!A204))</f>
        <v/>
      </c>
      <c r="C1220" s="101" t="n"/>
      <c r="D1220" s="102" t="n"/>
      <c r="G1220" s="80" t="inlineStr">
        <is>
          <t>Available</t>
        </is>
      </c>
      <c r="H1220" s="103">
        <f>IF(OR(batches!A205="",batches!G205=""),"",batches!G205-COUNTIF(admissions!$M:$M,batches!A205))</f>
        <v/>
      </c>
      <c r="I1220" s="101" t="n"/>
      <c r="J1220" s="102" t="n"/>
    </row>
    <row r="1221" ht="15.75" customHeight="1" s="84">
      <c r="A1221" s="104" t="inlineStr">
        <is>
          <t>Student List</t>
        </is>
      </c>
      <c r="B1221" s="101" t="n"/>
      <c r="C1221" s="101" t="n"/>
      <c r="D1221" s="102" t="n"/>
      <c r="G1221" s="104" t="inlineStr">
        <is>
          <t>Student List</t>
        </is>
      </c>
      <c r="H1221" s="101" t="n"/>
      <c r="I1221" s="101" t="n"/>
      <c r="J1221" s="102" t="n"/>
    </row>
    <row r="1222" ht="15.75" customHeight="1" s="84">
      <c r="A1222" s="105">
        <f>IFERROR(__xludf.DUMMYFUNCTION("IF(batches!A204="""","""",TEXTJOIN(CHAR(10),TRUE,FILTER(admissions!$G$2:$G$78,admissions!$M$2:$M$78=batches!A204,"""")))"),"")</f>
        <v/>
      </c>
      <c r="B1222" s="101" t="n"/>
      <c r="C1222" s="101" t="n"/>
      <c r="D1222" s="102" t="n"/>
      <c r="G1222" s="105">
        <f>IFERROR(__xludf.DUMMYFUNCTION("IF(batches!A205="""","""",TEXTJOIN(CHAR(10),TRUE,FILTER(admissions!$G$2:$G$78,admissions!$M$2:$M$78=batches!A205,"""")))"),"")</f>
        <v/>
      </c>
      <c r="H1222" s="101" t="n"/>
      <c r="I1222" s="101" t="n"/>
      <c r="J1222" s="102" t="n"/>
    </row>
    <row r="1223" ht="15.75" customHeight="1" s="84"/>
    <row r="1224" ht="15.75" customHeight="1" s="84"/>
    <row r="1225" ht="15.75" customHeight="1" s="84">
      <c r="A1225" s="100">
        <f>IF(batches!A206="","",batches!A206)</f>
        <v/>
      </c>
      <c r="B1225" s="101" t="n"/>
      <c r="C1225" s="101" t="n"/>
      <c r="D1225" s="102" t="n"/>
      <c r="G1225" s="100">
        <f>IF(batches!A207="","",batches!A207)</f>
        <v/>
      </c>
      <c r="H1225" s="101" t="n"/>
      <c r="I1225" s="101" t="n"/>
      <c r="J1225" s="102" t="n"/>
    </row>
    <row r="1226" ht="15.75" customHeight="1" s="84">
      <c r="A1226" s="80" t="inlineStr">
        <is>
          <t>Level / Mode</t>
        </is>
      </c>
      <c r="B1226" s="103">
        <f>IF(A1225="","",batches!B206&amp;" / "&amp;batches!C206)</f>
        <v/>
      </c>
      <c r="C1226" s="101" t="n"/>
      <c r="D1226" s="102" t="n"/>
      <c r="G1226" s="80" t="inlineStr">
        <is>
          <t>Level / Mode</t>
        </is>
      </c>
      <c r="H1226" s="103">
        <f>IF(G1225="","",batches!B207&amp;" / "&amp;batches!C207)</f>
        <v/>
      </c>
      <c r="I1226" s="101" t="n"/>
      <c r="J1226" s="102" t="n"/>
    </row>
    <row r="1227" ht="15.75" customHeight="1" s="84">
      <c r="A1227" s="80" t="inlineStr">
        <is>
          <t>Dates</t>
        </is>
      </c>
      <c r="B1227" s="103">
        <f>IF(A1225="","",TEXT(batches!D206,"yyyy-mm-dd")&amp;" to "&amp;TEXT(batches!E206,"yyyy-mm-dd"))</f>
        <v/>
      </c>
      <c r="C1227" s="101" t="n"/>
      <c r="D1227" s="102" t="n"/>
      <c r="G1227" s="80" t="inlineStr">
        <is>
          <t>Dates</t>
        </is>
      </c>
      <c r="H1227" s="103">
        <f>IF(G1225="","",TEXT(batches!D207,"yyyy-mm-dd")&amp;" to "&amp;TEXT(batches!E207,"yyyy-mm-dd"))</f>
        <v/>
      </c>
      <c r="I1227" s="101" t="n"/>
      <c r="J1227" s="102" t="n"/>
    </row>
    <row r="1228" ht="15.75" customHeight="1" s="84">
      <c r="A1228" s="80" t="inlineStr">
        <is>
          <t>Duration</t>
        </is>
      </c>
      <c r="B1228" s="103">
        <f>IF(OR(batches!D206="",batches!E206=""),"",batches!E206-batches!D206+1&amp;" days")</f>
        <v/>
      </c>
      <c r="C1228" s="101" t="n"/>
      <c r="D1228" s="102" t="n"/>
      <c r="G1228" s="80" t="inlineStr">
        <is>
          <t>Duration</t>
        </is>
      </c>
      <c r="H1228" s="103">
        <f>IF(OR(batches!D207="",batches!E207=""),"",batches!E207-batches!D207+1&amp;" days")</f>
        <v/>
      </c>
      <c r="I1228" s="101" t="n"/>
      <c r="J1228" s="102" t="n"/>
    </row>
    <row r="1229" ht="15.75" customHeight="1" s="84">
      <c r="A1229" s="80" t="inlineStr">
        <is>
          <t>Timing</t>
        </is>
      </c>
      <c r="B1229" s="103">
        <f>IF(A1225="","",batches!F206)</f>
        <v/>
      </c>
      <c r="C1229" s="101" t="n"/>
      <c r="D1229" s="102" t="n"/>
      <c r="G1229" s="80" t="inlineStr">
        <is>
          <t>Timing</t>
        </is>
      </c>
      <c r="H1229" s="103">
        <f>IF(G1225="","",batches!F207)</f>
        <v/>
      </c>
      <c r="I1229" s="101" t="n"/>
      <c r="J1229" s="102" t="n"/>
    </row>
    <row r="1230" ht="15.75" customHeight="1" s="84">
      <c r="A1230" s="80" t="inlineStr">
        <is>
          <t>Capacity</t>
        </is>
      </c>
      <c r="B1230" s="103">
        <f>IF(A1225="","",batches!G206)</f>
        <v/>
      </c>
      <c r="C1230" s="101" t="n"/>
      <c r="D1230" s="102" t="n"/>
      <c r="G1230" s="80" t="inlineStr">
        <is>
          <t>Capacity</t>
        </is>
      </c>
      <c r="H1230" s="103">
        <f>IF(G1225="","",batches!G207)</f>
        <v/>
      </c>
      <c r="I1230" s="101" t="n"/>
      <c r="J1230" s="102" t="n"/>
    </row>
    <row r="1231" ht="15.75" customHeight="1" s="84">
      <c r="A1231" s="80" t="inlineStr">
        <is>
          <t>Enrolled</t>
        </is>
      </c>
      <c r="B1231" s="103">
        <f>IF(A1225="","",COUNTIF(admissions!$M:$M,batches!A206))</f>
        <v/>
      </c>
      <c r="C1231" s="101" t="n"/>
      <c r="D1231" s="102" t="n"/>
      <c r="G1231" s="80" t="inlineStr">
        <is>
          <t>Enrolled</t>
        </is>
      </c>
      <c r="H1231" s="103">
        <f>IF(G1225="","",COUNTIF(admissions!$M:$M,batches!A207))</f>
        <v/>
      </c>
      <c r="I1231" s="101" t="n"/>
      <c r="J1231" s="102" t="n"/>
    </row>
    <row r="1232" ht="15.75" customHeight="1" s="84">
      <c r="A1232" s="80" t="inlineStr">
        <is>
          <t>Available</t>
        </is>
      </c>
      <c r="B1232" s="103">
        <f>IF(OR(batches!A206="",batches!G206=""),"",batches!G206-COUNTIF(admissions!$M:$M,batches!A206))</f>
        <v/>
      </c>
      <c r="C1232" s="101" t="n"/>
      <c r="D1232" s="102" t="n"/>
      <c r="G1232" s="80" t="inlineStr">
        <is>
          <t>Available</t>
        </is>
      </c>
      <c r="H1232" s="103">
        <f>IF(OR(batches!A207="",batches!G207=""),"",batches!G207-COUNTIF(admissions!$M:$M,batches!A207))</f>
        <v/>
      </c>
      <c r="I1232" s="101" t="n"/>
      <c r="J1232" s="102" t="n"/>
    </row>
    <row r="1233" ht="15.75" customHeight="1" s="84">
      <c r="A1233" s="104" t="inlineStr">
        <is>
          <t>Student List</t>
        </is>
      </c>
      <c r="B1233" s="101" t="n"/>
      <c r="C1233" s="101" t="n"/>
      <c r="D1233" s="102" t="n"/>
      <c r="G1233" s="104" t="inlineStr">
        <is>
          <t>Student List</t>
        </is>
      </c>
      <c r="H1233" s="101" t="n"/>
      <c r="I1233" s="101" t="n"/>
      <c r="J1233" s="102" t="n"/>
    </row>
    <row r="1234" ht="15.75" customHeight="1" s="84">
      <c r="A1234" s="105">
        <f>IFERROR(__xludf.DUMMYFUNCTION("IF(batches!A206="""","""",TEXTJOIN(CHAR(10),TRUE,FILTER(admissions!$G$2:$G$78,admissions!$M$2:$M$78=batches!A206,"""")))"),"")</f>
        <v/>
      </c>
      <c r="B1234" s="101" t="n"/>
      <c r="C1234" s="101" t="n"/>
      <c r="D1234" s="102" t="n"/>
      <c r="G1234" s="105">
        <f>IFERROR(__xludf.DUMMYFUNCTION("IF(batches!A207="""","""",TEXTJOIN(CHAR(10),TRUE,FILTER(admissions!$G$2:$G$78,admissions!$M$2:$M$78=batches!A207,"""")))"),"")</f>
        <v/>
      </c>
      <c r="H1234" s="101" t="n"/>
      <c r="I1234" s="101" t="n"/>
      <c r="J1234" s="102" t="n"/>
    </row>
    <row r="1235" ht="15.75" customHeight="1" s="84"/>
    <row r="1236" ht="15.75" customHeight="1" s="84"/>
    <row r="1237" ht="15.75" customHeight="1" s="84">
      <c r="A1237" s="100">
        <f>IF(batches!A208="","",batches!A208)</f>
        <v/>
      </c>
      <c r="B1237" s="101" t="n"/>
      <c r="C1237" s="101" t="n"/>
      <c r="D1237" s="102" t="n"/>
      <c r="G1237" s="100">
        <f>IF(batches!A209="","",batches!A209)</f>
        <v/>
      </c>
      <c r="H1237" s="101" t="n"/>
      <c r="I1237" s="101" t="n"/>
      <c r="J1237" s="102" t="n"/>
    </row>
    <row r="1238" ht="15.75" customHeight="1" s="84">
      <c r="A1238" s="80" t="inlineStr">
        <is>
          <t>Level / Mode</t>
        </is>
      </c>
      <c r="B1238" s="103">
        <f>IF(A1237="","",batches!B208&amp;" / "&amp;batches!C208)</f>
        <v/>
      </c>
      <c r="C1238" s="101" t="n"/>
      <c r="D1238" s="102" t="n"/>
      <c r="G1238" s="80" t="inlineStr">
        <is>
          <t>Level / Mode</t>
        </is>
      </c>
      <c r="H1238" s="103">
        <f>IF(G1237="","",batches!B209&amp;" / "&amp;batches!C209)</f>
        <v/>
      </c>
      <c r="I1238" s="101" t="n"/>
      <c r="J1238" s="102" t="n"/>
    </row>
    <row r="1239" ht="15.75" customHeight="1" s="84">
      <c r="A1239" s="80" t="inlineStr">
        <is>
          <t>Dates</t>
        </is>
      </c>
      <c r="B1239" s="103">
        <f>IF(A1237="","",TEXT(batches!D208,"yyyy-mm-dd")&amp;" to "&amp;TEXT(batches!E208,"yyyy-mm-dd"))</f>
        <v/>
      </c>
      <c r="C1239" s="101" t="n"/>
      <c r="D1239" s="102" t="n"/>
      <c r="G1239" s="80" t="inlineStr">
        <is>
          <t>Dates</t>
        </is>
      </c>
      <c r="H1239" s="103">
        <f>IF(G1237="","",TEXT(batches!D209,"yyyy-mm-dd")&amp;" to "&amp;TEXT(batches!E209,"yyyy-mm-dd"))</f>
        <v/>
      </c>
      <c r="I1239" s="101" t="n"/>
      <c r="J1239" s="102" t="n"/>
    </row>
    <row r="1240" ht="15.75" customHeight="1" s="84">
      <c r="A1240" s="80" t="inlineStr">
        <is>
          <t>Duration</t>
        </is>
      </c>
      <c r="B1240" s="103">
        <f>IF(OR(batches!D208="",batches!E208=""),"",batches!E208-batches!D208+1&amp;" days")</f>
        <v/>
      </c>
      <c r="C1240" s="101" t="n"/>
      <c r="D1240" s="102" t="n"/>
      <c r="G1240" s="80" t="inlineStr">
        <is>
          <t>Duration</t>
        </is>
      </c>
      <c r="H1240" s="103">
        <f>IF(OR(batches!D209="",batches!E209=""),"",batches!E209-batches!D209+1&amp;" days")</f>
        <v/>
      </c>
      <c r="I1240" s="101" t="n"/>
      <c r="J1240" s="102" t="n"/>
    </row>
    <row r="1241" ht="15.75" customHeight="1" s="84">
      <c r="A1241" s="80" t="inlineStr">
        <is>
          <t>Timing</t>
        </is>
      </c>
      <c r="B1241" s="103">
        <f>IF(A1237="","",batches!F208)</f>
        <v/>
      </c>
      <c r="C1241" s="101" t="n"/>
      <c r="D1241" s="102" t="n"/>
      <c r="G1241" s="80" t="inlineStr">
        <is>
          <t>Timing</t>
        </is>
      </c>
      <c r="H1241" s="103">
        <f>IF(G1237="","",batches!F209)</f>
        <v/>
      </c>
      <c r="I1241" s="101" t="n"/>
      <c r="J1241" s="102" t="n"/>
    </row>
    <row r="1242" ht="15.75" customHeight="1" s="84">
      <c r="A1242" s="80" t="inlineStr">
        <is>
          <t>Capacity</t>
        </is>
      </c>
      <c r="B1242" s="103">
        <f>IF(A1237="","",batches!G208)</f>
        <v/>
      </c>
      <c r="C1242" s="101" t="n"/>
      <c r="D1242" s="102" t="n"/>
      <c r="G1242" s="80" t="inlineStr">
        <is>
          <t>Capacity</t>
        </is>
      </c>
      <c r="H1242" s="103">
        <f>IF(G1237="","",batches!G209)</f>
        <v/>
      </c>
      <c r="I1242" s="101" t="n"/>
      <c r="J1242" s="102" t="n"/>
    </row>
    <row r="1243" ht="15.75" customHeight="1" s="84">
      <c r="A1243" s="80" t="inlineStr">
        <is>
          <t>Enrolled</t>
        </is>
      </c>
      <c r="B1243" s="103">
        <f>IF(A1237="","",COUNTIF(admissions!$M:$M,batches!A208))</f>
        <v/>
      </c>
      <c r="C1243" s="101" t="n"/>
      <c r="D1243" s="102" t="n"/>
      <c r="G1243" s="80" t="inlineStr">
        <is>
          <t>Enrolled</t>
        </is>
      </c>
      <c r="H1243" s="103">
        <f>IF(G1237="","",COUNTIF(admissions!$M:$M,batches!A209))</f>
        <v/>
      </c>
      <c r="I1243" s="101" t="n"/>
      <c r="J1243" s="102" t="n"/>
    </row>
    <row r="1244" ht="15.75" customHeight="1" s="84">
      <c r="A1244" s="80" t="inlineStr">
        <is>
          <t>Available</t>
        </is>
      </c>
      <c r="B1244" s="103">
        <f>IF(OR(batches!A208="",batches!G208=""),"",batches!G208-COUNTIF(admissions!$M:$M,batches!A208))</f>
        <v/>
      </c>
      <c r="C1244" s="101" t="n"/>
      <c r="D1244" s="102" t="n"/>
      <c r="G1244" s="80" t="inlineStr">
        <is>
          <t>Available</t>
        </is>
      </c>
      <c r="H1244" s="103">
        <f>IF(OR(batches!A209="",batches!G209=""),"",batches!G209-COUNTIF(admissions!$M:$M,batches!A209))</f>
        <v/>
      </c>
      <c r="I1244" s="101" t="n"/>
      <c r="J1244" s="102" t="n"/>
    </row>
    <row r="1245" ht="15.75" customHeight="1" s="84">
      <c r="A1245" s="104" t="inlineStr">
        <is>
          <t>Student List</t>
        </is>
      </c>
      <c r="B1245" s="101" t="n"/>
      <c r="C1245" s="101" t="n"/>
      <c r="D1245" s="102" t="n"/>
      <c r="G1245" s="104" t="inlineStr">
        <is>
          <t>Student List</t>
        </is>
      </c>
      <c r="H1245" s="101" t="n"/>
      <c r="I1245" s="101" t="n"/>
      <c r="J1245" s="102" t="n"/>
    </row>
    <row r="1246" ht="15.75" customHeight="1" s="84">
      <c r="A1246" s="105">
        <f>IFERROR(__xludf.DUMMYFUNCTION("IF(batches!A208="""","""",TEXTJOIN(CHAR(10),TRUE,FILTER(admissions!$G$2:$G$78,admissions!$M$2:$M$78=batches!A208,"""")))"),"")</f>
        <v/>
      </c>
      <c r="B1246" s="101" t="n"/>
      <c r="C1246" s="101" t="n"/>
      <c r="D1246" s="102" t="n"/>
      <c r="G1246" s="105">
        <f>IFERROR(__xludf.DUMMYFUNCTION("IF(batches!A209="""","""",TEXTJOIN(CHAR(10),TRUE,FILTER(admissions!$G$2:$G$78,admissions!$M$2:$M$78=batches!A209,"""")))"),"")</f>
        <v/>
      </c>
      <c r="H1246" s="101" t="n"/>
      <c r="I1246" s="101" t="n"/>
      <c r="J1246" s="102" t="n"/>
    </row>
    <row r="1247" ht="15.75" customHeight="1" s="84"/>
    <row r="1248" ht="15.75" customHeight="1" s="84"/>
    <row r="1249" ht="15.75" customHeight="1" s="84">
      <c r="A1249" s="100">
        <f>IF(batches!A210="","",batches!A210)</f>
        <v/>
      </c>
      <c r="B1249" s="101" t="n"/>
      <c r="C1249" s="101" t="n"/>
      <c r="D1249" s="102" t="n"/>
      <c r="G1249" s="100">
        <f>IF(batches!A211="","",batches!A211)</f>
        <v/>
      </c>
      <c r="H1249" s="101" t="n"/>
      <c r="I1249" s="101" t="n"/>
      <c r="J1249" s="102" t="n"/>
    </row>
    <row r="1250" ht="15.75" customHeight="1" s="84">
      <c r="A1250" s="80" t="inlineStr">
        <is>
          <t>Level / Mode</t>
        </is>
      </c>
      <c r="B1250" s="103">
        <f>IF(A1249="","",batches!B210&amp;" / "&amp;batches!C210)</f>
        <v/>
      </c>
      <c r="C1250" s="101" t="n"/>
      <c r="D1250" s="102" t="n"/>
      <c r="G1250" s="80" t="inlineStr">
        <is>
          <t>Level / Mode</t>
        </is>
      </c>
      <c r="H1250" s="103">
        <f>IF(G1249="","",batches!B211&amp;" / "&amp;batches!C211)</f>
        <v/>
      </c>
      <c r="I1250" s="101" t="n"/>
      <c r="J1250" s="102" t="n"/>
    </row>
    <row r="1251" ht="15.75" customHeight="1" s="84">
      <c r="A1251" s="80" t="inlineStr">
        <is>
          <t>Dates</t>
        </is>
      </c>
      <c r="B1251" s="103">
        <f>IF(A1249="","",TEXT(batches!D210,"yyyy-mm-dd")&amp;" to "&amp;TEXT(batches!E210,"yyyy-mm-dd"))</f>
        <v/>
      </c>
      <c r="C1251" s="101" t="n"/>
      <c r="D1251" s="102" t="n"/>
      <c r="G1251" s="80" t="inlineStr">
        <is>
          <t>Dates</t>
        </is>
      </c>
      <c r="H1251" s="103">
        <f>IF(G1249="","",TEXT(batches!D211,"yyyy-mm-dd")&amp;" to "&amp;TEXT(batches!E211,"yyyy-mm-dd"))</f>
        <v/>
      </c>
      <c r="I1251" s="101" t="n"/>
      <c r="J1251" s="102" t="n"/>
    </row>
    <row r="1252" ht="15.75" customHeight="1" s="84">
      <c r="A1252" s="80" t="inlineStr">
        <is>
          <t>Duration</t>
        </is>
      </c>
      <c r="B1252" s="103">
        <f>IF(OR(batches!D210="",batches!E210=""),"",batches!E210-batches!D210+1&amp;" days")</f>
        <v/>
      </c>
      <c r="C1252" s="101" t="n"/>
      <c r="D1252" s="102" t="n"/>
      <c r="G1252" s="80" t="inlineStr">
        <is>
          <t>Duration</t>
        </is>
      </c>
      <c r="H1252" s="103">
        <f>IF(OR(batches!D211="",batches!E211=""),"",batches!E211-batches!D211+1&amp;" days")</f>
        <v/>
      </c>
      <c r="I1252" s="101" t="n"/>
      <c r="J1252" s="102" t="n"/>
    </row>
    <row r="1253" ht="15.75" customHeight="1" s="84">
      <c r="A1253" s="80" t="inlineStr">
        <is>
          <t>Timing</t>
        </is>
      </c>
      <c r="B1253" s="103">
        <f>IF(A1249="","",batches!F210)</f>
        <v/>
      </c>
      <c r="C1253" s="101" t="n"/>
      <c r="D1253" s="102" t="n"/>
      <c r="G1253" s="80" t="inlineStr">
        <is>
          <t>Timing</t>
        </is>
      </c>
      <c r="H1253" s="103">
        <f>IF(G1249="","",batches!F211)</f>
        <v/>
      </c>
      <c r="I1253" s="101" t="n"/>
      <c r="J1253" s="102" t="n"/>
    </row>
    <row r="1254" ht="15.75" customHeight="1" s="84">
      <c r="A1254" s="80" t="inlineStr">
        <is>
          <t>Capacity</t>
        </is>
      </c>
      <c r="B1254" s="103">
        <f>IF(A1249="","",batches!G210)</f>
        <v/>
      </c>
      <c r="C1254" s="101" t="n"/>
      <c r="D1254" s="102" t="n"/>
      <c r="G1254" s="80" t="inlineStr">
        <is>
          <t>Capacity</t>
        </is>
      </c>
      <c r="H1254" s="103">
        <f>IF(G1249="","",batches!G211)</f>
        <v/>
      </c>
      <c r="I1254" s="101" t="n"/>
      <c r="J1254" s="102" t="n"/>
    </row>
    <row r="1255" ht="15.75" customHeight="1" s="84">
      <c r="A1255" s="80" t="inlineStr">
        <is>
          <t>Enrolled</t>
        </is>
      </c>
      <c r="B1255" s="103">
        <f>IF(A1249="","",COUNTIF(admissions!$M:$M,batches!A210))</f>
        <v/>
      </c>
      <c r="C1255" s="101" t="n"/>
      <c r="D1255" s="102" t="n"/>
      <c r="G1255" s="80" t="inlineStr">
        <is>
          <t>Enrolled</t>
        </is>
      </c>
      <c r="H1255" s="103">
        <f>IF(G1249="","",COUNTIF(admissions!$M:$M,batches!A211))</f>
        <v/>
      </c>
      <c r="I1255" s="101" t="n"/>
      <c r="J1255" s="102" t="n"/>
    </row>
    <row r="1256" ht="15.75" customHeight="1" s="84">
      <c r="A1256" s="80" t="inlineStr">
        <is>
          <t>Available</t>
        </is>
      </c>
      <c r="B1256" s="103">
        <f>IF(OR(batches!A210="",batches!G210=""),"",batches!G210-COUNTIF(admissions!$M:$M,batches!A210))</f>
        <v/>
      </c>
      <c r="C1256" s="101" t="n"/>
      <c r="D1256" s="102" t="n"/>
      <c r="G1256" s="80" t="inlineStr">
        <is>
          <t>Available</t>
        </is>
      </c>
      <c r="H1256" s="103">
        <f>IF(OR(batches!A211="",batches!G211=""),"",batches!G211-COUNTIF(admissions!$M:$M,batches!A211))</f>
        <v/>
      </c>
      <c r="I1256" s="101" t="n"/>
      <c r="J1256" s="102" t="n"/>
    </row>
    <row r="1257" ht="15.75" customHeight="1" s="84">
      <c r="A1257" s="104" t="inlineStr">
        <is>
          <t>Student List</t>
        </is>
      </c>
      <c r="B1257" s="101" t="n"/>
      <c r="C1257" s="101" t="n"/>
      <c r="D1257" s="102" t="n"/>
      <c r="G1257" s="104" t="inlineStr">
        <is>
          <t>Student List</t>
        </is>
      </c>
      <c r="H1257" s="101" t="n"/>
      <c r="I1257" s="101" t="n"/>
      <c r="J1257" s="102" t="n"/>
    </row>
    <row r="1258" ht="15.75" customHeight="1" s="84">
      <c r="A1258" s="105">
        <f>IFERROR(__xludf.DUMMYFUNCTION("IF(batches!A210="""","""",TEXTJOIN(CHAR(10),TRUE,FILTER(admissions!$G$2:$G$78,admissions!$M$2:$M$78=batches!A210,"""")))"),"")</f>
        <v/>
      </c>
      <c r="B1258" s="101" t="n"/>
      <c r="C1258" s="101" t="n"/>
      <c r="D1258" s="102" t="n"/>
      <c r="G1258" s="105">
        <f>IFERROR(__xludf.DUMMYFUNCTION("IF(batches!A211="""","""",TEXTJOIN(CHAR(10),TRUE,FILTER(admissions!$G$2:$G$78,admissions!$M$2:$M$78=batches!A211,"""")))"),"")</f>
        <v/>
      </c>
      <c r="H1258" s="101" t="n"/>
      <c r="I1258" s="101" t="n"/>
      <c r="J1258" s="102" t="n"/>
    </row>
    <row r="1259" ht="15.75" customHeight="1" s="84"/>
    <row r="1260" ht="15.75" customHeight="1" s="84"/>
    <row r="1261" ht="15.75" customHeight="1" s="84">
      <c r="A1261" s="100">
        <f>IF(batches!A212="","",batches!A212)</f>
        <v/>
      </c>
      <c r="B1261" s="101" t="n"/>
      <c r="C1261" s="101" t="n"/>
      <c r="D1261" s="102" t="n"/>
      <c r="G1261" s="100">
        <f>IF(batches!A213="","",batches!A213)</f>
        <v/>
      </c>
      <c r="H1261" s="101" t="n"/>
      <c r="I1261" s="101" t="n"/>
      <c r="J1261" s="102" t="n"/>
    </row>
    <row r="1262" ht="15.75" customHeight="1" s="84">
      <c r="A1262" s="80" t="inlineStr">
        <is>
          <t>Level / Mode</t>
        </is>
      </c>
      <c r="B1262" s="103">
        <f>IF(A1261="","",batches!B212&amp;" / "&amp;batches!C212)</f>
        <v/>
      </c>
      <c r="C1262" s="101" t="n"/>
      <c r="D1262" s="102" t="n"/>
      <c r="G1262" s="80" t="inlineStr">
        <is>
          <t>Level / Mode</t>
        </is>
      </c>
      <c r="H1262" s="103">
        <f>IF(G1261="","",batches!B213&amp;" / "&amp;batches!C213)</f>
        <v/>
      </c>
      <c r="I1262" s="101" t="n"/>
      <c r="J1262" s="102" t="n"/>
    </row>
    <row r="1263" ht="15.75" customHeight="1" s="84">
      <c r="A1263" s="80" t="inlineStr">
        <is>
          <t>Dates</t>
        </is>
      </c>
      <c r="B1263" s="103">
        <f>IF(A1261="","",TEXT(batches!D212,"yyyy-mm-dd")&amp;" to "&amp;TEXT(batches!E212,"yyyy-mm-dd"))</f>
        <v/>
      </c>
      <c r="C1263" s="101" t="n"/>
      <c r="D1263" s="102" t="n"/>
      <c r="G1263" s="80" t="inlineStr">
        <is>
          <t>Dates</t>
        </is>
      </c>
      <c r="H1263" s="103">
        <f>IF(G1261="","",TEXT(batches!D213,"yyyy-mm-dd")&amp;" to "&amp;TEXT(batches!E213,"yyyy-mm-dd"))</f>
        <v/>
      </c>
      <c r="I1263" s="101" t="n"/>
      <c r="J1263" s="102" t="n"/>
    </row>
    <row r="1264" ht="15.75" customHeight="1" s="84">
      <c r="A1264" s="80" t="inlineStr">
        <is>
          <t>Duration</t>
        </is>
      </c>
      <c r="B1264" s="103">
        <f>IF(OR(batches!D212="",batches!E212=""),"",batches!E212-batches!D212+1&amp;" days")</f>
        <v/>
      </c>
      <c r="C1264" s="101" t="n"/>
      <c r="D1264" s="102" t="n"/>
      <c r="G1264" s="80" t="inlineStr">
        <is>
          <t>Duration</t>
        </is>
      </c>
      <c r="H1264" s="103">
        <f>IF(OR(batches!D213="",batches!E213=""),"",batches!E213-batches!D213+1&amp;" days")</f>
        <v/>
      </c>
      <c r="I1264" s="101" t="n"/>
      <c r="J1264" s="102" t="n"/>
    </row>
    <row r="1265" ht="15.75" customHeight="1" s="84">
      <c r="A1265" s="80" t="inlineStr">
        <is>
          <t>Timing</t>
        </is>
      </c>
      <c r="B1265" s="103">
        <f>IF(A1261="","",batches!F212)</f>
        <v/>
      </c>
      <c r="C1265" s="101" t="n"/>
      <c r="D1265" s="102" t="n"/>
      <c r="G1265" s="80" t="inlineStr">
        <is>
          <t>Timing</t>
        </is>
      </c>
      <c r="H1265" s="103">
        <f>IF(G1261="","",batches!F213)</f>
        <v/>
      </c>
      <c r="I1265" s="101" t="n"/>
      <c r="J1265" s="102" t="n"/>
    </row>
    <row r="1266" ht="15.75" customHeight="1" s="84">
      <c r="A1266" s="80" t="inlineStr">
        <is>
          <t>Capacity</t>
        </is>
      </c>
      <c r="B1266" s="103">
        <f>IF(A1261="","",batches!G212)</f>
        <v/>
      </c>
      <c r="C1266" s="101" t="n"/>
      <c r="D1266" s="102" t="n"/>
      <c r="G1266" s="80" t="inlineStr">
        <is>
          <t>Capacity</t>
        </is>
      </c>
      <c r="H1266" s="103">
        <f>IF(G1261="","",batches!G213)</f>
        <v/>
      </c>
      <c r="I1266" s="101" t="n"/>
      <c r="J1266" s="102" t="n"/>
    </row>
    <row r="1267" ht="15.75" customHeight="1" s="84">
      <c r="A1267" s="80" t="inlineStr">
        <is>
          <t>Enrolled</t>
        </is>
      </c>
      <c r="B1267" s="103">
        <f>IF(A1261="","",COUNTIF(admissions!$M:$M,batches!A212))</f>
        <v/>
      </c>
      <c r="C1267" s="101" t="n"/>
      <c r="D1267" s="102" t="n"/>
      <c r="G1267" s="80" t="inlineStr">
        <is>
          <t>Enrolled</t>
        </is>
      </c>
      <c r="H1267" s="103">
        <f>IF(G1261="","",COUNTIF(admissions!$M:$M,batches!A213))</f>
        <v/>
      </c>
      <c r="I1267" s="101" t="n"/>
      <c r="J1267" s="102" t="n"/>
    </row>
    <row r="1268" ht="15.75" customHeight="1" s="84">
      <c r="A1268" s="80" t="inlineStr">
        <is>
          <t>Available</t>
        </is>
      </c>
      <c r="B1268" s="103">
        <f>IF(OR(batches!A212="",batches!G212=""),"",batches!G212-COUNTIF(admissions!$M:$M,batches!A212))</f>
        <v/>
      </c>
      <c r="C1268" s="101" t="n"/>
      <c r="D1268" s="102" t="n"/>
      <c r="G1268" s="80" t="inlineStr">
        <is>
          <t>Available</t>
        </is>
      </c>
      <c r="H1268" s="103">
        <f>IF(OR(batches!A213="",batches!G213=""),"",batches!G213-COUNTIF(admissions!$M:$M,batches!A213))</f>
        <v/>
      </c>
      <c r="I1268" s="101" t="n"/>
      <c r="J1268" s="102" t="n"/>
    </row>
    <row r="1269" ht="15.75" customHeight="1" s="84">
      <c r="A1269" s="104" t="inlineStr">
        <is>
          <t>Student List</t>
        </is>
      </c>
      <c r="B1269" s="101" t="n"/>
      <c r="C1269" s="101" t="n"/>
      <c r="D1269" s="102" t="n"/>
      <c r="G1269" s="104" t="inlineStr">
        <is>
          <t>Student List</t>
        </is>
      </c>
      <c r="H1269" s="101" t="n"/>
      <c r="I1269" s="101" t="n"/>
      <c r="J1269" s="102" t="n"/>
    </row>
    <row r="1270" ht="15.75" customHeight="1" s="84">
      <c r="A1270" s="105">
        <f>IFERROR(__xludf.DUMMYFUNCTION("IF(batches!A212="""","""",TEXTJOIN(CHAR(10),TRUE,FILTER(admissions!$G$2:$G$78,admissions!$M$2:$M$78=batches!A212,"""")))"),"")</f>
        <v/>
      </c>
      <c r="B1270" s="101" t="n"/>
      <c r="C1270" s="101" t="n"/>
      <c r="D1270" s="102" t="n"/>
      <c r="G1270" s="105">
        <f>IFERROR(__xludf.DUMMYFUNCTION("IF(batches!A213="""","""",TEXTJOIN(CHAR(10),TRUE,FILTER(admissions!$G$2:$G$78,admissions!$M$2:$M$78=batches!A213,"""")))"),"")</f>
        <v/>
      </c>
      <c r="H1270" s="101" t="n"/>
      <c r="I1270" s="101" t="n"/>
      <c r="J1270" s="102" t="n"/>
    </row>
    <row r="1271" ht="15.75" customHeight="1" s="84"/>
    <row r="1272" ht="15.75" customHeight="1" s="84"/>
    <row r="1273" ht="15.75" customHeight="1" s="84">
      <c r="A1273" s="100">
        <f>IF(batches!A214="","",batches!A214)</f>
        <v/>
      </c>
      <c r="B1273" s="101" t="n"/>
      <c r="C1273" s="101" t="n"/>
      <c r="D1273" s="102" t="n"/>
      <c r="G1273" s="100">
        <f>IF(batches!A215="","",batches!A215)</f>
        <v/>
      </c>
      <c r="H1273" s="101" t="n"/>
      <c r="I1273" s="101" t="n"/>
      <c r="J1273" s="102" t="n"/>
    </row>
    <row r="1274" ht="15.75" customHeight="1" s="84">
      <c r="A1274" s="80" t="inlineStr">
        <is>
          <t>Level / Mode</t>
        </is>
      </c>
      <c r="B1274" s="103">
        <f>IF(A1273="","",batches!B214&amp;" / "&amp;batches!C214)</f>
        <v/>
      </c>
      <c r="C1274" s="101" t="n"/>
      <c r="D1274" s="102" t="n"/>
      <c r="G1274" s="80" t="inlineStr">
        <is>
          <t>Level / Mode</t>
        </is>
      </c>
      <c r="H1274" s="103">
        <f>IF(G1273="","",batches!B215&amp;" / "&amp;batches!C215)</f>
        <v/>
      </c>
      <c r="I1274" s="101" t="n"/>
      <c r="J1274" s="102" t="n"/>
    </row>
    <row r="1275" ht="15.75" customHeight="1" s="84">
      <c r="A1275" s="80" t="inlineStr">
        <is>
          <t>Dates</t>
        </is>
      </c>
      <c r="B1275" s="103">
        <f>IF(A1273="","",TEXT(batches!D214,"yyyy-mm-dd")&amp;" to "&amp;TEXT(batches!E214,"yyyy-mm-dd"))</f>
        <v/>
      </c>
      <c r="C1275" s="101" t="n"/>
      <c r="D1275" s="102" t="n"/>
      <c r="G1275" s="80" t="inlineStr">
        <is>
          <t>Dates</t>
        </is>
      </c>
      <c r="H1275" s="103">
        <f>IF(G1273="","",TEXT(batches!D215,"yyyy-mm-dd")&amp;" to "&amp;TEXT(batches!E215,"yyyy-mm-dd"))</f>
        <v/>
      </c>
      <c r="I1275" s="101" t="n"/>
      <c r="J1275" s="102" t="n"/>
    </row>
    <row r="1276" ht="15.75" customHeight="1" s="84">
      <c r="A1276" s="80" t="inlineStr">
        <is>
          <t>Duration</t>
        </is>
      </c>
      <c r="B1276" s="103">
        <f>IF(OR(batches!D214="",batches!E214=""),"",batches!E214-batches!D214+1&amp;" days")</f>
        <v/>
      </c>
      <c r="C1276" s="101" t="n"/>
      <c r="D1276" s="102" t="n"/>
      <c r="G1276" s="80" t="inlineStr">
        <is>
          <t>Duration</t>
        </is>
      </c>
      <c r="H1276" s="103">
        <f>IF(OR(batches!D215="",batches!E215=""),"",batches!E215-batches!D215+1&amp;" days")</f>
        <v/>
      </c>
      <c r="I1276" s="101" t="n"/>
      <c r="J1276" s="102" t="n"/>
    </row>
    <row r="1277" ht="15.75" customHeight="1" s="84">
      <c r="A1277" s="80" t="inlineStr">
        <is>
          <t>Timing</t>
        </is>
      </c>
      <c r="B1277" s="103">
        <f>IF(A1273="","",batches!F214)</f>
        <v/>
      </c>
      <c r="C1277" s="101" t="n"/>
      <c r="D1277" s="102" t="n"/>
      <c r="G1277" s="80" t="inlineStr">
        <is>
          <t>Timing</t>
        </is>
      </c>
      <c r="H1277" s="103">
        <f>IF(G1273="","",batches!F215)</f>
        <v/>
      </c>
      <c r="I1277" s="101" t="n"/>
      <c r="J1277" s="102" t="n"/>
    </row>
    <row r="1278" ht="15.75" customHeight="1" s="84">
      <c r="A1278" s="80" t="inlineStr">
        <is>
          <t>Capacity</t>
        </is>
      </c>
      <c r="B1278" s="103">
        <f>IF(A1273="","",batches!G214)</f>
        <v/>
      </c>
      <c r="C1278" s="101" t="n"/>
      <c r="D1278" s="102" t="n"/>
      <c r="G1278" s="80" t="inlineStr">
        <is>
          <t>Capacity</t>
        </is>
      </c>
      <c r="H1278" s="103">
        <f>IF(G1273="","",batches!G215)</f>
        <v/>
      </c>
      <c r="I1278" s="101" t="n"/>
      <c r="J1278" s="102" t="n"/>
    </row>
    <row r="1279" ht="15.75" customHeight="1" s="84">
      <c r="A1279" s="80" t="inlineStr">
        <is>
          <t>Enrolled</t>
        </is>
      </c>
      <c r="B1279" s="103">
        <f>IF(A1273="","",COUNTIF(admissions!$M:$M,batches!A214))</f>
        <v/>
      </c>
      <c r="C1279" s="101" t="n"/>
      <c r="D1279" s="102" t="n"/>
      <c r="G1279" s="80" t="inlineStr">
        <is>
          <t>Enrolled</t>
        </is>
      </c>
      <c r="H1279" s="103">
        <f>IF(G1273="","",COUNTIF(admissions!$M:$M,batches!A215))</f>
        <v/>
      </c>
      <c r="I1279" s="101" t="n"/>
      <c r="J1279" s="102" t="n"/>
    </row>
    <row r="1280" ht="15.75" customHeight="1" s="84">
      <c r="A1280" s="80" t="inlineStr">
        <is>
          <t>Available</t>
        </is>
      </c>
      <c r="B1280" s="103">
        <f>IF(OR(batches!A214="",batches!G214=""),"",batches!G214-COUNTIF(admissions!$M:$M,batches!A214))</f>
        <v/>
      </c>
      <c r="C1280" s="101" t="n"/>
      <c r="D1280" s="102" t="n"/>
      <c r="G1280" s="80" t="inlineStr">
        <is>
          <t>Available</t>
        </is>
      </c>
      <c r="H1280" s="103">
        <f>IF(OR(batches!A215="",batches!G215=""),"",batches!G215-COUNTIF(admissions!$M:$M,batches!A215))</f>
        <v/>
      </c>
      <c r="I1280" s="101" t="n"/>
      <c r="J1280" s="102" t="n"/>
    </row>
    <row r="1281" ht="15.75" customHeight="1" s="84">
      <c r="A1281" s="104" t="inlineStr">
        <is>
          <t>Student List</t>
        </is>
      </c>
      <c r="B1281" s="101" t="n"/>
      <c r="C1281" s="101" t="n"/>
      <c r="D1281" s="102" t="n"/>
      <c r="G1281" s="104" t="inlineStr">
        <is>
          <t>Student List</t>
        </is>
      </c>
      <c r="H1281" s="101" t="n"/>
      <c r="I1281" s="101" t="n"/>
      <c r="J1281" s="102" t="n"/>
    </row>
    <row r="1282" ht="15.75" customHeight="1" s="84">
      <c r="A1282" s="105">
        <f>IFERROR(__xludf.DUMMYFUNCTION("IF(batches!A214="""","""",TEXTJOIN(CHAR(10),TRUE,FILTER(admissions!$G$2:$G$78,admissions!$M$2:$M$78=batches!A214,"""")))"),"")</f>
        <v/>
      </c>
      <c r="B1282" s="101" t="n"/>
      <c r="C1282" s="101" t="n"/>
      <c r="D1282" s="102" t="n"/>
      <c r="G1282" s="105">
        <f>IFERROR(__xludf.DUMMYFUNCTION("IF(batches!A215="""","""",TEXTJOIN(CHAR(10),TRUE,FILTER(admissions!$G$2:$G$78,admissions!$M$2:$M$78=batches!A215,"""")))"),"")</f>
        <v/>
      </c>
      <c r="H1282" s="101" t="n"/>
      <c r="I1282" s="101" t="n"/>
      <c r="J1282" s="102" t="n"/>
    </row>
    <row r="1283" ht="15.75" customHeight="1" s="84"/>
    <row r="1284" ht="15.75" customHeight="1" s="84"/>
    <row r="1285" ht="15.75" customHeight="1" s="84">
      <c r="A1285" s="100">
        <f>IF(batches!A216="","",batches!A216)</f>
        <v/>
      </c>
      <c r="B1285" s="101" t="n"/>
      <c r="C1285" s="101" t="n"/>
      <c r="D1285" s="102" t="n"/>
      <c r="G1285" s="100">
        <f>IF(batches!A217="","",batches!A217)</f>
        <v/>
      </c>
      <c r="H1285" s="101" t="n"/>
      <c r="I1285" s="101" t="n"/>
      <c r="J1285" s="102" t="n"/>
    </row>
    <row r="1286" ht="15.75" customHeight="1" s="84">
      <c r="A1286" s="80" t="inlineStr">
        <is>
          <t>Level / Mode</t>
        </is>
      </c>
      <c r="B1286" s="103">
        <f>IF(A1285="","",batches!B216&amp;" / "&amp;batches!C216)</f>
        <v/>
      </c>
      <c r="C1286" s="101" t="n"/>
      <c r="D1286" s="102" t="n"/>
      <c r="G1286" s="80" t="inlineStr">
        <is>
          <t>Level / Mode</t>
        </is>
      </c>
      <c r="H1286" s="103">
        <f>IF(G1285="","",batches!B217&amp;" / "&amp;batches!C217)</f>
        <v/>
      </c>
      <c r="I1286" s="101" t="n"/>
      <c r="J1286" s="102" t="n"/>
    </row>
    <row r="1287" ht="15.75" customHeight="1" s="84">
      <c r="A1287" s="80" t="inlineStr">
        <is>
          <t>Dates</t>
        </is>
      </c>
      <c r="B1287" s="103">
        <f>IF(A1285="","",TEXT(batches!D216,"yyyy-mm-dd")&amp;" to "&amp;TEXT(batches!E216,"yyyy-mm-dd"))</f>
        <v/>
      </c>
      <c r="C1287" s="101" t="n"/>
      <c r="D1287" s="102" t="n"/>
      <c r="G1287" s="80" t="inlineStr">
        <is>
          <t>Dates</t>
        </is>
      </c>
      <c r="H1287" s="103">
        <f>IF(G1285="","",TEXT(batches!D217,"yyyy-mm-dd")&amp;" to "&amp;TEXT(batches!E217,"yyyy-mm-dd"))</f>
        <v/>
      </c>
      <c r="I1287" s="101" t="n"/>
      <c r="J1287" s="102" t="n"/>
    </row>
    <row r="1288" ht="15.75" customHeight="1" s="84">
      <c r="A1288" s="80" t="inlineStr">
        <is>
          <t>Duration</t>
        </is>
      </c>
      <c r="B1288" s="103">
        <f>IF(OR(batches!D216="",batches!E216=""),"",batches!E216-batches!D216+1&amp;" days")</f>
        <v/>
      </c>
      <c r="C1288" s="101" t="n"/>
      <c r="D1288" s="102" t="n"/>
      <c r="G1288" s="80" t="inlineStr">
        <is>
          <t>Duration</t>
        </is>
      </c>
      <c r="H1288" s="103">
        <f>IF(OR(batches!D217="",batches!E217=""),"",batches!E217-batches!D217+1&amp;" days")</f>
        <v/>
      </c>
      <c r="I1288" s="101" t="n"/>
      <c r="J1288" s="102" t="n"/>
    </row>
    <row r="1289" ht="15.75" customHeight="1" s="84">
      <c r="A1289" s="80" t="inlineStr">
        <is>
          <t>Timing</t>
        </is>
      </c>
      <c r="B1289" s="103">
        <f>IF(A1285="","",batches!F216)</f>
        <v/>
      </c>
      <c r="C1289" s="101" t="n"/>
      <c r="D1289" s="102" t="n"/>
      <c r="G1289" s="80" t="inlineStr">
        <is>
          <t>Timing</t>
        </is>
      </c>
      <c r="H1289" s="103">
        <f>IF(G1285="","",batches!F217)</f>
        <v/>
      </c>
      <c r="I1289" s="101" t="n"/>
      <c r="J1289" s="102" t="n"/>
    </row>
    <row r="1290" ht="15.75" customHeight="1" s="84">
      <c r="A1290" s="80" t="inlineStr">
        <is>
          <t>Capacity</t>
        </is>
      </c>
      <c r="B1290" s="103">
        <f>IF(A1285="","",batches!G216)</f>
        <v/>
      </c>
      <c r="C1290" s="101" t="n"/>
      <c r="D1290" s="102" t="n"/>
      <c r="G1290" s="80" t="inlineStr">
        <is>
          <t>Capacity</t>
        </is>
      </c>
      <c r="H1290" s="103">
        <f>IF(G1285="","",batches!G217)</f>
        <v/>
      </c>
      <c r="I1290" s="101" t="n"/>
      <c r="J1290" s="102" t="n"/>
    </row>
    <row r="1291" ht="15.75" customHeight="1" s="84">
      <c r="A1291" s="80" t="inlineStr">
        <is>
          <t>Enrolled</t>
        </is>
      </c>
      <c r="B1291" s="103">
        <f>IF(A1285="","",COUNTIF(admissions!$M:$M,batches!A216))</f>
        <v/>
      </c>
      <c r="C1291" s="101" t="n"/>
      <c r="D1291" s="102" t="n"/>
      <c r="G1291" s="80" t="inlineStr">
        <is>
          <t>Enrolled</t>
        </is>
      </c>
      <c r="H1291" s="103">
        <f>IF(G1285="","",COUNTIF(admissions!$M:$M,batches!A217))</f>
        <v/>
      </c>
      <c r="I1291" s="101" t="n"/>
      <c r="J1291" s="102" t="n"/>
    </row>
    <row r="1292" ht="15.75" customHeight="1" s="84">
      <c r="A1292" s="80" t="inlineStr">
        <is>
          <t>Available</t>
        </is>
      </c>
      <c r="B1292" s="103">
        <f>IF(OR(batches!A216="",batches!G216=""),"",batches!G216-COUNTIF(admissions!$M:$M,batches!A216))</f>
        <v/>
      </c>
      <c r="C1292" s="101" t="n"/>
      <c r="D1292" s="102" t="n"/>
      <c r="G1292" s="80" t="inlineStr">
        <is>
          <t>Available</t>
        </is>
      </c>
      <c r="H1292" s="103">
        <f>IF(OR(batches!A217="",batches!G217=""),"",batches!G217-COUNTIF(admissions!$M:$M,batches!A217))</f>
        <v/>
      </c>
      <c r="I1292" s="101" t="n"/>
      <c r="J1292" s="102" t="n"/>
    </row>
    <row r="1293" ht="15.75" customHeight="1" s="84">
      <c r="A1293" s="104" t="inlineStr">
        <is>
          <t>Student List</t>
        </is>
      </c>
      <c r="B1293" s="101" t="n"/>
      <c r="C1293" s="101" t="n"/>
      <c r="D1293" s="102" t="n"/>
      <c r="G1293" s="104" t="inlineStr">
        <is>
          <t>Student List</t>
        </is>
      </c>
      <c r="H1293" s="101" t="n"/>
      <c r="I1293" s="101" t="n"/>
      <c r="J1293" s="102" t="n"/>
    </row>
    <row r="1294" ht="15.75" customHeight="1" s="84">
      <c r="A1294" s="105">
        <f>IFERROR(__xludf.DUMMYFUNCTION("IF(batches!A216="""","""",TEXTJOIN(CHAR(10),TRUE,FILTER(admissions!$G$2:$G$78,admissions!$M$2:$M$78=batches!A216,"""")))"),"")</f>
        <v/>
      </c>
      <c r="B1294" s="101" t="n"/>
      <c r="C1294" s="101" t="n"/>
      <c r="D1294" s="102" t="n"/>
      <c r="G1294" s="105">
        <f>IFERROR(__xludf.DUMMYFUNCTION("IF(batches!A217="""","""",TEXTJOIN(CHAR(10),TRUE,FILTER(admissions!$G$2:$G$78,admissions!$M$2:$M$78=batches!A217,"""")))"),"")</f>
        <v/>
      </c>
      <c r="H1294" s="101" t="n"/>
      <c r="I1294" s="101" t="n"/>
      <c r="J1294" s="102" t="n"/>
    </row>
    <row r="1295" ht="15.75" customHeight="1" s="84"/>
    <row r="1296" ht="15.75" customHeight="1" s="84"/>
    <row r="1297" ht="15.75" customHeight="1" s="84">
      <c r="A1297" s="100">
        <f>IF(batches!A218="","",batches!A218)</f>
        <v/>
      </c>
      <c r="B1297" s="101" t="n"/>
      <c r="C1297" s="101" t="n"/>
      <c r="D1297" s="102" t="n"/>
      <c r="G1297" s="100">
        <f>IF(batches!A219="","",batches!A219)</f>
        <v/>
      </c>
      <c r="H1297" s="101" t="n"/>
      <c r="I1297" s="101" t="n"/>
      <c r="J1297" s="102" t="n"/>
    </row>
    <row r="1298" ht="15.75" customHeight="1" s="84">
      <c r="A1298" s="80" t="inlineStr">
        <is>
          <t>Level / Mode</t>
        </is>
      </c>
      <c r="B1298" s="103">
        <f>IF(A1297="","",batches!B218&amp;" / "&amp;batches!C218)</f>
        <v/>
      </c>
      <c r="C1298" s="101" t="n"/>
      <c r="D1298" s="102" t="n"/>
      <c r="G1298" s="80" t="inlineStr">
        <is>
          <t>Level / Mode</t>
        </is>
      </c>
      <c r="H1298" s="103">
        <f>IF(G1297="","",batches!B219&amp;" / "&amp;batches!C219)</f>
        <v/>
      </c>
      <c r="I1298" s="101" t="n"/>
      <c r="J1298" s="102" t="n"/>
    </row>
    <row r="1299" ht="15.75" customHeight="1" s="84">
      <c r="A1299" s="80" t="inlineStr">
        <is>
          <t>Dates</t>
        </is>
      </c>
      <c r="B1299" s="103">
        <f>IF(A1297="","",TEXT(batches!D218,"yyyy-mm-dd")&amp;" to "&amp;TEXT(batches!E218,"yyyy-mm-dd"))</f>
        <v/>
      </c>
      <c r="C1299" s="101" t="n"/>
      <c r="D1299" s="102" t="n"/>
      <c r="G1299" s="80" t="inlineStr">
        <is>
          <t>Dates</t>
        </is>
      </c>
      <c r="H1299" s="103">
        <f>IF(G1297="","",TEXT(batches!D219,"yyyy-mm-dd")&amp;" to "&amp;TEXT(batches!E219,"yyyy-mm-dd"))</f>
        <v/>
      </c>
      <c r="I1299" s="101" t="n"/>
      <c r="J1299" s="102" t="n"/>
    </row>
    <row r="1300" ht="15.75" customHeight="1" s="84">
      <c r="A1300" s="80" t="inlineStr">
        <is>
          <t>Duration</t>
        </is>
      </c>
      <c r="B1300" s="103">
        <f>IF(OR(batches!D218="",batches!E218=""),"",batches!E218-batches!D218+1&amp;" days")</f>
        <v/>
      </c>
      <c r="C1300" s="101" t="n"/>
      <c r="D1300" s="102" t="n"/>
      <c r="G1300" s="80" t="inlineStr">
        <is>
          <t>Duration</t>
        </is>
      </c>
      <c r="H1300" s="103">
        <f>IF(OR(batches!D219="",batches!E219=""),"",batches!E219-batches!D219+1&amp;" days")</f>
        <v/>
      </c>
      <c r="I1300" s="101" t="n"/>
      <c r="J1300" s="102" t="n"/>
    </row>
    <row r="1301" ht="15.75" customHeight="1" s="84">
      <c r="A1301" s="80" t="inlineStr">
        <is>
          <t>Timing</t>
        </is>
      </c>
      <c r="B1301" s="103">
        <f>IF(A1297="","",batches!F218)</f>
        <v/>
      </c>
      <c r="C1301" s="101" t="n"/>
      <c r="D1301" s="102" t="n"/>
      <c r="G1301" s="80" t="inlineStr">
        <is>
          <t>Timing</t>
        </is>
      </c>
      <c r="H1301" s="103">
        <f>IF(G1297="","",batches!F219)</f>
        <v/>
      </c>
      <c r="I1301" s="101" t="n"/>
      <c r="J1301" s="102" t="n"/>
    </row>
    <row r="1302" ht="15.75" customHeight="1" s="84">
      <c r="A1302" s="80" t="inlineStr">
        <is>
          <t>Capacity</t>
        </is>
      </c>
      <c r="B1302" s="103">
        <f>IF(A1297="","",batches!G218)</f>
        <v/>
      </c>
      <c r="C1302" s="101" t="n"/>
      <c r="D1302" s="102" t="n"/>
      <c r="G1302" s="80" t="inlineStr">
        <is>
          <t>Capacity</t>
        </is>
      </c>
      <c r="H1302" s="103">
        <f>IF(G1297="","",batches!G219)</f>
        <v/>
      </c>
      <c r="I1302" s="101" t="n"/>
      <c r="J1302" s="102" t="n"/>
    </row>
    <row r="1303" ht="15.75" customHeight="1" s="84">
      <c r="A1303" s="80" t="inlineStr">
        <is>
          <t>Enrolled</t>
        </is>
      </c>
      <c r="B1303" s="103">
        <f>IF(A1297="","",COUNTIF(admissions!$M:$M,batches!A218))</f>
        <v/>
      </c>
      <c r="C1303" s="101" t="n"/>
      <c r="D1303" s="102" t="n"/>
      <c r="G1303" s="80" t="inlineStr">
        <is>
          <t>Enrolled</t>
        </is>
      </c>
      <c r="H1303" s="103">
        <f>IF(G1297="","",COUNTIF(admissions!$M:$M,batches!A219))</f>
        <v/>
      </c>
      <c r="I1303" s="101" t="n"/>
      <c r="J1303" s="102" t="n"/>
    </row>
    <row r="1304" ht="15.75" customHeight="1" s="84">
      <c r="A1304" s="80" t="inlineStr">
        <is>
          <t>Available</t>
        </is>
      </c>
      <c r="B1304" s="103">
        <f>IF(OR(batches!A218="",batches!G218=""),"",batches!G218-COUNTIF(admissions!$M:$M,batches!A218))</f>
        <v/>
      </c>
      <c r="C1304" s="101" t="n"/>
      <c r="D1304" s="102" t="n"/>
      <c r="G1304" s="80" t="inlineStr">
        <is>
          <t>Available</t>
        </is>
      </c>
      <c r="H1304" s="103">
        <f>IF(OR(batches!A219="",batches!G219=""),"",batches!G219-COUNTIF(admissions!$M:$M,batches!A219))</f>
        <v/>
      </c>
      <c r="I1304" s="101" t="n"/>
      <c r="J1304" s="102" t="n"/>
    </row>
    <row r="1305" ht="15.75" customHeight="1" s="84">
      <c r="A1305" s="104" t="inlineStr">
        <is>
          <t>Student List</t>
        </is>
      </c>
      <c r="B1305" s="101" t="n"/>
      <c r="C1305" s="101" t="n"/>
      <c r="D1305" s="102" t="n"/>
      <c r="G1305" s="104" t="inlineStr">
        <is>
          <t>Student List</t>
        </is>
      </c>
      <c r="H1305" s="101" t="n"/>
      <c r="I1305" s="101" t="n"/>
      <c r="J1305" s="102" t="n"/>
    </row>
    <row r="1306" ht="15.75" customHeight="1" s="84">
      <c r="A1306" s="105">
        <f>IFERROR(__xludf.DUMMYFUNCTION("IF(batches!A218="""","""",TEXTJOIN(CHAR(10),TRUE,FILTER(admissions!$G$2:$G$78,admissions!$M$2:$M$78=batches!A218,"""")))"),"")</f>
        <v/>
      </c>
      <c r="B1306" s="101" t="n"/>
      <c r="C1306" s="101" t="n"/>
      <c r="D1306" s="102" t="n"/>
      <c r="G1306" s="105">
        <f>IFERROR(__xludf.DUMMYFUNCTION("IF(batches!A219="""","""",TEXTJOIN(CHAR(10),TRUE,FILTER(admissions!$G$2:$G$78,admissions!$M$2:$M$78=batches!A219,"""")))"),"")</f>
        <v/>
      </c>
      <c r="H1306" s="101" t="n"/>
      <c r="I1306" s="101" t="n"/>
      <c r="J1306" s="102" t="n"/>
    </row>
    <row r="1307" ht="15.75" customHeight="1" s="84"/>
    <row r="1308" ht="15.75" customHeight="1" s="84"/>
    <row r="1309" ht="15.75" customHeight="1" s="84">
      <c r="A1309" s="100">
        <f>IF(batches!A220="","",batches!A220)</f>
        <v/>
      </c>
      <c r="B1309" s="101" t="n"/>
      <c r="C1309" s="101" t="n"/>
      <c r="D1309" s="102" t="n"/>
      <c r="G1309" s="100">
        <f>IF(batches!A221="","",batches!A221)</f>
        <v/>
      </c>
      <c r="H1309" s="101" t="n"/>
      <c r="I1309" s="101" t="n"/>
      <c r="J1309" s="102" t="n"/>
    </row>
    <row r="1310" ht="15.75" customHeight="1" s="84">
      <c r="A1310" s="80" t="inlineStr">
        <is>
          <t>Level / Mode</t>
        </is>
      </c>
      <c r="B1310" s="103">
        <f>IF(A1309="","",batches!B220&amp;" / "&amp;batches!C220)</f>
        <v/>
      </c>
      <c r="C1310" s="101" t="n"/>
      <c r="D1310" s="102" t="n"/>
      <c r="G1310" s="80" t="inlineStr">
        <is>
          <t>Level / Mode</t>
        </is>
      </c>
      <c r="H1310" s="103">
        <f>IF(G1309="","",batches!B221&amp;" / "&amp;batches!C221)</f>
        <v/>
      </c>
      <c r="I1310" s="101" t="n"/>
      <c r="J1310" s="102" t="n"/>
    </row>
    <row r="1311" ht="15.75" customHeight="1" s="84">
      <c r="A1311" s="80" t="inlineStr">
        <is>
          <t>Dates</t>
        </is>
      </c>
      <c r="B1311" s="103">
        <f>IF(A1309="","",TEXT(batches!D220,"yyyy-mm-dd")&amp;" to "&amp;TEXT(batches!E220,"yyyy-mm-dd"))</f>
        <v/>
      </c>
      <c r="C1311" s="101" t="n"/>
      <c r="D1311" s="102" t="n"/>
      <c r="G1311" s="80" t="inlineStr">
        <is>
          <t>Dates</t>
        </is>
      </c>
      <c r="H1311" s="103">
        <f>IF(G1309="","",TEXT(batches!D221,"yyyy-mm-dd")&amp;" to "&amp;TEXT(batches!E221,"yyyy-mm-dd"))</f>
        <v/>
      </c>
      <c r="I1311" s="101" t="n"/>
      <c r="J1311" s="102" t="n"/>
    </row>
    <row r="1312" ht="15.75" customHeight="1" s="84">
      <c r="A1312" s="80" t="inlineStr">
        <is>
          <t>Duration</t>
        </is>
      </c>
      <c r="B1312" s="103">
        <f>IF(OR(batches!D220="",batches!E220=""),"",batches!E220-batches!D220+1&amp;" days")</f>
        <v/>
      </c>
      <c r="C1312" s="101" t="n"/>
      <c r="D1312" s="102" t="n"/>
      <c r="G1312" s="80" t="inlineStr">
        <is>
          <t>Duration</t>
        </is>
      </c>
      <c r="H1312" s="103">
        <f>IF(OR(batches!D221="",batches!E221=""),"",batches!E221-batches!D221+1&amp;" days")</f>
        <v/>
      </c>
      <c r="I1312" s="101" t="n"/>
      <c r="J1312" s="102" t="n"/>
    </row>
    <row r="1313" ht="15.75" customHeight="1" s="84">
      <c r="A1313" s="80" t="inlineStr">
        <is>
          <t>Timing</t>
        </is>
      </c>
      <c r="B1313" s="103">
        <f>IF(A1309="","",batches!F220)</f>
        <v/>
      </c>
      <c r="C1313" s="101" t="n"/>
      <c r="D1313" s="102" t="n"/>
      <c r="G1313" s="80" t="inlineStr">
        <is>
          <t>Timing</t>
        </is>
      </c>
      <c r="H1313" s="103">
        <f>IF(G1309="","",batches!F221)</f>
        <v/>
      </c>
      <c r="I1313" s="101" t="n"/>
      <c r="J1313" s="102" t="n"/>
    </row>
    <row r="1314" ht="15.75" customHeight="1" s="84">
      <c r="A1314" s="80" t="inlineStr">
        <is>
          <t>Capacity</t>
        </is>
      </c>
      <c r="B1314" s="103">
        <f>IF(A1309="","",batches!G220)</f>
        <v/>
      </c>
      <c r="C1314" s="101" t="n"/>
      <c r="D1314" s="102" t="n"/>
      <c r="G1314" s="80" t="inlineStr">
        <is>
          <t>Capacity</t>
        </is>
      </c>
      <c r="H1314" s="103">
        <f>IF(G1309="","",batches!G221)</f>
        <v/>
      </c>
      <c r="I1314" s="101" t="n"/>
      <c r="J1314" s="102" t="n"/>
    </row>
    <row r="1315" ht="15.75" customHeight="1" s="84">
      <c r="A1315" s="80" t="inlineStr">
        <is>
          <t>Enrolled</t>
        </is>
      </c>
      <c r="B1315" s="103">
        <f>IF(A1309="","",COUNTIF(admissions!$M:$M,batches!A220))</f>
        <v/>
      </c>
      <c r="C1315" s="101" t="n"/>
      <c r="D1315" s="102" t="n"/>
      <c r="G1315" s="80" t="inlineStr">
        <is>
          <t>Enrolled</t>
        </is>
      </c>
      <c r="H1315" s="103">
        <f>IF(G1309="","",COUNTIF(admissions!$M:$M,batches!A221))</f>
        <v/>
      </c>
      <c r="I1315" s="101" t="n"/>
      <c r="J1315" s="102" t="n"/>
    </row>
    <row r="1316" ht="15.75" customHeight="1" s="84">
      <c r="A1316" s="80" t="inlineStr">
        <is>
          <t>Available</t>
        </is>
      </c>
      <c r="B1316" s="103">
        <f>IF(OR(batches!A220="",batches!G220=""),"",batches!G220-COUNTIF(admissions!$M:$M,batches!A220))</f>
        <v/>
      </c>
      <c r="C1316" s="101" t="n"/>
      <c r="D1316" s="102" t="n"/>
      <c r="G1316" s="80" t="inlineStr">
        <is>
          <t>Available</t>
        </is>
      </c>
      <c r="H1316" s="103">
        <f>IF(OR(batches!A221="",batches!G221=""),"",batches!G221-COUNTIF(admissions!$M:$M,batches!A221))</f>
        <v/>
      </c>
      <c r="I1316" s="101" t="n"/>
      <c r="J1316" s="102" t="n"/>
    </row>
    <row r="1317" ht="15.75" customHeight="1" s="84">
      <c r="A1317" s="104" t="inlineStr">
        <is>
          <t>Student List</t>
        </is>
      </c>
      <c r="B1317" s="101" t="n"/>
      <c r="C1317" s="101" t="n"/>
      <c r="D1317" s="102" t="n"/>
      <c r="G1317" s="104" t="inlineStr">
        <is>
          <t>Student List</t>
        </is>
      </c>
      <c r="H1317" s="101" t="n"/>
      <c r="I1317" s="101" t="n"/>
      <c r="J1317" s="102" t="n"/>
    </row>
    <row r="1318" ht="15.75" customHeight="1" s="84">
      <c r="A1318" s="105">
        <f>IFERROR(__xludf.DUMMYFUNCTION("IF(batches!A220="""","""",TEXTJOIN(CHAR(10),TRUE,FILTER(admissions!$G$2:$G$78,admissions!$M$2:$M$78=batches!A220,"""")))"),"")</f>
        <v/>
      </c>
      <c r="B1318" s="101" t="n"/>
      <c r="C1318" s="101" t="n"/>
      <c r="D1318" s="102" t="n"/>
      <c r="G1318" s="105">
        <f>IFERROR(__xludf.DUMMYFUNCTION("IF(batches!A221="""","""",TEXTJOIN(CHAR(10),TRUE,FILTER(admissions!$G$2:$G$78,admissions!$M$2:$M$78=batches!A221,"""")))"),"")</f>
        <v/>
      </c>
      <c r="H1318" s="101" t="n"/>
      <c r="I1318" s="101" t="n"/>
      <c r="J1318" s="102" t="n"/>
    </row>
    <row r="1319" ht="15.75" customHeight="1" s="84"/>
    <row r="1320" ht="15.75" customHeight="1" s="84"/>
    <row r="1321" ht="15.75" customHeight="1" s="84">
      <c r="A1321" s="100">
        <f>IF(batches!A222="","",batches!A222)</f>
        <v/>
      </c>
      <c r="B1321" s="101" t="n"/>
      <c r="C1321" s="101" t="n"/>
      <c r="D1321" s="102" t="n"/>
      <c r="G1321" s="100">
        <f>IF(batches!A223="","",batches!A223)</f>
        <v/>
      </c>
      <c r="H1321" s="101" t="n"/>
      <c r="I1321" s="101" t="n"/>
      <c r="J1321" s="102" t="n"/>
    </row>
    <row r="1322" ht="15.75" customHeight="1" s="84">
      <c r="A1322" s="80" t="inlineStr">
        <is>
          <t>Level / Mode</t>
        </is>
      </c>
      <c r="B1322" s="103">
        <f>IF(A1321="","",batches!B222&amp;" / "&amp;batches!C222)</f>
        <v/>
      </c>
      <c r="C1322" s="101" t="n"/>
      <c r="D1322" s="102" t="n"/>
      <c r="G1322" s="80" t="inlineStr">
        <is>
          <t>Level / Mode</t>
        </is>
      </c>
      <c r="H1322" s="103">
        <f>IF(G1321="","",batches!B223&amp;" / "&amp;batches!C223)</f>
        <v/>
      </c>
      <c r="I1322" s="101" t="n"/>
      <c r="J1322" s="102" t="n"/>
    </row>
    <row r="1323" ht="15.75" customHeight="1" s="84">
      <c r="A1323" s="80" t="inlineStr">
        <is>
          <t>Dates</t>
        </is>
      </c>
      <c r="B1323" s="103">
        <f>IF(A1321="","",TEXT(batches!D222,"yyyy-mm-dd")&amp;" to "&amp;TEXT(batches!E222,"yyyy-mm-dd"))</f>
        <v/>
      </c>
      <c r="C1323" s="101" t="n"/>
      <c r="D1323" s="102" t="n"/>
      <c r="G1323" s="80" t="inlineStr">
        <is>
          <t>Dates</t>
        </is>
      </c>
      <c r="H1323" s="103">
        <f>IF(G1321="","",TEXT(batches!D223,"yyyy-mm-dd")&amp;" to "&amp;TEXT(batches!E223,"yyyy-mm-dd"))</f>
        <v/>
      </c>
      <c r="I1323" s="101" t="n"/>
      <c r="J1323" s="102" t="n"/>
    </row>
    <row r="1324" ht="15.75" customHeight="1" s="84">
      <c r="A1324" s="80" t="inlineStr">
        <is>
          <t>Duration</t>
        </is>
      </c>
      <c r="B1324" s="103">
        <f>IF(OR(batches!D222="",batches!E222=""),"",batches!E222-batches!D222+1&amp;" days")</f>
        <v/>
      </c>
      <c r="C1324" s="101" t="n"/>
      <c r="D1324" s="102" t="n"/>
      <c r="G1324" s="80" t="inlineStr">
        <is>
          <t>Duration</t>
        </is>
      </c>
      <c r="H1324" s="103">
        <f>IF(OR(batches!D223="",batches!E223=""),"",batches!E223-batches!D223+1&amp;" days")</f>
        <v/>
      </c>
      <c r="I1324" s="101" t="n"/>
      <c r="J1324" s="102" t="n"/>
    </row>
    <row r="1325" ht="15.75" customHeight="1" s="84">
      <c r="A1325" s="80" t="inlineStr">
        <is>
          <t>Timing</t>
        </is>
      </c>
      <c r="B1325" s="103">
        <f>IF(A1321="","",batches!F222)</f>
        <v/>
      </c>
      <c r="C1325" s="101" t="n"/>
      <c r="D1325" s="102" t="n"/>
      <c r="G1325" s="80" t="inlineStr">
        <is>
          <t>Timing</t>
        </is>
      </c>
      <c r="H1325" s="103">
        <f>IF(G1321="","",batches!F223)</f>
        <v/>
      </c>
      <c r="I1325" s="101" t="n"/>
      <c r="J1325" s="102" t="n"/>
    </row>
    <row r="1326" ht="15.75" customHeight="1" s="84">
      <c r="A1326" s="80" t="inlineStr">
        <is>
          <t>Capacity</t>
        </is>
      </c>
      <c r="B1326" s="103">
        <f>IF(A1321="","",batches!G222)</f>
        <v/>
      </c>
      <c r="C1326" s="101" t="n"/>
      <c r="D1326" s="102" t="n"/>
      <c r="G1326" s="80" t="inlineStr">
        <is>
          <t>Capacity</t>
        </is>
      </c>
      <c r="H1326" s="103">
        <f>IF(G1321="","",batches!G223)</f>
        <v/>
      </c>
      <c r="I1326" s="101" t="n"/>
      <c r="J1326" s="102" t="n"/>
    </row>
    <row r="1327" ht="15.75" customHeight="1" s="84">
      <c r="A1327" s="80" t="inlineStr">
        <is>
          <t>Enrolled</t>
        </is>
      </c>
      <c r="B1327" s="103">
        <f>IF(A1321="","",COUNTIF(admissions!$M:$M,batches!A222))</f>
        <v/>
      </c>
      <c r="C1327" s="101" t="n"/>
      <c r="D1327" s="102" t="n"/>
      <c r="G1327" s="80" t="inlineStr">
        <is>
          <t>Enrolled</t>
        </is>
      </c>
      <c r="H1327" s="103">
        <f>IF(G1321="","",COUNTIF(admissions!$M:$M,batches!A223))</f>
        <v/>
      </c>
      <c r="I1327" s="101" t="n"/>
      <c r="J1327" s="102" t="n"/>
    </row>
    <row r="1328" ht="15.75" customHeight="1" s="84">
      <c r="A1328" s="80" t="inlineStr">
        <is>
          <t>Available</t>
        </is>
      </c>
      <c r="B1328" s="103">
        <f>IF(OR(batches!A222="",batches!G222=""),"",batches!G222-COUNTIF(admissions!$M:$M,batches!A222))</f>
        <v/>
      </c>
      <c r="C1328" s="101" t="n"/>
      <c r="D1328" s="102" t="n"/>
      <c r="G1328" s="80" t="inlineStr">
        <is>
          <t>Available</t>
        </is>
      </c>
      <c r="H1328" s="103">
        <f>IF(OR(batches!A223="",batches!G223=""),"",batches!G223-COUNTIF(admissions!$M:$M,batches!A223))</f>
        <v/>
      </c>
      <c r="I1328" s="101" t="n"/>
      <c r="J1328" s="102" t="n"/>
    </row>
    <row r="1329" ht="15.75" customHeight="1" s="84">
      <c r="A1329" s="104" t="inlineStr">
        <is>
          <t>Student List</t>
        </is>
      </c>
      <c r="B1329" s="101" t="n"/>
      <c r="C1329" s="101" t="n"/>
      <c r="D1329" s="102" t="n"/>
      <c r="G1329" s="104" t="inlineStr">
        <is>
          <t>Student List</t>
        </is>
      </c>
      <c r="H1329" s="101" t="n"/>
      <c r="I1329" s="101" t="n"/>
      <c r="J1329" s="102" t="n"/>
    </row>
    <row r="1330" ht="15.75" customHeight="1" s="84">
      <c r="A1330" s="105">
        <f>IFERROR(__xludf.DUMMYFUNCTION("IF(batches!A222="""","""",TEXTJOIN(CHAR(10),TRUE,FILTER(admissions!$G$2:$G$78,admissions!$M$2:$M$78=batches!A222,"""")))"),"")</f>
        <v/>
      </c>
      <c r="B1330" s="101" t="n"/>
      <c r="C1330" s="101" t="n"/>
      <c r="D1330" s="102" t="n"/>
      <c r="G1330" s="105">
        <f>IFERROR(__xludf.DUMMYFUNCTION("IF(batches!A223="""","""",TEXTJOIN(CHAR(10),TRUE,FILTER(admissions!$G$2:$G$78,admissions!$M$2:$M$78=batches!A223,"""")))"),"")</f>
        <v/>
      </c>
      <c r="H1330" s="101" t="n"/>
      <c r="I1330" s="101" t="n"/>
      <c r="J1330" s="102" t="n"/>
    </row>
    <row r="1331" ht="15.75" customHeight="1" s="84"/>
    <row r="1332" ht="15.75" customHeight="1" s="84"/>
    <row r="1333" ht="15.75" customHeight="1" s="84">
      <c r="A1333" s="100">
        <f>IF(batches!A224="","",batches!A224)</f>
        <v/>
      </c>
      <c r="B1333" s="101" t="n"/>
      <c r="C1333" s="101" t="n"/>
      <c r="D1333" s="102" t="n"/>
      <c r="G1333" s="100">
        <f>IF(batches!A225="","",batches!A225)</f>
        <v/>
      </c>
      <c r="H1333" s="101" t="n"/>
      <c r="I1333" s="101" t="n"/>
      <c r="J1333" s="102" t="n"/>
    </row>
    <row r="1334" ht="15.75" customHeight="1" s="84">
      <c r="A1334" s="80" t="inlineStr">
        <is>
          <t>Level / Mode</t>
        </is>
      </c>
      <c r="B1334" s="103">
        <f>IF(A1333="","",batches!B224&amp;" / "&amp;batches!C224)</f>
        <v/>
      </c>
      <c r="C1334" s="101" t="n"/>
      <c r="D1334" s="102" t="n"/>
      <c r="G1334" s="80" t="inlineStr">
        <is>
          <t>Level / Mode</t>
        </is>
      </c>
      <c r="H1334" s="103">
        <f>IF(G1333="","",batches!B225&amp;" / "&amp;batches!C225)</f>
        <v/>
      </c>
      <c r="I1334" s="101" t="n"/>
      <c r="J1334" s="102" t="n"/>
    </row>
    <row r="1335" ht="15.75" customHeight="1" s="84">
      <c r="A1335" s="80" t="inlineStr">
        <is>
          <t>Dates</t>
        </is>
      </c>
      <c r="B1335" s="103">
        <f>IF(A1333="","",TEXT(batches!D224,"yyyy-mm-dd")&amp;" to "&amp;TEXT(batches!E224,"yyyy-mm-dd"))</f>
        <v/>
      </c>
      <c r="C1335" s="101" t="n"/>
      <c r="D1335" s="102" t="n"/>
      <c r="G1335" s="80" t="inlineStr">
        <is>
          <t>Dates</t>
        </is>
      </c>
      <c r="H1335" s="103">
        <f>IF(G1333="","",TEXT(batches!D225,"yyyy-mm-dd")&amp;" to "&amp;TEXT(batches!E225,"yyyy-mm-dd"))</f>
        <v/>
      </c>
      <c r="I1335" s="101" t="n"/>
      <c r="J1335" s="102" t="n"/>
    </row>
    <row r="1336" ht="15.75" customHeight="1" s="84">
      <c r="A1336" s="80" t="inlineStr">
        <is>
          <t>Duration</t>
        </is>
      </c>
      <c r="B1336" s="103">
        <f>IF(OR(batches!D224="",batches!E224=""),"",batches!E224-batches!D224+1&amp;" days")</f>
        <v/>
      </c>
      <c r="C1336" s="101" t="n"/>
      <c r="D1336" s="102" t="n"/>
      <c r="G1336" s="80" t="inlineStr">
        <is>
          <t>Duration</t>
        </is>
      </c>
      <c r="H1336" s="103">
        <f>IF(OR(batches!D225="",batches!E225=""),"",batches!E225-batches!D225+1&amp;" days")</f>
        <v/>
      </c>
      <c r="I1336" s="101" t="n"/>
      <c r="J1336" s="102" t="n"/>
    </row>
    <row r="1337" ht="15.75" customHeight="1" s="84">
      <c r="A1337" s="80" t="inlineStr">
        <is>
          <t>Timing</t>
        </is>
      </c>
      <c r="B1337" s="103">
        <f>IF(A1333="","",batches!F224)</f>
        <v/>
      </c>
      <c r="C1337" s="101" t="n"/>
      <c r="D1337" s="102" t="n"/>
      <c r="G1337" s="80" t="inlineStr">
        <is>
          <t>Timing</t>
        </is>
      </c>
      <c r="H1337" s="103">
        <f>IF(G1333="","",batches!F225)</f>
        <v/>
      </c>
      <c r="I1337" s="101" t="n"/>
      <c r="J1337" s="102" t="n"/>
    </row>
    <row r="1338" ht="15.75" customHeight="1" s="84">
      <c r="A1338" s="80" t="inlineStr">
        <is>
          <t>Capacity</t>
        </is>
      </c>
      <c r="B1338" s="103">
        <f>IF(A1333="","",batches!G224)</f>
        <v/>
      </c>
      <c r="C1338" s="101" t="n"/>
      <c r="D1338" s="102" t="n"/>
      <c r="G1338" s="80" t="inlineStr">
        <is>
          <t>Capacity</t>
        </is>
      </c>
      <c r="H1338" s="103">
        <f>IF(G1333="","",batches!G225)</f>
        <v/>
      </c>
      <c r="I1338" s="101" t="n"/>
      <c r="J1338" s="102" t="n"/>
    </row>
    <row r="1339" ht="15.75" customHeight="1" s="84">
      <c r="A1339" s="80" t="inlineStr">
        <is>
          <t>Enrolled</t>
        </is>
      </c>
      <c r="B1339" s="103">
        <f>IF(A1333="","",COUNTIF(admissions!$M:$M,batches!A224))</f>
        <v/>
      </c>
      <c r="C1339" s="101" t="n"/>
      <c r="D1339" s="102" t="n"/>
      <c r="G1339" s="80" t="inlineStr">
        <is>
          <t>Enrolled</t>
        </is>
      </c>
      <c r="H1339" s="103">
        <f>IF(G1333="","",COUNTIF(admissions!$M:$M,batches!A225))</f>
        <v/>
      </c>
      <c r="I1339" s="101" t="n"/>
      <c r="J1339" s="102" t="n"/>
    </row>
    <row r="1340" ht="15.75" customHeight="1" s="84">
      <c r="A1340" s="80" t="inlineStr">
        <is>
          <t>Available</t>
        </is>
      </c>
      <c r="B1340" s="103">
        <f>IF(OR(batches!A224="",batches!G224=""),"",batches!G224-COUNTIF(admissions!$M:$M,batches!A224))</f>
        <v/>
      </c>
      <c r="C1340" s="101" t="n"/>
      <c r="D1340" s="102" t="n"/>
      <c r="G1340" s="80" t="inlineStr">
        <is>
          <t>Available</t>
        </is>
      </c>
      <c r="H1340" s="103">
        <f>IF(OR(batches!A225="",batches!G225=""),"",batches!G225-COUNTIF(admissions!$M:$M,batches!A225))</f>
        <v/>
      </c>
      <c r="I1340" s="101" t="n"/>
      <c r="J1340" s="102" t="n"/>
    </row>
    <row r="1341" ht="15.75" customHeight="1" s="84">
      <c r="A1341" s="104" t="inlineStr">
        <is>
          <t>Student List</t>
        </is>
      </c>
      <c r="B1341" s="101" t="n"/>
      <c r="C1341" s="101" t="n"/>
      <c r="D1341" s="102" t="n"/>
      <c r="G1341" s="104" t="inlineStr">
        <is>
          <t>Student List</t>
        </is>
      </c>
      <c r="H1341" s="101" t="n"/>
      <c r="I1341" s="101" t="n"/>
      <c r="J1341" s="102" t="n"/>
    </row>
    <row r="1342" ht="15.75" customHeight="1" s="84">
      <c r="A1342" s="105">
        <f>IFERROR(__xludf.DUMMYFUNCTION("IF(batches!A224="""","""",TEXTJOIN(CHAR(10),TRUE,FILTER(admissions!$G$2:$G$78,admissions!$M$2:$M$78=batches!A224,"""")))"),"")</f>
        <v/>
      </c>
      <c r="B1342" s="101" t="n"/>
      <c r="C1342" s="101" t="n"/>
      <c r="D1342" s="102" t="n"/>
      <c r="G1342" s="105">
        <f>IFERROR(__xludf.DUMMYFUNCTION("IF(batches!A225="""","""",TEXTJOIN(CHAR(10),TRUE,FILTER(admissions!$G$2:$G$78,admissions!$M$2:$M$78=batches!A225,"""")))"),"")</f>
        <v/>
      </c>
      <c r="H1342" s="101" t="n"/>
      <c r="I1342" s="101" t="n"/>
      <c r="J1342" s="102" t="n"/>
    </row>
    <row r="1343" ht="15.75" customHeight="1" s="84"/>
    <row r="1344" ht="15.75" customHeight="1" s="84"/>
    <row r="1345" ht="15.75" customHeight="1" s="84">
      <c r="A1345" s="100">
        <f>IF(batches!A226="","",batches!A226)</f>
        <v/>
      </c>
      <c r="B1345" s="101" t="n"/>
      <c r="C1345" s="101" t="n"/>
      <c r="D1345" s="102" t="n"/>
      <c r="G1345" s="100">
        <f>IF(batches!A227="","",batches!A227)</f>
        <v/>
      </c>
      <c r="H1345" s="101" t="n"/>
      <c r="I1345" s="101" t="n"/>
      <c r="J1345" s="102" t="n"/>
    </row>
    <row r="1346" ht="15.75" customHeight="1" s="84">
      <c r="A1346" s="80" t="inlineStr">
        <is>
          <t>Level / Mode</t>
        </is>
      </c>
      <c r="B1346" s="103">
        <f>IF(A1345="","",batches!B226&amp;" / "&amp;batches!C226)</f>
        <v/>
      </c>
      <c r="C1346" s="101" t="n"/>
      <c r="D1346" s="102" t="n"/>
      <c r="G1346" s="80" t="inlineStr">
        <is>
          <t>Level / Mode</t>
        </is>
      </c>
      <c r="H1346" s="103">
        <f>IF(G1345="","",batches!B227&amp;" / "&amp;batches!C227)</f>
        <v/>
      </c>
      <c r="I1346" s="101" t="n"/>
      <c r="J1346" s="102" t="n"/>
    </row>
    <row r="1347" ht="15.75" customHeight="1" s="84">
      <c r="A1347" s="80" t="inlineStr">
        <is>
          <t>Dates</t>
        </is>
      </c>
      <c r="B1347" s="103">
        <f>IF(A1345="","",TEXT(batches!D226,"yyyy-mm-dd")&amp;" to "&amp;TEXT(batches!E226,"yyyy-mm-dd"))</f>
        <v/>
      </c>
      <c r="C1347" s="101" t="n"/>
      <c r="D1347" s="102" t="n"/>
      <c r="G1347" s="80" t="inlineStr">
        <is>
          <t>Dates</t>
        </is>
      </c>
      <c r="H1347" s="103">
        <f>IF(G1345="","",TEXT(batches!D227,"yyyy-mm-dd")&amp;" to "&amp;TEXT(batches!E227,"yyyy-mm-dd"))</f>
        <v/>
      </c>
      <c r="I1347" s="101" t="n"/>
      <c r="J1347" s="102" t="n"/>
    </row>
    <row r="1348" ht="15.75" customHeight="1" s="84">
      <c r="A1348" s="80" t="inlineStr">
        <is>
          <t>Duration</t>
        </is>
      </c>
      <c r="B1348" s="103">
        <f>IF(OR(batches!D226="",batches!E226=""),"",batches!E226-batches!D226+1&amp;" days")</f>
        <v/>
      </c>
      <c r="C1348" s="101" t="n"/>
      <c r="D1348" s="102" t="n"/>
      <c r="G1348" s="80" t="inlineStr">
        <is>
          <t>Duration</t>
        </is>
      </c>
      <c r="H1348" s="103">
        <f>IF(OR(batches!D227="",batches!E227=""),"",batches!E227-batches!D227+1&amp;" days")</f>
        <v/>
      </c>
      <c r="I1348" s="101" t="n"/>
      <c r="J1348" s="102" t="n"/>
    </row>
    <row r="1349" ht="15.75" customHeight="1" s="84">
      <c r="A1349" s="80" t="inlineStr">
        <is>
          <t>Timing</t>
        </is>
      </c>
      <c r="B1349" s="103">
        <f>IF(A1345="","",batches!F226)</f>
        <v/>
      </c>
      <c r="C1349" s="101" t="n"/>
      <c r="D1349" s="102" t="n"/>
      <c r="G1349" s="80" t="inlineStr">
        <is>
          <t>Timing</t>
        </is>
      </c>
      <c r="H1349" s="103">
        <f>IF(G1345="","",batches!F227)</f>
        <v/>
      </c>
      <c r="I1349" s="101" t="n"/>
      <c r="J1349" s="102" t="n"/>
    </row>
    <row r="1350" ht="15.75" customHeight="1" s="84">
      <c r="A1350" s="80" t="inlineStr">
        <is>
          <t>Capacity</t>
        </is>
      </c>
      <c r="B1350" s="103">
        <f>IF(A1345="","",batches!G226)</f>
        <v/>
      </c>
      <c r="C1350" s="101" t="n"/>
      <c r="D1350" s="102" t="n"/>
      <c r="G1350" s="80" t="inlineStr">
        <is>
          <t>Capacity</t>
        </is>
      </c>
      <c r="H1350" s="103">
        <f>IF(G1345="","",batches!G227)</f>
        <v/>
      </c>
      <c r="I1350" s="101" t="n"/>
      <c r="J1350" s="102" t="n"/>
    </row>
    <row r="1351" ht="15.75" customHeight="1" s="84">
      <c r="A1351" s="80" t="inlineStr">
        <is>
          <t>Enrolled</t>
        </is>
      </c>
      <c r="B1351" s="103">
        <f>IF(A1345="","",COUNTIF(admissions!$M:$M,batches!A226))</f>
        <v/>
      </c>
      <c r="C1351" s="101" t="n"/>
      <c r="D1351" s="102" t="n"/>
      <c r="G1351" s="80" t="inlineStr">
        <is>
          <t>Enrolled</t>
        </is>
      </c>
      <c r="H1351" s="103">
        <f>IF(G1345="","",COUNTIF(admissions!$M:$M,batches!A227))</f>
        <v/>
      </c>
      <c r="I1351" s="101" t="n"/>
      <c r="J1351" s="102" t="n"/>
    </row>
    <row r="1352" ht="15.75" customHeight="1" s="84">
      <c r="A1352" s="80" t="inlineStr">
        <is>
          <t>Available</t>
        </is>
      </c>
      <c r="B1352" s="103">
        <f>IF(OR(batches!A226="",batches!G226=""),"",batches!G226-COUNTIF(admissions!$M:$M,batches!A226))</f>
        <v/>
      </c>
      <c r="C1352" s="101" t="n"/>
      <c r="D1352" s="102" t="n"/>
      <c r="G1352" s="80" t="inlineStr">
        <is>
          <t>Available</t>
        </is>
      </c>
      <c r="H1352" s="103">
        <f>IF(OR(batches!A227="",batches!G227=""),"",batches!G227-COUNTIF(admissions!$M:$M,batches!A227))</f>
        <v/>
      </c>
      <c r="I1352" s="101" t="n"/>
      <c r="J1352" s="102" t="n"/>
    </row>
    <row r="1353" ht="15.75" customHeight="1" s="84">
      <c r="A1353" s="104" t="inlineStr">
        <is>
          <t>Student List</t>
        </is>
      </c>
      <c r="B1353" s="101" t="n"/>
      <c r="C1353" s="101" t="n"/>
      <c r="D1353" s="102" t="n"/>
      <c r="G1353" s="104" t="inlineStr">
        <is>
          <t>Student List</t>
        </is>
      </c>
      <c r="H1353" s="101" t="n"/>
      <c r="I1353" s="101" t="n"/>
      <c r="J1353" s="102" t="n"/>
    </row>
    <row r="1354" ht="15.75" customHeight="1" s="84">
      <c r="A1354" s="105">
        <f>IFERROR(__xludf.DUMMYFUNCTION("IF(batches!A226="""","""",TEXTJOIN(CHAR(10),TRUE,FILTER(admissions!$G$2:$G$78,admissions!$M$2:$M$78=batches!A226,"""")))"),"")</f>
        <v/>
      </c>
      <c r="B1354" s="101" t="n"/>
      <c r="C1354" s="101" t="n"/>
      <c r="D1354" s="102" t="n"/>
      <c r="G1354" s="105">
        <f>IFERROR(__xludf.DUMMYFUNCTION("IF(batches!A227="""","""",TEXTJOIN(CHAR(10),TRUE,FILTER(admissions!$G$2:$G$78,admissions!$M$2:$M$78=batches!A227,"""")))"),"")</f>
        <v/>
      </c>
      <c r="H1354" s="101" t="n"/>
      <c r="I1354" s="101" t="n"/>
      <c r="J1354" s="102" t="n"/>
    </row>
    <row r="1355" ht="15.75" customHeight="1" s="84"/>
    <row r="1356" ht="15.75" customHeight="1" s="84"/>
    <row r="1357" ht="15.75" customHeight="1" s="84">
      <c r="A1357" s="100">
        <f>IF(batches!A228="","",batches!A228)</f>
        <v/>
      </c>
      <c r="B1357" s="101" t="n"/>
      <c r="C1357" s="101" t="n"/>
      <c r="D1357" s="102" t="n"/>
      <c r="G1357" s="100">
        <f>IF(batches!A229="","",batches!A229)</f>
        <v/>
      </c>
      <c r="H1357" s="101" t="n"/>
      <c r="I1357" s="101" t="n"/>
      <c r="J1357" s="102" t="n"/>
    </row>
    <row r="1358" ht="15.75" customHeight="1" s="84">
      <c r="A1358" s="80" t="inlineStr">
        <is>
          <t>Level / Mode</t>
        </is>
      </c>
      <c r="B1358" s="103">
        <f>IF(A1357="","",batches!B228&amp;" / "&amp;batches!C228)</f>
        <v/>
      </c>
      <c r="C1358" s="101" t="n"/>
      <c r="D1358" s="102" t="n"/>
      <c r="G1358" s="80" t="inlineStr">
        <is>
          <t>Level / Mode</t>
        </is>
      </c>
      <c r="H1358" s="103">
        <f>IF(G1357="","",batches!B229&amp;" / "&amp;batches!C229)</f>
        <v/>
      </c>
      <c r="I1358" s="101" t="n"/>
      <c r="J1358" s="102" t="n"/>
    </row>
    <row r="1359" ht="15.75" customHeight="1" s="84">
      <c r="A1359" s="80" t="inlineStr">
        <is>
          <t>Dates</t>
        </is>
      </c>
      <c r="B1359" s="103">
        <f>IF(A1357="","",TEXT(batches!D228,"yyyy-mm-dd")&amp;" to "&amp;TEXT(batches!E228,"yyyy-mm-dd"))</f>
        <v/>
      </c>
      <c r="C1359" s="101" t="n"/>
      <c r="D1359" s="102" t="n"/>
      <c r="G1359" s="80" t="inlineStr">
        <is>
          <t>Dates</t>
        </is>
      </c>
      <c r="H1359" s="103">
        <f>IF(G1357="","",TEXT(batches!D229,"yyyy-mm-dd")&amp;" to "&amp;TEXT(batches!E229,"yyyy-mm-dd"))</f>
        <v/>
      </c>
      <c r="I1359" s="101" t="n"/>
      <c r="J1359" s="102" t="n"/>
    </row>
    <row r="1360" ht="15.75" customHeight="1" s="84">
      <c r="A1360" s="80" t="inlineStr">
        <is>
          <t>Duration</t>
        </is>
      </c>
      <c r="B1360" s="103">
        <f>IF(OR(batches!D228="",batches!E228=""),"",batches!E228-batches!D228+1&amp;" days")</f>
        <v/>
      </c>
      <c r="C1360" s="101" t="n"/>
      <c r="D1360" s="102" t="n"/>
      <c r="G1360" s="80" t="inlineStr">
        <is>
          <t>Duration</t>
        </is>
      </c>
      <c r="H1360" s="103">
        <f>IF(OR(batches!D229="",batches!E229=""),"",batches!E229-batches!D229+1&amp;" days")</f>
        <v/>
      </c>
      <c r="I1360" s="101" t="n"/>
      <c r="J1360" s="102" t="n"/>
    </row>
    <row r="1361" ht="15.75" customHeight="1" s="84">
      <c r="A1361" s="80" t="inlineStr">
        <is>
          <t>Timing</t>
        </is>
      </c>
      <c r="B1361" s="103">
        <f>IF(A1357="","",batches!F228)</f>
        <v/>
      </c>
      <c r="C1361" s="101" t="n"/>
      <c r="D1361" s="102" t="n"/>
      <c r="G1361" s="80" t="inlineStr">
        <is>
          <t>Timing</t>
        </is>
      </c>
      <c r="H1361" s="103">
        <f>IF(G1357="","",batches!F229)</f>
        <v/>
      </c>
      <c r="I1361" s="101" t="n"/>
      <c r="J1361" s="102" t="n"/>
    </row>
    <row r="1362" ht="15.75" customHeight="1" s="84">
      <c r="A1362" s="80" t="inlineStr">
        <is>
          <t>Capacity</t>
        </is>
      </c>
      <c r="B1362" s="103">
        <f>IF(A1357="","",batches!G228)</f>
        <v/>
      </c>
      <c r="C1362" s="101" t="n"/>
      <c r="D1362" s="102" t="n"/>
      <c r="G1362" s="80" t="inlineStr">
        <is>
          <t>Capacity</t>
        </is>
      </c>
      <c r="H1362" s="103">
        <f>IF(G1357="","",batches!G229)</f>
        <v/>
      </c>
      <c r="I1362" s="101" t="n"/>
      <c r="J1362" s="102" t="n"/>
    </row>
    <row r="1363" ht="15.75" customHeight="1" s="84">
      <c r="A1363" s="80" t="inlineStr">
        <is>
          <t>Enrolled</t>
        </is>
      </c>
      <c r="B1363" s="103">
        <f>IF(A1357="","",COUNTIF(admissions!$M:$M,batches!A228))</f>
        <v/>
      </c>
      <c r="C1363" s="101" t="n"/>
      <c r="D1363" s="102" t="n"/>
      <c r="G1363" s="80" t="inlineStr">
        <is>
          <t>Enrolled</t>
        </is>
      </c>
      <c r="H1363" s="103">
        <f>IF(G1357="","",COUNTIF(admissions!$M:$M,batches!A229))</f>
        <v/>
      </c>
      <c r="I1363" s="101" t="n"/>
      <c r="J1363" s="102" t="n"/>
    </row>
    <row r="1364" ht="15.75" customHeight="1" s="84">
      <c r="A1364" s="80" t="inlineStr">
        <is>
          <t>Available</t>
        </is>
      </c>
      <c r="B1364" s="103">
        <f>IF(OR(batches!A228="",batches!G228=""),"",batches!G228-COUNTIF(admissions!$M:$M,batches!A228))</f>
        <v/>
      </c>
      <c r="C1364" s="101" t="n"/>
      <c r="D1364" s="102" t="n"/>
      <c r="G1364" s="80" t="inlineStr">
        <is>
          <t>Available</t>
        </is>
      </c>
      <c r="H1364" s="103">
        <f>IF(OR(batches!A229="",batches!G229=""),"",batches!G229-COUNTIF(admissions!$M:$M,batches!A229))</f>
        <v/>
      </c>
      <c r="I1364" s="101" t="n"/>
      <c r="J1364" s="102" t="n"/>
    </row>
    <row r="1365" ht="15.75" customHeight="1" s="84">
      <c r="A1365" s="104" t="inlineStr">
        <is>
          <t>Student List</t>
        </is>
      </c>
      <c r="B1365" s="101" t="n"/>
      <c r="C1365" s="101" t="n"/>
      <c r="D1365" s="102" t="n"/>
      <c r="G1365" s="104" t="inlineStr">
        <is>
          <t>Student List</t>
        </is>
      </c>
      <c r="H1365" s="101" t="n"/>
      <c r="I1365" s="101" t="n"/>
      <c r="J1365" s="102" t="n"/>
    </row>
    <row r="1366" ht="15.75" customHeight="1" s="84">
      <c r="A1366" s="105">
        <f>IFERROR(__xludf.DUMMYFUNCTION("IF(batches!A228="""","""",TEXTJOIN(CHAR(10),TRUE,FILTER(admissions!$G$2:$G$78,admissions!$M$2:$M$78=batches!A228,"""")))"),"")</f>
        <v/>
      </c>
      <c r="B1366" s="101" t="n"/>
      <c r="C1366" s="101" t="n"/>
      <c r="D1366" s="102" t="n"/>
      <c r="G1366" s="105">
        <f>IFERROR(__xludf.DUMMYFUNCTION("IF(batches!A229="""","""",TEXTJOIN(CHAR(10),TRUE,FILTER(admissions!$G$2:$G$78,admissions!$M$2:$M$78=batches!A229,"""")))"),"")</f>
        <v/>
      </c>
      <c r="H1366" s="101" t="n"/>
      <c r="I1366" s="101" t="n"/>
      <c r="J1366" s="102" t="n"/>
    </row>
    <row r="1367" ht="15.75" customHeight="1" s="84"/>
    <row r="1368" ht="15.75" customHeight="1" s="84"/>
    <row r="1369" ht="15.75" customHeight="1" s="84">
      <c r="A1369" s="100">
        <f>IF(batches!A230="","",batches!A230)</f>
        <v/>
      </c>
      <c r="B1369" s="101" t="n"/>
      <c r="C1369" s="101" t="n"/>
      <c r="D1369" s="102" t="n"/>
      <c r="G1369" s="100">
        <f>IF(batches!A231="","",batches!A231)</f>
        <v/>
      </c>
      <c r="H1369" s="101" t="n"/>
      <c r="I1369" s="101" t="n"/>
      <c r="J1369" s="102" t="n"/>
    </row>
    <row r="1370" ht="15.75" customHeight="1" s="84">
      <c r="A1370" s="80" t="inlineStr">
        <is>
          <t>Level / Mode</t>
        </is>
      </c>
      <c r="B1370" s="103">
        <f>IF(A1369="","",batches!B230&amp;" / "&amp;batches!C230)</f>
        <v/>
      </c>
      <c r="C1370" s="101" t="n"/>
      <c r="D1370" s="102" t="n"/>
      <c r="G1370" s="80" t="inlineStr">
        <is>
          <t>Level / Mode</t>
        </is>
      </c>
      <c r="H1370" s="103">
        <f>IF(G1369="","",batches!B231&amp;" / "&amp;batches!C231)</f>
        <v/>
      </c>
      <c r="I1370" s="101" t="n"/>
      <c r="J1370" s="102" t="n"/>
    </row>
    <row r="1371" ht="15.75" customHeight="1" s="84">
      <c r="A1371" s="80" t="inlineStr">
        <is>
          <t>Dates</t>
        </is>
      </c>
      <c r="B1371" s="103">
        <f>IF(A1369="","",TEXT(batches!D230,"yyyy-mm-dd")&amp;" to "&amp;TEXT(batches!E230,"yyyy-mm-dd"))</f>
        <v/>
      </c>
      <c r="C1371" s="101" t="n"/>
      <c r="D1371" s="102" t="n"/>
      <c r="G1371" s="80" t="inlineStr">
        <is>
          <t>Dates</t>
        </is>
      </c>
      <c r="H1371" s="103">
        <f>IF(G1369="","",TEXT(batches!D231,"yyyy-mm-dd")&amp;" to "&amp;TEXT(batches!E231,"yyyy-mm-dd"))</f>
        <v/>
      </c>
      <c r="I1371" s="101" t="n"/>
      <c r="J1371" s="102" t="n"/>
    </row>
    <row r="1372" ht="15.75" customHeight="1" s="84">
      <c r="A1372" s="80" t="inlineStr">
        <is>
          <t>Duration</t>
        </is>
      </c>
      <c r="B1372" s="103">
        <f>IF(OR(batches!D230="",batches!E230=""),"",batches!E230-batches!D230+1&amp;" days")</f>
        <v/>
      </c>
      <c r="C1372" s="101" t="n"/>
      <c r="D1372" s="102" t="n"/>
      <c r="G1372" s="80" t="inlineStr">
        <is>
          <t>Duration</t>
        </is>
      </c>
      <c r="H1372" s="103">
        <f>IF(OR(batches!D231="",batches!E231=""),"",batches!E231-batches!D231+1&amp;" days")</f>
        <v/>
      </c>
      <c r="I1372" s="101" t="n"/>
      <c r="J1372" s="102" t="n"/>
    </row>
    <row r="1373" ht="15.75" customHeight="1" s="84">
      <c r="A1373" s="80" t="inlineStr">
        <is>
          <t>Timing</t>
        </is>
      </c>
      <c r="B1373" s="103">
        <f>IF(A1369="","",batches!F230)</f>
        <v/>
      </c>
      <c r="C1373" s="101" t="n"/>
      <c r="D1373" s="102" t="n"/>
      <c r="G1373" s="80" t="inlineStr">
        <is>
          <t>Timing</t>
        </is>
      </c>
      <c r="H1373" s="103">
        <f>IF(G1369="","",batches!F231)</f>
        <v/>
      </c>
      <c r="I1373" s="101" t="n"/>
      <c r="J1373" s="102" t="n"/>
    </row>
    <row r="1374" ht="15.75" customHeight="1" s="84">
      <c r="A1374" s="80" t="inlineStr">
        <is>
          <t>Capacity</t>
        </is>
      </c>
      <c r="B1374" s="103">
        <f>IF(A1369="","",batches!G230)</f>
        <v/>
      </c>
      <c r="C1374" s="101" t="n"/>
      <c r="D1374" s="102" t="n"/>
      <c r="G1374" s="80" t="inlineStr">
        <is>
          <t>Capacity</t>
        </is>
      </c>
      <c r="H1374" s="103">
        <f>IF(G1369="","",batches!G231)</f>
        <v/>
      </c>
      <c r="I1374" s="101" t="n"/>
      <c r="J1374" s="102" t="n"/>
    </row>
    <row r="1375" ht="15.75" customHeight="1" s="84">
      <c r="A1375" s="80" t="inlineStr">
        <is>
          <t>Enrolled</t>
        </is>
      </c>
      <c r="B1375" s="103">
        <f>IF(A1369="","",COUNTIF(admissions!$M:$M,batches!A230))</f>
        <v/>
      </c>
      <c r="C1375" s="101" t="n"/>
      <c r="D1375" s="102" t="n"/>
      <c r="G1375" s="80" t="inlineStr">
        <is>
          <t>Enrolled</t>
        </is>
      </c>
      <c r="H1375" s="103">
        <f>IF(G1369="","",COUNTIF(admissions!$M:$M,batches!A231))</f>
        <v/>
      </c>
      <c r="I1375" s="101" t="n"/>
      <c r="J1375" s="102" t="n"/>
    </row>
    <row r="1376" ht="15.75" customHeight="1" s="84">
      <c r="A1376" s="80" t="inlineStr">
        <is>
          <t>Available</t>
        </is>
      </c>
      <c r="B1376" s="103">
        <f>IF(OR(batches!A230="",batches!G230=""),"",batches!G230-COUNTIF(admissions!$M:$M,batches!A230))</f>
        <v/>
      </c>
      <c r="C1376" s="101" t="n"/>
      <c r="D1376" s="102" t="n"/>
      <c r="G1376" s="80" t="inlineStr">
        <is>
          <t>Available</t>
        </is>
      </c>
      <c r="H1376" s="103">
        <f>IF(OR(batches!A231="",batches!G231=""),"",batches!G231-COUNTIF(admissions!$M:$M,batches!A231))</f>
        <v/>
      </c>
      <c r="I1376" s="101" t="n"/>
      <c r="J1376" s="102" t="n"/>
    </row>
    <row r="1377" ht="15.75" customHeight="1" s="84">
      <c r="A1377" s="104" t="inlineStr">
        <is>
          <t>Student List</t>
        </is>
      </c>
      <c r="B1377" s="101" t="n"/>
      <c r="C1377" s="101" t="n"/>
      <c r="D1377" s="102" t="n"/>
      <c r="G1377" s="104" t="inlineStr">
        <is>
          <t>Student List</t>
        </is>
      </c>
      <c r="H1377" s="101" t="n"/>
      <c r="I1377" s="101" t="n"/>
      <c r="J1377" s="102" t="n"/>
    </row>
    <row r="1378" ht="15.75" customHeight="1" s="84">
      <c r="A1378" s="105">
        <f>IFERROR(__xludf.DUMMYFUNCTION("IF(batches!A230="""","""",TEXTJOIN(CHAR(10),TRUE,FILTER(admissions!$G$2:$G$78,admissions!$M$2:$M$78=batches!A230,"""")))"),"")</f>
        <v/>
      </c>
      <c r="B1378" s="101" t="n"/>
      <c r="C1378" s="101" t="n"/>
      <c r="D1378" s="102" t="n"/>
      <c r="G1378" s="105">
        <f>IFERROR(__xludf.DUMMYFUNCTION("IF(batches!A231="""","""",TEXTJOIN(CHAR(10),TRUE,FILTER(admissions!$G$2:$G$78,admissions!$M$2:$M$78=batches!A231,"""")))"),"")</f>
        <v/>
      </c>
      <c r="H1378" s="101" t="n"/>
      <c r="I1378" s="101" t="n"/>
      <c r="J1378" s="102" t="n"/>
    </row>
    <row r="1379" ht="15.75" customHeight="1" s="84"/>
    <row r="1380" ht="15.75" customHeight="1" s="84"/>
    <row r="1381" ht="15.75" customHeight="1" s="84">
      <c r="A1381" s="100">
        <f>IF(batches!A232="","",batches!A232)</f>
        <v/>
      </c>
      <c r="B1381" s="101" t="n"/>
      <c r="C1381" s="101" t="n"/>
      <c r="D1381" s="102" t="n"/>
      <c r="G1381" s="100">
        <f>IF(batches!A233="","",batches!A233)</f>
        <v/>
      </c>
      <c r="H1381" s="101" t="n"/>
      <c r="I1381" s="101" t="n"/>
      <c r="J1381" s="102" t="n"/>
    </row>
    <row r="1382" ht="15.75" customHeight="1" s="84">
      <c r="A1382" s="80" t="inlineStr">
        <is>
          <t>Level / Mode</t>
        </is>
      </c>
      <c r="B1382" s="103">
        <f>IF(A1381="","",batches!B232&amp;" / "&amp;batches!C232)</f>
        <v/>
      </c>
      <c r="C1382" s="101" t="n"/>
      <c r="D1382" s="102" t="n"/>
      <c r="G1382" s="80" t="inlineStr">
        <is>
          <t>Level / Mode</t>
        </is>
      </c>
      <c r="H1382" s="103">
        <f>IF(G1381="","",batches!B233&amp;" / "&amp;batches!C233)</f>
        <v/>
      </c>
      <c r="I1382" s="101" t="n"/>
      <c r="J1382" s="102" t="n"/>
    </row>
    <row r="1383" ht="15.75" customHeight="1" s="84">
      <c r="A1383" s="80" t="inlineStr">
        <is>
          <t>Dates</t>
        </is>
      </c>
      <c r="B1383" s="103">
        <f>IF(A1381="","",TEXT(batches!D232,"yyyy-mm-dd")&amp;" to "&amp;TEXT(batches!E232,"yyyy-mm-dd"))</f>
        <v/>
      </c>
      <c r="C1383" s="101" t="n"/>
      <c r="D1383" s="102" t="n"/>
      <c r="G1383" s="80" t="inlineStr">
        <is>
          <t>Dates</t>
        </is>
      </c>
      <c r="H1383" s="103">
        <f>IF(G1381="","",TEXT(batches!D233,"yyyy-mm-dd")&amp;" to "&amp;TEXT(batches!E233,"yyyy-mm-dd"))</f>
        <v/>
      </c>
      <c r="I1383" s="101" t="n"/>
      <c r="J1383" s="102" t="n"/>
    </row>
    <row r="1384" ht="15.75" customHeight="1" s="84">
      <c r="A1384" s="80" t="inlineStr">
        <is>
          <t>Duration</t>
        </is>
      </c>
      <c r="B1384" s="103">
        <f>IF(OR(batches!D232="",batches!E232=""),"",batches!E232-batches!D232+1&amp;" days")</f>
        <v/>
      </c>
      <c r="C1384" s="101" t="n"/>
      <c r="D1384" s="102" t="n"/>
      <c r="G1384" s="80" t="inlineStr">
        <is>
          <t>Duration</t>
        </is>
      </c>
      <c r="H1384" s="103">
        <f>IF(OR(batches!D233="",batches!E233=""),"",batches!E233-batches!D233+1&amp;" days")</f>
        <v/>
      </c>
      <c r="I1384" s="101" t="n"/>
      <c r="J1384" s="102" t="n"/>
    </row>
    <row r="1385" ht="15.75" customHeight="1" s="84">
      <c r="A1385" s="80" t="inlineStr">
        <is>
          <t>Timing</t>
        </is>
      </c>
      <c r="B1385" s="103">
        <f>IF(A1381="","",batches!F232)</f>
        <v/>
      </c>
      <c r="C1385" s="101" t="n"/>
      <c r="D1385" s="102" t="n"/>
      <c r="G1385" s="80" t="inlineStr">
        <is>
          <t>Timing</t>
        </is>
      </c>
      <c r="H1385" s="103">
        <f>IF(G1381="","",batches!F233)</f>
        <v/>
      </c>
      <c r="I1385" s="101" t="n"/>
      <c r="J1385" s="102" t="n"/>
    </row>
    <row r="1386" ht="15.75" customHeight="1" s="84">
      <c r="A1386" s="80" t="inlineStr">
        <is>
          <t>Capacity</t>
        </is>
      </c>
      <c r="B1386" s="103">
        <f>IF(A1381="","",batches!G232)</f>
        <v/>
      </c>
      <c r="C1386" s="101" t="n"/>
      <c r="D1386" s="102" t="n"/>
      <c r="G1386" s="80" t="inlineStr">
        <is>
          <t>Capacity</t>
        </is>
      </c>
      <c r="H1386" s="103">
        <f>IF(G1381="","",batches!G233)</f>
        <v/>
      </c>
      <c r="I1386" s="101" t="n"/>
      <c r="J1386" s="102" t="n"/>
    </row>
    <row r="1387" ht="15.75" customHeight="1" s="84">
      <c r="A1387" s="80" t="inlineStr">
        <is>
          <t>Enrolled</t>
        </is>
      </c>
      <c r="B1387" s="103">
        <f>IF(A1381="","",COUNTIF(admissions!$M:$M,batches!A232))</f>
        <v/>
      </c>
      <c r="C1387" s="101" t="n"/>
      <c r="D1387" s="102" t="n"/>
      <c r="G1387" s="80" t="inlineStr">
        <is>
          <t>Enrolled</t>
        </is>
      </c>
      <c r="H1387" s="103">
        <f>IF(G1381="","",COUNTIF(admissions!$M:$M,batches!A233))</f>
        <v/>
      </c>
      <c r="I1387" s="101" t="n"/>
      <c r="J1387" s="102" t="n"/>
    </row>
    <row r="1388" ht="15.75" customHeight="1" s="84">
      <c r="A1388" s="80" t="inlineStr">
        <is>
          <t>Available</t>
        </is>
      </c>
      <c r="B1388" s="103">
        <f>IF(OR(batches!A232="",batches!G232=""),"",batches!G232-COUNTIF(admissions!$M:$M,batches!A232))</f>
        <v/>
      </c>
      <c r="C1388" s="101" t="n"/>
      <c r="D1388" s="102" t="n"/>
      <c r="G1388" s="80" t="inlineStr">
        <is>
          <t>Available</t>
        </is>
      </c>
      <c r="H1388" s="103">
        <f>IF(OR(batches!A233="",batches!G233=""),"",batches!G233-COUNTIF(admissions!$M:$M,batches!A233))</f>
        <v/>
      </c>
      <c r="I1388" s="101" t="n"/>
      <c r="J1388" s="102" t="n"/>
    </row>
    <row r="1389" ht="15.75" customHeight="1" s="84">
      <c r="A1389" s="104" t="inlineStr">
        <is>
          <t>Student List</t>
        </is>
      </c>
      <c r="B1389" s="101" t="n"/>
      <c r="C1389" s="101" t="n"/>
      <c r="D1389" s="102" t="n"/>
      <c r="G1389" s="104" t="inlineStr">
        <is>
          <t>Student List</t>
        </is>
      </c>
      <c r="H1389" s="101" t="n"/>
      <c r="I1389" s="101" t="n"/>
      <c r="J1389" s="102" t="n"/>
    </row>
    <row r="1390" ht="15.75" customHeight="1" s="84">
      <c r="A1390" s="105">
        <f>IFERROR(__xludf.DUMMYFUNCTION("IF(batches!A232="""","""",TEXTJOIN(CHAR(10),TRUE,FILTER(admissions!$G$2:$G$78,admissions!$M$2:$M$78=batches!A232,"""")))"),"")</f>
        <v/>
      </c>
      <c r="B1390" s="101" t="n"/>
      <c r="C1390" s="101" t="n"/>
      <c r="D1390" s="102" t="n"/>
      <c r="G1390" s="105">
        <f>IFERROR(__xludf.DUMMYFUNCTION("IF(batches!A233="""","""",TEXTJOIN(CHAR(10),TRUE,FILTER(admissions!$G$2:$G$78,admissions!$M$2:$M$78=batches!A233,"""")))"),"")</f>
        <v/>
      </c>
      <c r="H1390" s="101" t="n"/>
      <c r="I1390" s="101" t="n"/>
      <c r="J1390" s="102" t="n"/>
    </row>
    <row r="1391" ht="15.75" customHeight="1" s="84"/>
    <row r="1392" ht="15.75" customHeight="1" s="84"/>
    <row r="1393" ht="15.75" customHeight="1" s="84">
      <c r="A1393" s="100">
        <f>IF(batches!A234="","",batches!A234)</f>
        <v/>
      </c>
      <c r="B1393" s="101" t="n"/>
      <c r="C1393" s="101" t="n"/>
      <c r="D1393" s="102" t="n"/>
      <c r="G1393" s="100">
        <f>IF(batches!A235="","",batches!A235)</f>
        <v/>
      </c>
      <c r="H1393" s="101" t="n"/>
      <c r="I1393" s="101" t="n"/>
      <c r="J1393" s="102" t="n"/>
    </row>
    <row r="1394" ht="15.75" customHeight="1" s="84">
      <c r="A1394" s="80" t="inlineStr">
        <is>
          <t>Level / Mode</t>
        </is>
      </c>
      <c r="B1394" s="103">
        <f>IF(A1393="","",batches!B234&amp;" / "&amp;batches!C234)</f>
        <v/>
      </c>
      <c r="C1394" s="101" t="n"/>
      <c r="D1394" s="102" t="n"/>
      <c r="G1394" s="80" t="inlineStr">
        <is>
          <t>Level / Mode</t>
        </is>
      </c>
      <c r="H1394" s="103">
        <f>IF(G1393="","",batches!B235&amp;" / "&amp;batches!C235)</f>
        <v/>
      </c>
      <c r="I1394" s="101" t="n"/>
      <c r="J1394" s="102" t="n"/>
    </row>
    <row r="1395" ht="15.75" customHeight="1" s="84">
      <c r="A1395" s="80" t="inlineStr">
        <is>
          <t>Dates</t>
        </is>
      </c>
      <c r="B1395" s="103">
        <f>IF(A1393="","",TEXT(batches!D234,"yyyy-mm-dd")&amp;" to "&amp;TEXT(batches!E234,"yyyy-mm-dd"))</f>
        <v/>
      </c>
      <c r="C1395" s="101" t="n"/>
      <c r="D1395" s="102" t="n"/>
      <c r="G1395" s="80" t="inlineStr">
        <is>
          <t>Dates</t>
        </is>
      </c>
      <c r="H1395" s="103">
        <f>IF(G1393="","",TEXT(batches!D235,"yyyy-mm-dd")&amp;" to "&amp;TEXT(batches!E235,"yyyy-mm-dd"))</f>
        <v/>
      </c>
      <c r="I1395" s="101" t="n"/>
      <c r="J1395" s="102" t="n"/>
    </row>
    <row r="1396" ht="15.75" customHeight="1" s="84">
      <c r="A1396" s="80" t="inlineStr">
        <is>
          <t>Duration</t>
        </is>
      </c>
      <c r="B1396" s="103">
        <f>IF(OR(batches!D234="",batches!E234=""),"",batches!E234-batches!D234+1&amp;" days")</f>
        <v/>
      </c>
      <c r="C1396" s="101" t="n"/>
      <c r="D1396" s="102" t="n"/>
      <c r="G1396" s="80" t="inlineStr">
        <is>
          <t>Duration</t>
        </is>
      </c>
      <c r="H1396" s="103">
        <f>IF(OR(batches!D235="",batches!E235=""),"",batches!E235-batches!D235+1&amp;" days")</f>
        <v/>
      </c>
      <c r="I1396" s="101" t="n"/>
      <c r="J1396" s="102" t="n"/>
    </row>
    <row r="1397" ht="15.75" customHeight="1" s="84">
      <c r="A1397" s="80" t="inlineStr">
        <is>
          <t>Timing</t>
        </is>
      </c>
      <c r="B1397" s="103">
        <f>IF(A1393="","",batches!F234)</f>
        <v/>
      </c>
      <c r="C1397" s="101" t="n"/>
      <c r="D1397" s="102" t="n"/>
      <c r="G1397" s="80" t="inlineStr">
        <is>
          <t>Timing</t>
        </is>
      </c>
      <c r="H1397" s="103">
        <f>IF(G1393="","",batches!F235)</f>
        <v/>
      </c>
      <c r="I1397" s="101" t="n"/>
      <c r="J1397" s="102" t="n"/>
    </row>
    <row r="1398" ht="15.75" customHeight="1" s="84">
      <c r="A1398" s="80" t="inlineStr">
        <is>
          <t>Capacity</t>
        </is>
      </c>
      <c r="B1398" s="103">
        <f>IF(A1393="","",batches!G234)</f>
        <v/>
      </c>
      <c r="C1398" s="101" t="n"/>
      <c r="D1398" s="102" t="n"/>
      <c r="G1398" s="80" t="inlineStr">
        <is>
          <t>Capacity</t>
        </is>
      </c>
      <c r="H1398" s="103">
        <f>IF(G1393="","",batches!G235)</f>
        <v/>
      </c>
      <c r="I1398" s="101" t="n"/>
      <c r="J1398" s="102" t="n"/>
    </row>
    <row r="1399" ht="15.75" customHeight="1" s="84">
      <c r="A1399" s="80" t="inlineStr">
        <is>
          <t>Enrolled</t>
        </is>
      </c>
      <c r="B1399" s="103">
        <f>IF(A1393="","",COUNTIF(admissions!$M:$M,batches!A234))</f>
        <v/>
      </c>
      <c r="C1399" s="101" t="n"/>
      <c r="D1399" s="102" t="n"/>
      <c r="G1399" s="80" t="inlineStr">
        <is>
          <t>Enrolled</t>
        </is>
      </c>
      <c r="H1399" s="103">
        <f>IF(G1393="","",COUNTIF(admissions!$M:$M,batches!A235))</f>
        <v/>
      </c>
      <c r="I1399" s="101" t="n"/>
      <c r="J1399" s="102" t="n"/>
    </row>
    <row r="1400" ht="15.75" customHeight="1" s="84">
      <c r="A1400" s="80" t="inlineStr">
        <is>
          <t>Available</t>
        </is>
      </c>
      <c r="B1400" s="103">
        <f>IF(OR(batches!A234="",batches!G234=""),"",batches!G234-COUNTIF(admissions!$M:$M,batches!A234))</f>
        <v/>
      </c>
      <c r="C1400" s="101" t="n"/>
      <c r="D1400" s="102" t="n"/>
      <c r="G1400" s="80" t="inlineStr">
        <is>
          <t>Available</t>
        </is>
      </c>
      <c r="H1400" s="103">
        <f>IF(OR(batches!A235="",batches!G235=""),"",batches!G235-COUNTIF(admissions!$M:$M,batches!A235))</f>
        <v/>
      </c>
      <c r="I1400" s="101" t="n"/>
      <c r="J1400" s="102" t="n"/>
    </row>
    <row r="1401" ht="15.75" customHeight="1" s="84">
      <c r="A1401" s="104" t="inlineStr">
        <is>
          <t>Student List</t>
        </is>
      </c>
      <c r="B1401" s="101" t="n"/>
      <c r="C1401" s="101" t="n"/>
      <c r="D1401" s="102" t="n"/>
      <c r="G1401" s="104" t="inlineStr">
        <is>
          <t>Student List</t>
        </is>
      </c>
      <c r="H1401" s="101" t="n"/>
      <c r="I1401" s="101" t="n"/>
      <c r="J1401" s="102" t="n"/>
    </row>
    <row r="1402" ht="15.75" customHeight="1" s="84">
      <c r="A1402" s="105">
        <f>IFERROR(__xludf.DUMMYFUNCTION("IF(batches!A234="""","""",TEXTJOIN(CHAR(10),TRUE,FILTER(admissions!$G$2:$G$78,admissions!$M$2:$M$78=batches!A234,"""")))"),"")</f>
        <v/>
      </c>
      <c r="B1402" s="101" t="n"/>
      <c r="C1402" s="101" t="n"/>
      <c r="D1402" s="102" t="n"/>
      <c r="G1402" s="105">
        <f>IFERROR(__xludf.DUMMYFUNCTION("IF(batches!A235="""","""",TEXTJOIN(CHAR(10),TRUE,FILTER(admissions!$G$2:$G$78,admissions!$M$2:$M$78=batches!A235,"""")))"),"")</f>
        <v/>
      </c>
      <c r="H1402" s="101" t="n"/>
      <c r="I1402" s="101" t="n"/>
      <c r="J1402" s="102" t="n"/>
    </row>
    <row r="1403" ht="15.75" customHeight="1" s="84"/>
    <row r="1404" ht="15.75" customHeight="1" s="84"/>
    <row r="1405" ht="15.75" customHeight="1" s="84">
      <c r="A1405" s="100">
        <f>IF(batches!A236="","",batches!A236)</f>
        <v/>
      </c>
      <c r="B1405" s="101" t="n"/>
      <c r="C1405" s="101" t="n"/>
      <c r="D1405" s="102" t="n"/>
      <c r="G1405" s="100">
        <f>IF(batches!A237="","",batches!A237)</f>
        <v/>
      </c>
      <c r="H1405" s="101" t="n"/>
      <c r="I1405" s="101" t="n"/>
      <c r="J1405" s="102" t="n"/>
    </row>
    <row r="1406" ht="15.75" customHeight="1" s="84">
      <c r="A1406" s="80" t="inlineStr">
        <is>
          <t>Level / Mode</t>
        </is>
      </c>
      <c r="B1406" s="103">
        <f>IF(A1405="","",batches!B236&amp;" / "&amp;batches!C236)</f>
        <v/>
      </c>
      <c r="C1406" s="101" t="n"/>
      <c r="D1406" s="102" t="n"/>
      <c r="G1406" s="80" t="inlineStr">
        <is>
          <t>Level / Mode</t>
        </is>
      </c>
      <c r="H1406" s="103">
        <f>IF(G1405="","",batches!B237&amp;" / "&amp;batches!C237)</f>
        <v/>
      </c>
      <c r="I1406" s="101" t="n"/>
      <c r="J1406" s="102" t="n"/>
    </row>
    <row r="1407" ht="15.75" customHeight="1" s="84">
      <c r="A1407" s="80" t="inlineStr">
        <is>
          <t>Dates</t>
        </is>
      </c>
      <c r="B1407" s="103">
        <f>IF(A1405="","",TEXT(batches!D236,"yyyy-mm-dd")&amp;" to "&amp;TEXT(batches!E236,"yyyy-mm-dd"))</f>
        <v/>
      </c>
      <c r="C1407" s="101" t="n"/>
      <c r="D1407" s="102" t="n"/>
      <c r="G1407" s="80" t="inlineStr">
        <is>
          <t>Dates</t>
        </is>
      </c>
      <c r="H1407" s="103">
        <f>IF(G1405="","",TEXT(batches!D237,"yyyy-mm-dd")&amp;" to "&amp;TEXT(batches!E237,"yyyy-mm-dd"))</f>
        <v/>
      </c>
      <c r="I1407" s="101" t="n"/>
      <c r="J1407" s="102" t="n"/>
    </row>
    <row r="1408" ht="15.75" customHeight="1" s="84">
      <c r="A1408" s="80" t="inlineStr">
        <is>
          <t>Duration</t>
        </is>
      </c>
      <c r="B1408" s="103">
        <f>IF(OR(batches!D236="",batches!E236=""),"",batches!E236-batches!D236+1&amp;" days")</f>
        <v/>
      </c>
      <c r="C1408" s="101" t="n"/>
      <c r="D1408" s="102" t="n"/>
      <c r="G1408" s="80" t="inlineStr">
        <is>
          <t>Duration</t>
        </is>
      </c>
      <c r="H1408" s="103">
        <f>IF(OR(batches!D237="",batches!E237=""),"",batches!E237-batches!D237+1&amp;" days")</f>
        <v/>
      </c>
      <c r="I1408" s="101" t="n"/>
      <c r="J1408" s="102" t="n"/>
    </row>
    <row r="1409" ht="15.75" customHeight="1" s="84">
      <c r="A1409" s="80" t="inlineStr">
        <is>
          <t>Timing</t>
        </is>
      </c>
      <c r="B1409" s="103">
        <f>IF(A1405="","",batches!F236)</f>
        <v/>
      </c>
      <c r="C1409" s="101" t="n"/>
      <c r="D1409" s="102" t="n"/>
      <c r="G1409" s="80" t="inlineStr">
        <is>
          <t>Timing</t>
        </is>
      </c>
      <c r="H1409" s="103">
        <f>IF(G1405="","",batches!F237)</f>
        <v/>
      </c>
      <c r="I1409" s="101" t="n"/>
      <c r="J1409" s="102" t="n"/>
    </row>
    <row r="1410" ht="15.75" customHeight="1" s="84">
      <c r="A1410" s="80" t="inlineStr">
        <is>
          <t>Capacity</t>
        </is>
      </c>
      <c r="B1410" s="103">
        <f>IF(A1405="","",batches!G236)</f>
        <v/>
      </c>
      <c r="C1410" s="101" t="n"/>
      <c r="D1410" s="102" t="n"/>
      <c r="G1410" s="80" t="inlineStr">
        <is>
          <t>Capacity</t>
        </is>
      </c>
      <c r="H1410" s="103">
        <f>IF(G1405="","",batches!G237)</f>
        <v/>
      </c>
      <c r="I1410" s="101" t="n"/>
      <c r="J1410" s="102" t="n"/>
    </row>
    <row r="1411" ht="15.75" customHeight="1" s="84">
      <c r="A1411" s="80" t="inlineStr">
        <is>
          <t>Enrolled</t>
        </is>
      </c>
      <c r="B1411" s="103">
        <f>IF(A1405="","",COUNTIF(admissions!$M:$M,batches!A236))</f>
        <v/>
      </c>
      <c r="C1411" s="101" t="n"/>
      <c r="D1411" s="102" t="n"/>
      <c r="G1411" s="80" t="inlineStr">
        <is>
          <t>Enrolled</t>
        </is>
      </c>
      <c r="H1411" s="103">
        <f>IF(G1405="","",COUNTIF(admissions!$M:$M,batches!A237))</f>
        <v/>
      </c>
      <c r="I1411" s="101" t="n"/>
      <c r="J1411" s="102" t="n"/>
    </row>
    <row r="1412" ht="15.75" customHeight="1" s="84">
      <c r="A1412" s="80" t="inlineStr">
        <is>
          <t>Available</t>
        </is>
      </c>
      <c r="B1412" s="103">
        <f>IF(OR(batches!A236="",batches!G236=""),"",batches!G236-COUNTIF(admissions!$M:$M,batches!A236))</f>
        <v/>
      </c>
      <c r="C1412" s="101" t="n"/>
      <c r="D1412" s="102" t="n"/>
      <c r="G1412" s="80" t="inlineStr">
        <is>
          <t>Available</t>
        </is>
      </c>
      <c r="H1412" s="103">
        <f>IF(OR(batches!A237="",batches!G237=""),"",batches!G237-COUNTIF(admissions!$M:$M,batches!A237))</f>
        <v/>
      </c>
      <c r="I1412" s="101" t="n"/>
      <c r="J1412" s="102" t="n"/>
    </row>
    <row r="1413" ht="15.75" customHeight="1" s="84">
      <c r="A1413" s="104" t="inlineStr">
        <is>
          <t>Student List</t>
        </is>
      </c>
      <c r="B1413" s="101" t="n"/>
      <c r="C1413" s="101" t="n"/>
      <c r="D1413" s="102" t="n"/>
      <c r="G1413" s="104" t="inlineStr">
        <is>
          <t>Student List</t>
        </is>
      </c>
      <c r="H1413" s="101" t="n"/>
      <c r="I1413" s="101" t="n"/>
      <c r="J1413" s="102" t="n"/>
    </row>
    <row r="1414" ht="15.75" customHeight="1" s="84">
      <c r="A1414" s="105">
        <f>IFERROR(__xludf.DUMMYFUNCTION("IF(batches!A236="""","""",TEXTJOIN(CHAR(10),TRUE,FILTER(admissions!$G$2:$G$78,admissions!$M$2:$M$78=batches!A236,"""")))"),"")</f>
        <v/>
      </c>
      <c r="B1414" s="101" t="n"/>
      <c r="C1414" s="101" t="n"/>
      <c r="D1414" s="102" t="n"/>
      <c r="G1414" s="105">
        <f>IFERROR(__xludf.DUMMYFUNCTION("IF(batches!A237="""","""",TEXTJOIN(CHAR(10),TRUE,FILTER(admissions!$G$2:$G$78,admissions!$M$2:$M$78=batches!A237,"""")))"),"")</f>
        <v/>
      </c>
      <c r="H1414" s="101" t="n"/>
      <c r="I1414" s="101" t="n"/>
      <c r="J1414" s="102" t="n"/>
    </row>
    <row r="1415" ht="15.75" customHeight="1" s="84"/>
    <row r="1416" ht="15.75" customHeight="1" s="84"/>
    <row r="1417" ht="15.75" customHeight="1" s="84">
      <c r="A1417" s="100">
        <f>IF(batches!A238="","",batches!A238)</f>
        <v/>
      </c>
      <c r="B1417" s="101" t="n"/>
      <c r="C1417" s="101" t="n"/>
      <c r="D1417" s="102" t="n"/>
      <c r="G1417" s="100">
        <f>IF(batches!A239="","",batches!A239)</f>
        <v/>
      </c>
      <c r="H1417" s="101" t="n"/>
      <c r="I1417" s="101" t="n"/>
      <c r="J1417" s="102" t="n"/>
    </row>
    <row r="1418" ht="15.75" customHeight="1" s="84">
      <c r="A1418" s="80" t="inlineStr">
        <is>
          <t>Level / Mode</t>
        </is>
      </c>
      <c r="B1418" s="103">
        <f>IF(A1417="","",batches!B238&amp;" / "&amp;batches!C238)</f>
        <v/>
      </c>
      <c r="C1418" s="101" t="n"/>
      <c r="D1418" s="102" t="n"/>
      <c r="G1418" s="80" t="inlineStr">
        <is>
          <t>Level / Mode</t>
        </is>
      </c>
      <c r="H1418" s="103">
        <f>IF(G1417="","",batches!B239&amp;" / "&amp;batches!C239)</f>
        <v/>
      </c>
      <c r="I1418" s="101" t="n"/>
      <c r="J1418" s="102" t="n"/>
    </row>
    <row r="1419" ht="15.75" customHeight="1" s="84">
      <c r="A1419" s="80" t="inlineStr">
        <is>
          <t>Dates</t>
        </is>
      </c>
      <c r="B1419" s="103">
        <f>IF(A1417="","",TEXT(batches!D238,"yyyy-mm-dd")&amp;" to "&amp;TEXT(batches!E238,"yyyy-mm-dd"))</f>
        <v/>
      </c>
      <c r="C1419" s="101" t="n"/>
      <c r="D1419" s="102" t="n"/>
      <c r="G1419" s="80" t="inlineStr">
        <is>
          <t>Dates</t>
        </is>
      </c>
      <c r="H1419" s="103">
        <f>IF(G1417="","",TEXT(batches!D239,"yyyy-mm-dd")&amp;" to "&amp;TEXT(batches!E239,"yyyy-mm-dd"))</f>
        <v/>
      </c>
      <c r="I1419" s="101" t="n"/>
      <c r="J1419" s="102" t="n"/>
    </row>
    <row r="1420" ht="15.75" customHeight="1" s="84">
      <c r="A1420" s="80" t="inlineStr">
        <is>
          <t>Duration</t>
        </is>
      </c>
      <c r="B1420" s="103">
        <f>IF(OR(batches!D238="",batches!E238=""),"",batches!E238-batches!D238+1&amp;" days")</f>
        <v/>
      </c>
      <c r="C1420" s="101" t="n"/>
      <c r="D1420" s="102" t="n"/>
      <c r="G1420" s="80" t="inlineStr">
        <is>
          <t>Duration</t>
        </is>
      </c>
      <c r="H1420" s="103">
        <f>IF(OR(batches!D239="",batches!E239=""),"",batches!E239-batches!D239+1&amp;" days")</f>
        <v/>
      </c>
      <c r="I1420" s="101" t="n"/>
      <c r="J1420" s="102" t="n"/>
    </row>
    <row r="1421" ht="15.75" customHeight="1" s="84">
      <c r="A1421" s="80" t="inlineStr">
        <is>
          <t>Timing</t>
        </is>
      </c>
      <c r="B1421" s="103">
        <f>IF(A1417="","",batches!F238)</f>
        <v/>
      </c>
      <c r="C1421" s="101" t="n"/>
      <c r="D1421" s="102" t="n"/>
      <c r="G1421" s="80" t="inlineStr">
        <is>
          <t>Timing</t>
        </is>
      </c>
      <c r="H1421" s="103">
        <f>IF(G1417="","",batches!F239)</f>
        <v/>
      </c>
      <c r="I1421" s="101" t="n"/>
      <c r="J1421" s="102" t="n"/>
    </row>
    <row r="1422" ht="15.75" customHeight="1" s="84">
      <c r="A1422" s="80" t="inlineStr">
        <is>
          <t>Capacity</t>
        </is>
      </c>
      <c r="B1422" s="103">
        <f>IF(A1417="","",batches!G238)</f>
        <v/>
      </c>
      <c r="C1422" s="101" t="n"/>
      <c r="D1422" s="102" t="n"/>
      <c r="G1422" s="80" t="inlineStr">
        <is>
          <t>Capacity</t>
        </is>
      </c>
      <c r="H1422" s="103">
        <f>IF(G1417="","",batches!G239)</f>
        <v/>
      </c>
      <c r="I1422" s="101" t="n"/>
      <c r="J1422" s="102" t="n"/>
    </row>
    <row r="1423" ht="15.75" customHeight="1" s="84">
      <c r="A1423" s="80" t="inlineStr">
        <is>
          <t>Enrolled</t>
        </is>
      </c>
      <c r="B1423" s="103">
        <f>IF(A1417="","",COUNTIF(admissions!$M:$M,batches!A238))</f>
        <v/>
      </c>
      <c r="C1423" s="101" t="n"/>
      <c r="D1423" s="102" t="n"/>
      <c r="G1423" s="80" t="inlineStr">
        <is>
          <t>Enrolled</t>
        </is>
      </c>
      <c r="H1423" s="103">
        <f>IF(G1417="","",COUNTIF(admissions!$M:$M,batches!A239))</f>
        <v/>
      </c>
      <c r="I1423" s="101" t="n"/>
      <c r="J1423" s="102" t="n"/>
    </row>
    <row r="1424" ht="15.75" customHeight="1" s="84">
      <c r="A1424" s="80" t="inlineStr">
        <is>
          <t>Available</t>
        </is>
      </c>
      <c r="B1424" s="103">
        <f>IF(OR(batches!A238="",batches!G238=""),"",batches!G238-COUNTIF(admissions!$M:$M,batches!A238))</f>
        <v/>
      </c>
      <c r="C1424" s="101" t="n"/>
      <c r="D1424" s="102" t="n"/>
      <c r="G1424" s="80" t="inlineStr">
        <is>
          <t>Available</t>
        </is>
      </c>
      <c r="H1424" s="103">
        <f>IF(OR(batches!A239="",batches!G239=""),"",batches!G239-COUNTIF(admissions!$M:$M,batches!A239))</f>
        <v/>
      </c>
      <c r="I1424" s="101" t="n"/>
      <c r="J1424" s="102" t="n"/>
    </row>
    <row r="1425" ht="15.75" customHeight="1" s="84">
      <c r="A1425" s="104" t="inlineStr">
        <is>
          <t>Student List</t>
        </is>
      </c>
      <c r="B1425" s="101" t="n"/>
      <c r="C1425" s="101" t="n"/>
      <c r="D1425" s="102" t="n"/>
      <c r="G1425" s="104" t="inlineStr">
        <is>
          <t>Student List</t>
        </is>
      </c>
      <c r="H1425" s="101" t="n"/>
      <c r="I1425" s="101" t="n"/>
      <c r="J1425" s="102" t="n"/>
    </row>
    <row r="1426" ht="15.75" customHeight="1" s="84">
      <c r="A1426" s="105">
        <f>IFERROR(__xludf.DUMMYFUNCTION("IF(batches!A238="""","""",TEXTJOIN(CHAR(10),TRUE,FILTER(admissions!$G$2:$G$78,admissions!$M$2:$M$78=batches!A238,"""")))"),"")</f>
        <v/>
      </c>
      <c r="B1426" s="101" t="n"/>
      <c r="C1426" s="101" t="n"/>
      <c r="D1426" s="102" t="n"/>
      <c r="G1426" s="105">
        <f>IFERROR(__xludf.DUMMYFUNCTION("IF(batches!A239="""","""",TEXTJOIN(CHAR(10),TRUE,FILTER(admissions!$G$2:$G$78,admissions!$M$2:$M$78=batches!A239,"""")))"),"")</f>
        <v/>
      </c>
      <c r="H1426" s="101" t="n"/>
      <c r="I1426" s="101" t="n"/>
      <c r="J1426" s="102" t="n"/>
    </row>
    <row r="1427" ht="15.75" customHeight="1" s="84"/>
    <row r="1428" ht="15.75" customHeight="1" s="84"/>
    <row r="1429" ht="15.75" customHeight="1" s="84">
      <c r="A1429" s="100">
        <f>IF(batches!A240="","",batches!A240)</f>
        <v/>
      </c>
      <c r="B1429" s="101" t="n"/>
      <c r="C1429" s="101" t="n"/>
      <c r="D1429" s="102" t="n"/>
      <c r="G1429" s="100">
        <f>IF(batches!A241="","",batches!A241)</f>
        <v/>
      </c>
      <c r="H1429" s="101" t="n"/>
      <c r="I1429" s="101" t="n"/>
      <c r="J1429" s="102" t="n"/>
    </row>
    <row r="1430" ht="15.75" customHeight="1" s="84">
      <c r="A1430" s="80" t="inlineStr">
        <is>
          <t>Level / Mode</t>
        </is>
      </c>
      <c r="B1430" s="103">
        <f>IF(A1429="","",batches!B240&amp;" / "&amp;batches!C240)</f>
        <v/>
      </c>
      <c r="C1430" s="101" t="n"/>
      <c r="D1430" s="102" t="n"/>
      <c r="G1430" s="80" t="inlineStr">
        <is>
          <t>Level / Mode</t>
        </is>
      </c>
      <c r="H1430" s="103">
        <f>IF(G1429="","",batches!B241&amp;" / "&amp;batches!C241)</f>
        <v/>
      </c>
      <c r="I1430" s="101" t="n"/>
      <c r="J1430" s="102" t="n"/>
    </row>
    <row r="1431" ht="15.75" customHeight="1" s="84">
      <c r="A1431" s="80" t="inlineStr">
        <is>
          <t>Dates</t>
        </is>
      </c>
      <c r="B1431" s="103">
        <f>IF(A1429="","",TEXT(batches!D240,"yyyy-mm-dd")&amp;" to "&amp;TEXT(batches!E240,"yyyy-mm-dd"))</f>
        <v/>
      </c>
      <c r="C1431" s="101" t="n"/>
      <c r="D1431" s="102" t="n"/>
      <c r="G1431" s="80" t="inlineStr">
        <is>
          <t>Dates</t>
        </is>
      </c>
      <c r="H1431" s="103">
        <f>IF(G1429="","",TEXT(batches!D241,"yyyy-mm-dd")&amp;" to "&amp;TEXT(batches!E241,"yyyy-mm-dd"))</f>
        <v/>
      </c>
      <c r="I1431" s="101" t="n"/>
      <c r="J1431" s="102" t="n"/>
    </row>
    <row r="1432" ht="15.75" customHeight="1" s="84">
      <c r="A1432" s="80" t="inlineStr">
        <is>
          <t>Duration</t>
        </is>
      </c>
      <c r="B1432" s="103">
        <f>IF(OR(batches!D240="",batches!E240=""),"",batches!E240-batches!D240+1&amp;" days")</f>
        <v/>
      </c>
      <c r="C1432" s="101" t="n"/>
      <c r="D1432" s="102" t="n"/>
      <c r="G1432" s="80" t="inlineStr">
        <is>
          <t>Duration</t>
        </is>
      </c>
      <c r="H1432" s="103">
        <f>IF(OR(batches!D241="",batches!E241=""),"",batches!E241-batches!D241+1&amp;" days")</f>
        <v/>
      </c>
      <c r="I1432" s="101" t="n"/>
      <c r="J1432" s="102" t="n"/>
    </row>
    <row r="1433" ht="15.75" customHeight="1" s="84">
      <c r="A1433" s="80" t="inlineStr">
        <is>
          <t>Timing</t>
        </is>
      </c>
      <c r="B1433" s="103">
        <f>IF(A1429="","",batches!F240)</f>
        <v/>
      </c>
      <c r="C1433" s="101" t="n"/>
      <c r="D1433" s="102" t="n"/>
      <c r="G1433" s="80" t="inlineStr">
        <is>
          <t>Timing</t>
        </is>
      </c>
      <c r="H1433" s="103">
        <f>IF(G1429="","",batches!F241)</f>
        <v/>
      </c>
      <c r="I1433" s="101" t="n"/>
      <c r="J1433" s="102" t="n"/>
    </row>
    <row r="1434" ht="15.75" customHeight="1" s="84">
      <c r="A1434" s="80" t="inlineStr">
        <is>
          <t>Capacity</t>
        </is>
      </c>
      <c r="B1434" s="103">
        <f>IF(A1429="","",batches!G240)</f>
        <v/>
      </c>
      <c r="C1434" s="101" t="n"/>
      <c r="D1434" s="102" t="n"/>
      <c r="G1434" s="80" t="inlineStr">
        <is>
          <t>Capacity</t>
        </is>
      </c>
      <c r="H1434" s="103">
        <f>IF(G1429="","",batches!G241)</f>
        <v/>
      </c>
      <c r="I1434" s="101" t="n"/>
      <c r="J1434" s="102" t="n"/>
    </row>
    <row r="1435" ht="15.75" customHeight="1" s="84">
      <c r="A1435" s="80" t="inlineStr">
        <is>
          <t>Enrolled</t>
        </is>
      </c>
      <c r="B1435" s="103">
        <f>IF(A1429="","",COUNTIF(admissions!$M:$M,batches!A240))</f>
        <v/>
      </c>
      <c r="C1435" s="101" t="n"/>
      <c r="D1435" s="102" t="n"/>
      <c r="G1435" s="80" t="inlineStr">
        <is>
          <t>Enrolled</t>
        </is>
      </c>
      <c r="H1435" s="103">
        <f>IF(G1429="","",COUNTIF(admissions!$M:$M,batches!A241))</f>
        <v/>
      </c>
      <c r="I1435" s="101" t="n"/>
      <c r="J1435" s="102" t="n"/>
    </row>
    <row r="1436" ht="15.75" customHeight="1" s="84">
      <c r="A1436" s="80" t="inlineStr">
        <is>
          <t>Available</t>
        </is>
      </c>
      <c r="B1436" s="103">
        <f>IF(OR(batches!A240="",batches!G240=""),"",batches!G240-COUNTIF(admissions!$M:$M,batches!A240))</f>
        <v/>
      </c>
      <c r="C1436" s="101" t="n"/>
      <c r="D1436" s="102" t="n"/>
      <c r="G1436" s="80" t="inlineStr">
        <is>
          <t>Available</t>
        </is>
      </c>
      <c r="H1436" s="103">
        <f>IF(OR(batches!A241="",batches!G241=""),"",batches!G241-COUNTIF(admissions!$M:$M,batches!A241))</f>
        <v/>
      </c>
      <c r="I1436" s="101" t="n"/>
      <c r="J1436" s="102" t="n"/>
    </row>
    <row r="1437" ht="15.75" customHeight="1" s="84">
      <c r="A1437" s="104" t="inlineStr">
        <is>
          <t>Student List</t>
        </is>
      </c>
      <c r="B1437" s="101" t="n"/>
      <c r="C1437" s="101" t="n"/>
      <c r="D1437" s="102" t="n"/>
      <c r="G1437" s="104" t="inlineStr">
        <is>
          <t>Student List</t>
        </is>
      </c>
      <c r="H1437" s="101" t="n"/>
      <c r="I1437" s="101" t="n"/>
      <c r="J1437" s="102" t="n"/>
    </row>
    <row r="1438" ht="15.75" customHeight="1" s="84">
      <c r="A1438" s="105">
        <f>IFERROR(__xludf.DUMMYFUNCTION("IF(batches!A240="""","""",TEXTJOIN(CHAR(10),TRUE,FILTER(admissions!$G$2:$G$78,admissions!$M$2:$M$78=batches!A240,"""")))"),"")</f>
        <v/>
      </c>
      <c r="B1438" s="101" t="n"/>
      <c r="C1438" s="101" t="n"/>
      <c r="D1438" s="102" t="n"/>
      <c r="G1438" s="105">
        <f>IFERROR(__xludf.DUMMYFUNCTION("IF(batches!A241="""","""",TEXTJOIN(CHAR(10),TRUE,FILTER(admissions!$G$2:$G$78,admissions!$M$2:$M$78=batches!A241,"""")))"),"")</f>
        <v/>
      </c>
      <c r="H1438" s="101" t="n"/>
      <c r="I1438" s="101" t="n"/>
      <c r="J1438" s="102" t="n"/>
    </row>
    <row r="1439" ht="15.75" customHeight="1" s="84"/>
    <row r="1440" ht="15.75" customHeight="1" s="84"/>
    <row r="1441" ht="15.75" customHeight="1" s="84">
      <c r="A1441" s="100">
        <f>IF(batches!A242="","",batches!A242)</f>
        <v/>
      </c>
      <c r="B1441" s="101" t="n"/>
      <c r="C1441" s="101" t="n"/>
      <c r="D1441" s="102" t="n"/>
      <c r="G1441" s="100">
        <f>IF(batches!A243="","",batches!A243)</f>
        <v/>
      </c>
      <c r="H1441" s="101" t="n"/>
      <c r="I1441" s="101" t="n"/>
      <c r="J1441" s="102" t="n"/>
    </row>
    <row r="1442" ht="15.75" customHeight="1" s="84">
      <c r="A1442" s="80" t="inlineStr">
        <is>
          <t>Level / Mode</t>
        </is>
      </c>
      <c r="B1442" s="103">
        <f>IF(A1441="","",batches!B242&amp;" / "&amp;batches!C242)</f>
        <v/>
      </c>
      <c r="C1442" s="101" t="n"/>
      <c r="D1442" s="102" t="n"/>
      <c r="G1442" s="80" t="inlineStr">
        <is>
          <t>Level / Mode</t>
        </is>
      </c>
      <c r="H1442" s="103">
        <f>IF(G1441="","",batches!B243&amp;" / "&amp;batches!C243)</f>
        <v/>
      </c>
      <c r="I1442" s="101" t="n"/>
      <c r="J1442" s="102" t="n"/>
    </row>
    <row r="1443" ht="15.75" customHeight="1" s="84">
      <c r="A1443" s="80" t="inlineStr">
        <is>
          <t>Dates</t>
        </is>
      </c>
      <c r="B1443" s="103">
        <f>IF(A1441="","",TEXT(batches!D242,"yyyy-mm-dd")&amp;" to "&amp;TEXT(batches!E242,"yyyy-mm-dd"))</f>
        <v/>
      </c>
      <c r="C1443" s="101" t="n"/>
      <c r="D1443" s="102" t="n"/>
      <c r="G1443" s="80" t="inlineStr">
        <is>
          <t>Dates</t>
        </is>
      </c>
      <c r="H1443" s="103">
        <f>IF(G1441="","",TEXT(batches!D243,"yyyy-mm-dd")&amp;" to "&amp;TEXT(batches!E243,"yyyy-mm-dd"))</f>
        <v/>
      </c>
      <c r="I1443" s="101" t="n"/>
      <c r="J1443" s="102" t="n"/>
    </row>
    <row r="1444" ht="15.75" customHeight="1" s="84">
      <c r="A1444" s="80" t="inlineStr">
        <is>
          <t>Duration</t>
        </is>
      </c>
      <c r="B1444" s="103">
        <f>IF(OR(batches!D242="",batches!E242=""),"",batches!E242-batches!D242+1&amp;" days")</f>
        <v/>
      </c>
      <c r="C1444" s="101" t="n"/>
      <c r="D1444" s="102" t="n"/>
      <c r="G1444" s="80" t="inlineStr">
        <is>
          <t>Duration</t>
        </is>
      </c>
      <c r="H1444" s="103">
        <f>IF(OR(batches!D243="",batches!E243=""),"",batches!E243-batches!D243+1&amp;" days")</f>
        <v/>
      </c>
      <c r="I1444" s="101" t="n"/>
      <c r="J1444" s="102" t="n"/>
    </row>
    <row r="1445" ht="15.75" customHeight="1" s="84">
      <c r="A1445" s="80" t="inlineStr">
        <is>
          <t>Timing</t>
        </is>
      </c>
      <c r="B1445" s="103">
        <f>IF(A1441="","",batches!F242)</f>
        <v/>
      </c>
      <c r="C1445" s="101" t="n"/>
      <c r="D1445" s="102" t="n"/>
      <c r="G1445" s="80" t="inlineStr">
        <is>
          <t>Timing</t>
        </is>
      </c>
      <c r="H1445" s="103">
        <f>IF(G1441="","",batches!F243)</f>
        <v/>
      </c>
      <c r="I1445" s="101" t="n"/>
      <c r="J1445" s="102" t="n"/>
    </row>
    <row r="1446" ht="15.75" customHeight="1" s="84">
      <c r="A1446" s="80" t="inlineStr">
        <is>
          <t>Capacity</t>
        </is>
      </c>
      <c r="B1446" s="103">
        <f>IF(A1441="","",batches!G242)</f>
        <v/>
      </c>
      <c r="C1446" s="101" t="n"/>
      <c r="D1446" s="102" t="n"/>
      <c r="G1446" s="80" t="inlineStr">
        <is>
          <t>Capacity</t>
        </is>
      </c>
      <c r="H1446" s="103">
        <f>IF(G1441="","",batches!G243)</f>
        <v/>
      </c>
      <c r="I1446" s="101" t="n"/>
      <c r="J1446" s="102" t="n"/>
    </row>
    <row r="1447" ht="15.75" customHeight="1" s="84">
      <c r="A1447" s="80" t="inlineStr">
        <is>
          <t>Enrolled</t>
        </is>
      </c>
      <c r="B1447" s="103">
        <f>IF(A1441="","",COUNTIF(admissions!$M:$M,batches!A242))</f>
        <v/>
      </c>
      <c r="C1447" s="101" t="n"/>
      <c r="D1447" s="102" t="n"/>
      <c r="G1447" s="80" t="inlineStr">
        <is>
          <t>Enrolled</t>
        </is>
      </c>
      <c r="H1447" s="103">
        <f>IF(G1441="","",COUNTIF(admissions!$M:$M,batches!A243))</f>
        <v/>
      </c>
      <c r="I1447" s="101" t="n"/>
      <c r="J1447" s="102" t="n"/>
    </row>
    <row r="1448" ht="15.75" customHeight="1" s="84">
      <c r="A1448" s="80" t="inlineStr">
        <is>
          <t>Available</t>
        </is>
      </c>
      <c r="B1448" s="103">
        <f>IF(OR(batches!A242="",batches!G242=""),"",batches!G242-COUNTIF(admissions!$M:$M,batches!A242))</f>
        <v/>
      </c>
      <c r="C1448" s="101" t="n"/>
      <c r="D1448" s="102" t="n"/>
      <c r="G1448" s="80" t="inlineStr">
        <is>
          <t>Available</t>
        </is>
      </c>
      <c r="H1448" s="103">
        <f>IF(OR(batches!A243="",batches!G243=""),"",batches!G243-COUNTIF(admissions!$M:$M,batches!A243))</f>
        <v/>
      </c>
      <c r="I1448" s="101" t="n"/>
      <c r="J1448" s="102" t="n"/>
    </row>
    <row r="1449" ht="15.75" customHeight="1" s="84">
      <c r="A1449" s="104" t="inlineStr">
        <is>
          <t>Student List</t>
        </is>
      </c>
      <c r="B1449" s="101" t="n"/>
      <c r="C1449" s="101" t="n"/>
      <c r="D1449" s="102" t="n"/>
      <c r="G1449" s="104" t="inlineStr">
        <is>
          <t>Student List</t>
        </is>
      </c>
      <c r="H1449" s="101" t="n"/>
      <c r="I1449" s="101" t="n"/>
      <c r="J1449" s="102" t="n"/>
    </row>
    <row r="1450" ht="15.75" customHeight="1" s="84">
      <c r="A1450" s="105">
        <f>IFERROR(__xludf.DUMMYFUNCTION("IF(batches!A242="""","""",TEXTJOIN(CHAR(10),TRUE,FILTER(admissions!$G$2:$G$78,admissions!$M$2:$M$78=batches!A242,"""")))"),"")</f>
        <v/>
      </c>
      <c r="B1450" s="101" t="n"/>
      <c r="C1450" s="101" t="n"/>
      <c r="D1450" s="102" t="n"/>
      <c r="G1450" s="105">
        <f>IFERROR(__xludf.DUMMYFUNCTION("IF(batches!A243="""","""",TEXTJOIN(CHAR(10),TRUE,FILTER(admissions!$G$2:$G$78,admissions!$M$2:$M$78=batches!A243,"""")))"),"")</f>
        <v/>
      </c>
      <c r="H1450" s="101" t="n"/>
      <c r="I1450" s="101" t="n"/>
      <c r="J1450" s="102" t="n"/>
    </row>
    <row r="1451" ht="15.75" customHeight="1" s="84"/>
    <row r="1452" ht="15.75" customHeight="1" s="84"/>
    <row r="1453" ht="15.75" customHeight="1" s="84">
      <c r="A1453" s="100">
        <f>IF(batches!A244="","",batches!A244)</f>
        <v/>
      </c>
      <c r="B1453" s="101" t="n"/>
      <c r="C1453" s="101" t="n"/>
      <c r="D1453" s="102" t="n"/>
      <c r="G1453" s="100">
        <f>IF(batches!A245="","",batches!A245)</f>
        <v/>
      </c>
      <c r="H1453" s="101" t="n"/>
      <c r="I1453" s="101" t="n"/>
      <c r="J1453" s="102" t="n"/>
    </row>
    <row r="1454" ht="15.75" customHeight="1" s="84">
      <c r="A1454" s="80" t="inlineStr">
        <is>
          <t>Level / Mode</t>
        </is>
      </c>
      <c r="B1454" s="103">
        <f>IF(A1453="","",batches!B244&amp;" / "&amp;batches!C244)</f>
        <v/>
      </c>
      <c r="C1454" s="101" t="n"/>
      <c r="D1454" s="102" t="n"/>
      <c r="G1454" s="80" t="inlineStr">
        <is>
          <t>Level / Mode</t>
        </is>
      </c>
      <c r="H1454" s="103">
        <f>IF(G1453="","",batches!B245&amp;" / "&amp;batches!C245)</f>
        <v/>
      </c>
      <c r="I1454" s="101" t="n"/>
      <c r="J1454" s="102" t="n"/>
    </row>
    <row r="1455" ht="15.75" customHeight="1" s="84">
      <c r="A1455" s="80" t="inlineStr">
        <is>
          <t>Dates</t>
        </is>
      </c>
      <c r="B1455" s="103">
        <f>IF(A1453="","",TEXT(batches!D244,"yyyy-mm-dd")&amp;" to "&amp;TEXT(batches!E244,"yyyy-mm-dd"))</f>
        <v/>
      </c>
      <c r="C1455" s="101" t="n"/>
      <c r="D1455" s="102" t="n"/>
      <c r="G1455" s="80" t="inlineStr">
        <is>
          <t>Dates</t>
        </is>
      </c>
      <c r="H1455" s="103">
        <f>IF(G1453="","",TEXT(batches!D245,"yyyy-mm-dd")&amp;" to "&amp;TEXT(batches!E245,"yyyy-mm-dd"))</f>
        <v/>
      </c>
      <c r="I1455" s="101" t="n"/>
      <c r="J1455" s="102" t="n"/>
    </row>
    <row r="1456" ht="15.75" customHeight="1" s="84">
      <c r="A1456" s="80" t="inlineStr">
        <is>
          <t>Duration</t>
        </is>
      </c>
      <c r="B1456" s="103">
        <f>IF(OR(batches!D244="",batches!E244=""),"",batches!E244-batches!D244+1&amp;" days")</f>
        <v/>
      </c>
      <c r="C1456" s="101" t="n"/>
      <c r="D1456" s="102" t="n"/>
      <c r="G1456" s="80" t="inlineStr">
        <is>
          <t>Duration</t>
        </is>
      </c>
      <c r="H1456" s="103">
        <f>IF(OR(batches!D245="",batches!E245=""),"",batches!E245-batches!D245+1&amp;" days")</f>
        <v/>
      </c>
      <c r="I1456" s="101" t="n"/>
      <c r="J1456" s="102" t="n"/>
    </row>
    <row r="1457" ht="15.75" customHeight="1" s="84">
      <c r="A1457" s="80" t="inlineStr">
        <is>
          <t>Timing</t>
        </is>
      </c>
      <c r="B1457" s="103">
        <f>IF(A1453="","",batches!F244)</f>
        <v/>
      </c>
      <c r="C1457" s="101" t="n"/>
      <c r="D1457" s="102" t="n"/>
      <c r="G1457" s="80" t="inlineStr">
        <is>
          <t>Timing</t>
        </is>
      </c>
      <c r="H1457" s="103">
        <f>IF(G1453="","",batches!F245)</f>
        <v/>
      </c>
      <c r="I1457" s="101" t="n"/>
      <c r="J1457" s="102" t="n"/>
    </row>
    <row r="1458" ht="15.75" customHeight="1" s="84">
      <c r="A1458" s="80" t="inlineStr">
        <is>
          <t>Capacity</t>
        </is>
      </c>
      <c r="B1458" s="103">
        <f>IF(A1453="","",batches!G244)</f>
        <v/>
      </c>
      <c r="C1458" s="101" t="n"/>
      <c r="D1458" s="102" t="n"/>
      <c r="G1458" s="80" t="inlineStr">
        <is>
          <t>Capacity</t>
        </is>
      </c>
      <c r="H1458" s="103">
        <f>IF(G1453="","",batches!G245)</f>
        <v/>
      </c>
      <c r="I1458" s="101" t="n"/>
      <c r="J1458" s="102" t="n"/>
    </row>
    <row r="1459" ht="15.75" customHeight="1" s="84">
      <c r="A1459" s="80" t="inlineStr">
        <is>
          <t>Enrolled</t>
        </is>
      </c>
      <c r="B1459" s="103">
        <f>IF(A1453="","",COUNTIF(admissions!$M:$M,batches!A244))</f>
        <v/>
      </c>
      <c r="C1459" s="101" t="n"/>
      <c r="D1459" s="102" t="n"/>
      <c r="G1459" s="80" t="inlineStr">
        <is>
          <t>Enrolled</t>
        </is>
      </c>
      <c r="H1459" s="103">
        <f>IF(G1453="","",COUNTIF(admissions!$M:$M,batches!A245))</f>
        <v/>
      </c>
      <c r="I1459" s="101" t="n"/>
      <c r="J1459" s="102" t="n"/>
    </row>
    <row r="1460" ht="15.75" customHeight="1" s="84">
      <c r="A1460" s="80" t="inlineStr">
        <is>
          <t>Available</t>
        </is>
      </c>
      <c r="B1460" s="103">
        <f>IF(OR(batches!A244="",batches!G244=""),"",batches!G244-COUNTIF(admissions!$M:$M,batches!A244))</f>
        <v/>
      </c>
      <c r="C1460" s="101" t="n"/>
      <c r="D1460" s="102" t="n"/>
      <c r="G1460" s="80" t="inlineStr">
        <is>
          <t>Available</t>
        </is>
      </c>
      <c r="H1460" s="103">
        <f>IF(OR(batches!A245="",batches!G245=""),"",batches!G245-COUNTIF(admissions!$M:$M,batches!A245))</f>
        <v/>
      </c>
      <c r="I1460" s="101" t="n"/>
      <c r="J1460" s="102" t="n"/>
    </row>
    <row r="1461" ht="15.75" customHeight="1" s="84">
      <c r="A1461" s="104" t="inlineStr">
        <is>
          <t>Student List</t>
        </is>
      </c>
      <c r="B1461" s="101" t="n"/>
      <c r="C1461" s="101" t="n"/>
      <c r="D1461" s="102" t="n"/>
      <c r="G1461" s="104" t="inlineStr">
        <is>
          <t>Student List</t>
        </is>
      </c>
      <c r="H1461" s="101" t="n"/>
      <c r="I1461" s="101" t="n"/>
      <c r="J1461" s="102" t="n"/>
    </row>
    <row r="1462" ht="15.75" customHeight="1" s="84">
      <c r="A1462" s="105">
        <f>IFERROR(__xludf.DUMMYFUNCTION("IF(batches!A244="""","""",TEXTJOIN(CHAR(10),TRUE,FILTER(admissions!$G$2:$G$78,admissions!$M$2:$M$78=batches!A244,"""")))"),"")</f>
        <v/>
      </c>
      <c r="B1462" s="101" t="n"/>
      <c r="C1462" s="101" t="n"/>
      <c r="D1462" s="102" t="n"/>
      <c r="G1462" s="105">
        <f>IFERROR(__xludf.DUMMYFUNCTION("IF(batches!A245="""","""",TEXTJOIN(CHAR(10),TRUE,FILTER(admissions!$G$2:$G$78,admissions!$M$2:$M$78=batches!A245,"""")))"),"")</f>
        <v/>
      </c>
      <c r="H1462" s="101" t="n"/>
      <c r="I1462" s="101" t="n"/>
      <c r="J1462" s="102" t="n"/>
    </row>
    <row r="1463" ht="15.75" customHeight="1" s="84"/>
    <row r="1464" ht="15.75" customHeight="1" s="84"/>
    <row r="1465" ht="15.75" customHeight="1" s="84">
      <c r="A1465" s="100">
        <f>IF(batches!A246="","",batches!A246)</f>
        <v/>
      </c>
      <c r="B1465" s="101" t="n"/>
      <c r="C1465" s="101" t="n"/>
      <c r="D1465" s="102" t="n"/>
      <c r="G1465" s="100">
        <f>IF(batches!A247="","",batches!A247)</f>
        <v/>
      </c>
      <c r="H1465" s="101" t="n"/>
      <c r="I1465" s="101" t="n"/>
      <c r="J1465" s="102" t="n"/>
    </row>
    <row r="1466" ht="15.75" customHeight="1" s="84">
      <c r="A1466" s="80" t="inlineStr">
        <is>
          <t>Level / Mode</t>
        </is>
      </c>
      <c r="B1466" s="103">
        <f>IF(A1465="","",batches!B246&amp;" / "&amp;batches!C246)</f>
        <v/>
      </c>
      <c r="C1466" s="101" t="n"/>
      <c r="D1466" s="102" t="n"/>
      <c r="G1466" s="80" t="inlineStr">
        <is>
          <t>Level / Mode</t>
        </is>
      </c>
      <c r="H1466" s="103">
        <f>IF(G1465="","",batches!B247&amp;" / "&amp;batches!C247)</f>
        <v/>
      </c>
      <c r="I1466" s="101" t="n"/>
      <c r="J1466" s="102" t="n"/>
    </row>
    <row r="1467" ht="15.75" customHeight="1" s="84">
      <c r="A1467" s="80" t="inlineStr">
        <is>
          <t>Dates</t>
        </is>
      </c>
      <c r="B1467" s="103">
        <f>IF(A1465="","",TEXT(batches!D246,"yyyy-mm-dd")&amp;" to "&amp;TEXT(batches!E246,"yyyy-mm-dd"))</f>
        <v/>
      </c>
      <c r="C1467" s="101" t="n"/>
      <c r="D1467" s="102" t="n"/>
      <c r="G1467" s="80" t="inlineStr">
        <is>
          <t>Dates</t>
        </is>
      </c>
      <c r="H1467" s="103">
        <f>IF(G1465="","",TEXT(batches!D247,"yyyy-mm-dd")&amp;" to "&amp;TEXT(batches!E247,"yyyy-mm-dd"))</f>
        <v/>
      </c>
      <c r="I1467" s="101" t="n"/>
      <c r="J1467" s="102" t="n"/>
    </row>
    <row r="1468" ht="15.75" customHeight="1" s="84">
      <c r="A1468" s="80" t="inlineStr">
        <is>
          <t>Duration</t>
        </is>
      </c>
      <c r="B1468" s="103">
        <f>IF(OR(batches!D246="",batches!E246=""),"",batches!E246-batches!D246+1&amp;" days")</f>
        <v/>
      </c>
      <c r="C1468" s="101" t="n"/>
      <c r="D1468" s="102" t="n"/>
      <c r="G1468" s="80" t="inlineStr">
        <is>
          <t>Duration</t>
        </is>
      </c>
      <c r="H1468" s="103">
        <f>IF(OR(batches!D247="",batches!E247=""),"",batches!E247-batches!D247+1&amp;" days")</f>
        <v/>
      </c>
      <c r="I1468" s="101" t="n"/>
      <c r="J1468" s="102" t="n"/>
    </row>
    <row r="1469" ht="15.75" customHeight="1" s="84">
      <c r="A1469" s="80" t="inlineStr">
        <is>
          <t>Timing</t>
        </is>
      </c>
      <c r="B1469" s="103">
        <f>IF(A1465="","",batches!F246)</f>
        <v/>
      </c>
      <c r="C1469" s="101" t="n"/>
      <c r="D1469" s="102" t="n"/>
      <c r="G1469" s="80" t="inlineStr">
        <is>
          <t>Timing</t>
        </is>
      </c>
      <c r="H1469" s="103">
        <f>IF(G1465="","",batches!F247)</f>
        <v/>
      </c>
      <c r="I1469" s="101" t="n"/>
      <c r="J1469" s="102" t="n"/>
    </row>
    <row r="1470" ht="15.75" customHeight="1" s="84">
      <c r="A1470" s="80" t="inlineStr">
        <is>
          <t>Capacity</t>
        </is>
      </c>
      <c r="B1470" s="103">
        <f>IF(A1465="","",batches!G246)</f>
        <v/>
      </c>
      <c r="C1470" s="101" t="n"/>
      <c r="D1470" s="102" t="n"/>
      <c r="G1470" s="80" t="inlineStr">
        <is>
          <t>Capacity</t>
        </is>
      </c>
      <c r="H1470" s="103">
        <f>IF(G1465="","",batches!G247)</f>
        <v/>
      </c>
      <c r="I1470" s="101" t="n"/>
      <c r="J1470" s="102" t="n"/>
    </row>
    <row r="1471" ht="15.75" customHeight="1" s="84">
      <c r="A1471" s="80" t="inlineStr">
        <is>
          <t>Enrolled</t>
        </is>
      </c>
      <c r="B1471" s="103">
        <f>IF(A1465="","",COUNTIF(admissions!$M:$M,batches!A246))</f>
        <v/>
      </c>
      <c r="C1471" s="101" t="n"/>
      <c r="D1471" s="102" t="n"/>
      <c r="G1471" s="80" t="inlineStr">
        <is>
          <t>Enrolled</t>
        </is>
      </c>
      <c r="H1471" s="103">
        <f>IF(G1465="","",COUNTIF(admissions!$M:$M,batches!A247))</f>
        <v/>
      </c>
      <c r="I1471" s="101" t="n"/>
      <c r="J1471" s="102" t="n"/>
    </row>
    <row r="1472" ht="15.75" customHeight="1" s="84">
      <c r="A1472" s="80" t="inlineStr">
        <is>
          <t>Available</t>
        </is>
      </c>
      <c r="B1472" s="103">
        <f>IF(OR(batches!A246="",batches!G246=""),"",batches!G246-COUNTIF(admissions!$M:$M,batches!A246))</f>
        <v/>
      </c>
      <c r="C1472" s="101" t="n"/>
      <c r="D1472" s="102" t="n"/>
      <c r="G1472" s="80" t="inlineStr">
        <is>
          <t>Available</t>
        </is>
      </c>
      <c r="H1472" s="103">
        <f>IF(OR(batches!A247="",batches!G247=""),"",batches!G247-COUNTIF(admissions!$M:$M,batches!A247))</f>
        <v/>
      </c>
      <c r="I1472" s="101" t="n"/>
      <c r="J1472" s="102" t="n"/>
    </row>
    <row r="1473" ht="15.75" customHeight="1" s="84">
      <c r="A1473" s="104" t="inlineStr">
        <is>
          <t>Student List</t>
        </is>
      </c>
      <c r="B1473" s="101" t="n"/>
      <c r="C1473" s="101" t="n"/>
      <c r="D1473" s="102" t="n"/>
      <c r="G1473" s="104" t="inlineStr">
        <is>
          <t>Student List</t>
        </is>
      </c>
      <c r="H1473" s="101" t="n"/>
      <c r="I1473" s="101" t="n"/>
      <c r="J1473" s="102" t="n"/>
    </row>
    <row r="1474" ht="15.75" customHeight="1" s="84">
      <c r="A1474" s="105">
        <f>IFERROR(__xludf.DUMMYFUNCTION("IF(batches!A246="""","""",TEXTJOIN(CHAR(10),TRUE,FILTER(admissions!$G$2:$G$78,admissions!$M$2:$M$78=batches!A246,"""")))"),"")</f>
        <v/>
      </c>
      <c r="B1474" s="101" t="n"/>
      <c r="C1474" s="101" t="n"/>
      <c r="D1474" s="102" t="n"/>
      <c r="G1474" s="105">
        <f>IFERROR(__xludf.DUMMYFUNCTION("IF(batches!A247="""","""",TEXTJOIN(CHAR(10),TRUE,FILTER(admissions!$G$2:$G$78,admissions!$M$2:$M$78=batches!A247,"""")))"),"")</f>
        <v/>
      </c>
      <c r="H1474" s="101" t="n"/>
      <c r="I1474" s="101" t="n"/>
      <c r="J1474" s="102" t="n"/>
    </row>
    <row r="1475" ht="15.75" customHeight="1" s="84"/>
    <row r="1476" ht="15.75" customHeight="1" s="84"/>
    <row r="1477" ht="15.75" customHeight="1" s="84">
      <c r="A1477" s="100">
        <f>IF(batches!A248="","",batches!A248)</f>
        <v/>
      </c>
      <c r="B1477" s="101" t="n"/>
      <c r="C1477" s="101" t="n"/>
      <c r="D1477" s="102" t="n"/>
      <c r="G1477" s="100">
        <f>IF(batches!A249="","",batches!A249)</f>
        <v/>
      </c>
      <c r="H1477" s="101" t="n"/>
      <c r="I1477" s="101" t="n"/>
      <c r="J1477" s="102" t="n"/>
    </row>
    <row r="1478" ht="15.75" customHeight="1" s="84">
      <c r="A1478" s="80" t="inlineStr">
        <is>
          <t>Level / Mode</t>
        </is>
      </c>
      <c r="B1478" s="103">
        <f>IF(A1477="","",batches!B248&amp;" / "&amp;batches!C248)</f>
        <v/>
      </c>
      <c r="C1478" s="101" t="n"/>
      <c r="D1478" s="102" t="n"/>
      <c r="G1478" s="80" t="inlineStr">
        <is>
          <t>Level / Mode</t>
        </is>
      </c>
      <c r="H1478" s="103">
        <f>IF(G1477="","",batches!B249&amp;" / "&amp;batches!C249)</f>
        <v/>
      </c>
      <c r="I1478" s="101" t="n"/>
      <c r="J1478" s="102" t="n"/>
    </row>
    <row r="1479" ht="15.75" customHeight="1" s="84">
      <c r="A1479" s="80" t="inlineStr">
        <is>
          <t>Dates</t>
        </is>
      </c>
      <c r="B1479" s="103">
        <f>IF(A1477="","",TEXT(batches!D248,"yyyy-mm-dd")&amp;" to "&amp;TEXT(batches!E248,"yyyy-mm-dd"))</f>
        <v/>
      </c>
      <c r="C1479" s="101" t="n"/>
      <c r="D1479" s="102" t="n"/>
      <c r="G1479" s="80" t="inlineStr">
        <is>
          <t>Dates</t>
        </is>
      </c>
      <c r="H1479" s="103">
        <f>IF(G1477="","",TEXT(batches!D249,"yyyy-mm-dd")&amp;" to "&amp;TEXT(batches!E249,"yyyy-mm-dd"))</f>
        <v/>
      </c>
      <c r="I1479" s="101" t="n"/>
      <c r="J1479" s="102" t="n"/>
    </row>
    <row r="1480" ht="15.75" customHeight="1" s="84">
      <c r="A1480" s="80" t="inlineStr">
        <is>
          <t>Duration</t>
        </is>
      </c>
      <c r="B1480" s="103">
        <f>IF(OR(batches!D248="",batches!E248=""),"",batches!E248-batches!D248+1&amp;" days")</f>
        <v/>
      </c>
      <c r="C1480" s="101" t="n"/>
      <c r="D1480" s="102" t="n"/>
      <c r="G1480" s="80" t="inlineStr">
        <is>
          <t>Duration</t>
        </is>
      </c>
      <c r="H1480" s="103">
        <f>IF(OR(batches!D249="",batches!E249=""),"",batches!E249-batches!D249+1&amp;" days")</f>
        <v/>
      </c>
      <c r="I1480" s="101" t="n"/>
      <c r="J1480" s="102" t="n"/>
    </row>
    <row r="1481" ht="15.75" customHeight="1" s="84">
      <c r="A1481" s="80" t="inlineStr">
        <is>
          <t>Timing</t>
        </is>
      </c>
      <c r="B1481" s="103">
        <f>IF(A1477="","",batches!F248)</f>
        <v/>
      </c>
      <c r="C1481" s="101" t="n"/>
      <c r="D1481" s="102" t="n"/>
      <c r="G1481" s="80" t="inlineStr">
        <is>
          <t>Timing</t>
        </is>
      </c>
      <c r="H1481" s="103">
        <f>IF(G1477="","",batches!F249)</f>
        <v/>
      </c>
      <c r="I1481" s="101" t="n"/>
      <c r="J1481" s="102" t="n"/>
    </row>
    <row r="1482" ht="15.75" customHeight="1" s="84">
      <c r="A1482" s="80" t="inlineStr">
        <is>
          <t>Capacity</t>
        </is>
      </c>
      <c r="B1482" s="103">
        <f>IF(A1477="","",batches!G248)</f>
        <v/>
      </c>
      <c r="C1482" s="101" t="n"/>
      <c r="D1482" s="102" t="n"/>
      <c r="G1482" s="80" t="inlineStr">
        <is>
          <t>Capacity</t>
        </is>
      </c>
      <c r="H1482" s="103">
        <f>IF(G1477="","",batches!G249)</f>
        <v/>
      </c>
      <c r="I1482" s="101" t="n"/>
      <c r="J1482" s="102" t="n"/>
    </row>
    <row r="1483" ht="15.75" customHeight="1" s="84">
      <c r="A1483" s="80" t="inlineStr">
        <is>
          <t>Enrolled</t>
        </is>
      </c>
      <c r="B1483" s="103">
        <f>IF(A1477="","",COUNTIF(admissions!$M:$M,batches!A248))</f>
        <v/>
      </c>
      <c r="C1483" s="101" t="n"/>
      <c r="D1483" s="102" t="n"/>
      <c r="G1483" s="80" t="inlineStr">
        <is>
          <t>Enrolled</t>
        </is>
      </c>
      <c r="H1483" s="103">
        <f>IF(G1477="","",COUNTIF(admissions!$M:$M,batches!A249))</f>
        <v/>
      </c>
      <c r="I1483" s="101" t="n"/>
      <c r="J1483" s="102" t="n"/>
    </row>
    <row r="1484" ht="15.75" customHeight="1" s="84">
      <c r="A1484" s="80" t="inlineStr">
        <is>
          <t>Available</t>
        </is>
      </c>
      <c r="B1484" s="103">
        <f>IF(OR(batches!A248="",batches!G248=""),"",batches!G248-COUNTIF(admissions!$M:$M,batches!A248))</f>
        <v/>
      </c>
      <c r="C1484" s="101" t="n"/>
      <c r="D1484" s="102" t="n"/>
      <c r="G1484" s="80" t="inlineStr">
        <is>
          <t>Available</t>
        </is>
      </c>
      <c r="H1484" s="103">
        <f>IF(OR(batches!A249="",batches!G249=""),"",batches!G249-COUNTIF(admissions!$M:$M,batches!A249))</f>
        <v/>
      </c>
      <c r="I1484" s="101" t="n"/>
      <c r="J1484" s="102" t="n"/>
    </row>
    <row r="1485" ht="15.75" customHeight="1" s="84">
      <c r="A1485" s="104" t="inlineStr">
        <is>
          <t>Student List</t>
        </is>
      </c>
      <c r="B1485" s="101" t="n"/>
      <c r="C1485" s="101" t="n"/>
      <c r="D1485" s="102" t="n"/>
      <c r="G1485" s="104" t="inlineStr">
        <is>
          <t>Student List</t>
        </is>
      </c>
      <c r="H1485" s="101" t="n"/>
      <c r="I1485" s="101" t="n"/>
      <c r="J1485" s="102" t="n"/>
    </row>
    <row r="1486" ht="15.75" customHeight="1" s="84">
      <c r="A1486" s="105">
        <f>IFERROR(__xludf.DUMMYFUNCTION("IF(batches!A248="""","""",TEXTJOIN(CHAR(10),TRUE,FILTER(admissions!$G$2:$G$78,admissions!$M$2:$M$78=batches!A248,"""")))"),"")</f>
        <v/>
      </c>
      <c r="B1486" s="101" t="n"/>
      <c r="C1486" s="101" t="n"/>
      <c r="D1486" s="102" t="n"/>
      <c r="G1486" s="105">
        <f>IFERROR(__xludf.DUMMYFUNCTION("IF(batches!A249="""","""",TEXTJOIN(CHAR(10),TRUE,FILTER(admissions!$G$2:$G$78,admissions!$M$2:$M$78=batches!A249,"""")))"),"")</f>
        <v/>
      </c>
      <c r="H1486" s="101" t="n"/>
      <c r="I1486" s="101" t="n"/>
      <c r="J1486" s="102" t="n"/>
    </row>
    <row r="1487" ht="15.75" customHeight="1" s="84"/>
    <row r="1488" ht="15.75" customHeight="1" s="84"/>
    <row r="1489" ht="15.75" customHeight="1" s="84">
      <c r="A1489" s="100">
        <f>IF(batches!A250="","",batches!A250)</f>
        <v/>
      </c>
      <c r="B1489" s="101" t="n"/>
      <c r="C1489" s="101" t="n"/>
      <c r="D1489" s="102" t="n"/>
      <c r="G1489" s="100">
        <f>IF(batches!A251="","",batches!A251)</f>
        <v/>
      </c>
      <c r="H1489" s="101" t="n"/>
      <c r="I1489" s="101" t="n"/>
      <c r="J1489" s="102" t="n"/>
    </row>
    <row r="1490" ht="15.75" customHeight="1" s="84">
      <c r="A1490" s="80" t="inlineStr">
        <is>
          <t>Level / Mode</t>
        </is>
      </c>
      <c r="B1490" s="103">
        <f>IF(A1489="","",batches!B250&amp;" / "&amp;batches!C250)</f>
        <v/>
      </c>
      <c r="C1490" s="101" t="n"/>
      <c r="D1490" s="102" t="n"/>
      <c r="G1490" s="80" t="inlineStr">
        <is>
          <t>Level / Mode</t>
        </is>
      </c>
      <c r="H1490" s="103">
        <f>IF(G1489="","",batches!B251&amp;" / "&amp;batches!C251)</f>
        <v/>
      </c>
      <c r="I1490" s="101" t="n"/>
      <c r="J1490" s="102" t="n"/>
    </row>
    <row r="1491" ht="15.75" customHeight="1" s="84">
      <c r="A1491" s="80" t="inlineStr">
        <is>
          <t>Dates</t>
        </is>
      </c>
      <c r="B1491" s="103">
        <f>IF(A1489="","",TEXT(batches!D250,"yyyy-mm-dd")&amp;" to "&amp;TEXT(batches!E250,"yyyy-mm-dd"))</f>
        <v/>
      </c>
      <c r="C1491" s="101" t="n"/>
      <c r="D1491" s="102" t="n"/>
      <c r="G1491" s="80" t="inlineStr">
        <is>
          <t>Dates</t>
        </is>
      </c>
      <c r="H1491" s="103">
        <f>IF(G1489="","",TEXT(batches!D251,"yyyy-mm-dd")&amp;" to "&amp;TEXT(batches!E251,"yyyy-mm-dd"))</f>
        <v/>
      </c>
      <c r="I1491" s="101" t="n"/>
      <c r="J1491" s="102" t="n"/>
    </row>
    <row r="1492" ht="15.75" customHeight="1" s="84">
      <c r="A1492" s="80" t="inlineStr">
        <is>
          <t>Duration</t>
        </is>
      </c>
      <c r="B1492" s="103">
        <f>IF(OR(batches!D250="",batches!E250=""),"",batches!E250-batches!D250+1&amp;" days")</f>
        <v/>
      </c>
      <c r="C1492" s="101" t="n"/>
      <c r="D1492" s="102" t="n"/>
      <c r="G1492" s="80" t="inlineStr">
        <is>
          <t>Duration</t>
        </is>
      </c>
      <c r="H1492" s="103">
        <f>IF(OR(batches!D251="",batches!E251=""),"",batches!E251-batches!D251+1&amp;" days")</f>
        <v/>
      </c>
      <c r="I1492" s="101" t="n"/>
      <c r="J1492" s="102" t="n"/>
    </row>
    <row r="1493" ht="15.75" customHeight="1" s="84">
      <c r="A1493" s="80" t="inlineStr">
        <is>
          <t>Timing</t>
        </is>
      </c>
      <c r="B1493" s="103">
        <f>IF(A1489="","",batches!F250)</f>
        <v/>
      </c>
      <c r="C1493" s="101" t="n"/>
      <c r="D1493" s="102" t="n"/>
      <c r="G1493" s="80" t="inlineStr">
        <is>
          <t>Timing</t>
        </is>
      </c>
      <c r="H1493" s="103">
        <f>IF(G1489="","",batches!F251)</f>
        <v/>
      </c>
      <c r="I1493" s="101" t="n"/>
      <c r="J1493" s="102" t="n"/>
    </row>
    <row r="1494" ht="15.75" customHeight="1" s="84">
      <c r="A1494" s="80" t="inlineStr">
        <is>
          <t>Capacity</t>
        </is>
      </c>
      <c r="B1494" s="103">
        <f>IF(A1489="","",batches!G250)</f>
        <v/>
      </c>
      <c r="C1494" s="101" t="n"/>
      <c r="D1494" s="102" t="n"/>
      <c r="G1494" s="80" t="inlineStr">
        <is>
          <t>Capacity</t>
        </is>
      </c>
      <c r="H1494" s="103">
        <f>IF(G1489="","",batches!G251)</f>
        <v/>
      </c>
      <c r="I1494" s="101" t="n"/>
      <c r="J1494" s="102" t="n"/>
    </row>
    <row r="1495" ht="15.75" customHeight="1" s="84">
      <c r="A1495" s="80" t="inlineStr">
        <is>
          <t>Enrolled</t>
        </is>
      </c>
      <c r="B1495" s="103">
        <f>IF(A1489="","",COUNTIF(admissions!$M:$M,batches!A250))</f>
        <v/>
      </c>
      <c r="C1495" s="101" t="n"/>
      <c r="D1495" s="102" t="n"/>
      <c r="G1495" s="80" t="inlineStr">
        <is>
          <t>Enrolled</t>
        </is>
      </c>
      <c r="H1495" s="103">
        <f>IF(G1489="","",COUNTIF(admissions!$M:$M,batches!A251))</f>
        <v/>
      </c>
      <c r="I1495" s="101" t="n"/>
      <c r="J1495" s="102" t="n"/>
    </row>
    <row r="1496" ht="15.75" customHeight="1" s="84">
      <c r="A1496" s="80" t="inlineStr">
        <is>
          <t>Available</t>
        </is>
      </c>
      <c r="B1496" s="103">
        <f>IF(OR(batches!A250="",batches!G250=""),"",batches!G250-COUNTIF(admissions!$M:$M,batches!A250))</f>
        <v/>
      </c>
      <c r="C1496" s="101" t="n"/>
      <c r="D1496" s="102" t="n"/>
      <c r="G1496" s="80" t="inlineStr">
        <is>
          <t>Available</t>
        </is>
      </c>
      <c r="H1496" s="103">
        <f>IF(OR(batches!A251="",batches!G251=""),"",batches!G251-COUNTIF(admissions!$M:$M,batches!A251))</f>
        <v/>
      </c>
      <c r="I1496" s="101" t="n"/>
      <c r="J1496" s="102" t="n"/>
    </row>
    <row r="1497" ht="15.75" customHeight="1" s="84">
      <c r="A1497" s="104" t="inlineStr">
        <is>
          <t>Student List</t>
        </is>
      </c>
      <c r="B1497" s="101" t="n"/>
      <c r="C1497" s="101" t="n"/>
      <c r="D1497" s="102" t="n"/>
      <c r="G1497" s="104" t="inlineStr">
        <is>
          <t>Student List</t>
        </is>
      </c>
      <c r="H1497" s="101" t="n"/>
      <c r="I1497" s="101" t="n"/>
      <c r="J1497" s="102" t="n"/>
    </row>
    <row r="1498" ht="15.75" customHeight="1" s="84">
      <c r="A1498" s="105">
        <f>IFERROR(__xludf.DUMMYFUNCTION("IF(batches!A250="""","""",TEXTJOIN(CHAR(10),TRUE,FILTER(admissions!$G$2:$G$78,admissions!$M$2:$M$78=batches!A250,"""")))"),"")</f>
        <v/>
      </c>
      <c r="B1498" s="101" t="n"/>
      <c r="C1498" s="101" t="n"/>
      <c r="D1498" s="102" t="n"/>
      <c r="G1498" s="105">
        <f>IFERROR(__xludf.DUMMYFUNCTION("IF(batches!A251="""","""",TEXTJOIN(CHAR(10),TRUE,FILTER(admissions!$G$2:$G$78,admissions!$M$2:$M$78=batches!A251,"""")))"),"")</f>
        <v/>
      </c>
      <c r="H1498" s="101" t="n"/>
      <c r="I1498" s="101" t="n"/>
      <c r="J1498" s="102" t="n"/>
    </row>
    <row r="1499" ht="15.75" customHeight="1" s="84"/>
    <row r="1500" ht="15.75" customHeight="1" s="84"/>
    <row r="1501" ht="15.75" customHeight="1" s="84">
      <c r="A1501" s="100">
        <f>IF(batches!A252="","",batches!A252)</f>
        <v/>
      </c>
      <c r="B1501" s="101" t="n"/>
      <c r="C1501" s="101" t="n"/>
      <c r="D1501" s="102" t="n"/>
      <c r="G1501" s="100">
        <f>IF(batches!A253="","",batches!A253)</f>
        <v/>
      </c>
      <c r="H1501" s="101" t="n"/>
      <c r="I1501" s="101" t="n"/>
      <c r="J1501" s="102" t="n"/>
    </row>
    <row r="1502" ht="15.75" customHeight="1" s="84">
      <c r="A1502" s="80" t="inlineStr">
        <is>
          <t>Level / Mode</t>
        </is>
      </c>
      <c r="B1502" s="103">
        <f>IF(A1501="","",batches!B252&amp;" / "&amp;batches!C252)</f>
        <v/>
      </c>
      <c r="C1502" s="101" t="n"/>
      <c r="D1502" s="102" t="n"/>
      <c r="G1502" s="80" t="inlineStr">
        <is>
          <t>Level / Mode</t>
        </is>
      </c>
      <c r="H1502" s="103">
        <f>IF(G1501="","",batches!B253&amp;" / "&amp;batches!C253)</f>
        <v/>
      </c>
      <c r="I1502" s="101" t="n"/>
      <c r="J1502" s="102" t="n"/>
    </row>
    <row r="1503" ht="15.75" customHeight="1" s="84">
      <c r="A1503" s="80" t="inlineStr">
        <is>
          <t>Dates</t>
        </is>
      </c>
      <c r="B1503" s="103">
        <f>IF(A1501="","",TEXT(batches!D252,"yyyy-mm-dd")&amp;" to "&amp;TEXT(batches!E252,"yyyy-mm-dd"))</f>
        <v/>
      </c>
      <c r="C1503" s="101" t="n"/>
      <c r="D1503" s="102" t="n"/>
      <c r="G1503" s="80" t="inlineStr">
        <is>
          <t>Dates</t>
        </is>
      </c>
      <c r="H1503" s="103">
        <f>IF(G1501="","",TEXT(batches!D253,"yyyy-mm-dd")&amp;" to "&amp;TEXT(batches!E253,"yyyy-mm-dd"))</f>
        <v/>
      </c>
      <c r="I1503" s="101" t="n"/>
      <c r="J1503" s="102" t="n"/>
    </row>
    <row r="1504" ht="15.75" customHeight="1" s="84">
      <c r="A1504" s="80" t="inlineStr">
        <is>
          <t>Duration</t>
        </is>
      </c>
      <c r="B1504" s="103">
        <f>IF(OR(batches!D252="",batches!E252=""),"",batches!E252-batches!D252+1&amp;" days")</f>
        <v/>
      </c>
      <c r="C1504" s="101" t="n"/>
      <c r="D1504" s="102" t="n"/>
      <c r="G1504" s="80" t="inlineStr">
        <is>
          <t>Duration</t>
        </is>
      </c>
      <c r="H1504" s="103">
        <f>IF(OR(batches!D253="",batches!E253=""),"",batches!E253-batches!D253+1&amp;" days")</f>
        <v/>
      </c>
      <c r="I1504" s="101" t="n"/>
      <c r="J1504" s="102" t="n"/>
    </row>
    <row r="1505" ht="15.75" customHeight="1" s="84">
      <c r="A1505" s="80" t="inlineStr">
        <is>
          <t>Timing</t>
        </is>
      </c>
      <c r="B1505" s="103">
        <f>IF(A1501="","",batches!F252)</f>
        <v/>
      </c>
      <c r="C1505" s="101" t="n"/>
      <c r="D1505" s="102" t="n"/>
      <c r="G1505" s="80" t="inlineStr">
        <is>
          <t>Timing</t>
        </is>
      </c>
      <c r="H1505" s="103">
        <f>IF(G1501="","",batches!F253)</f>
        <v/>
      </c>
      <c r="I1505" s="101" t="n"/>
      <c r="J1505" s="102" t="n"/>
    </row>
    <row r="1506" ht="15.75" customHeight="1" s="84">
      <c r="A1506" s="80" t="inlineStr">
        <is>
          <t>Capacity</t>
        </is>
      </c>
      <c r="B1506" s="103">
        <f>IF(A1501="","",batches!G252)</f>
        <v/>
      </c>
      <c r="C1506" s="101" t="n"/>
      <c r="D1506" s="102" t="n"/>
      <c r="G1506" s="80" t="inlineStr">
        <is>
          <t>Capacity</t>
        </is>
      </c>
      <c r="H1506" s="103">
        <f>IF(G1501="","",batches!G253)</f>
        <v/>
      </c>
      <c r="I1506" s="101" t="n"/>
      <c r="J1506" s="102" t="n"/>
    </row>
    <row r="1507" ht="15.75" customHeight="1" s="84">
      <c r="A1507" s="80" t="inlineStr">
        <is>
          <t>Enrolled</t>
        </is>
      </c>
      <c r="B1507" s="103">
        <f>IF(A1501="","",COUNTIF(admissions!$M:$M,batches!A252))</f>
        <v/>
      </c>
      <c r="C1507" s="101" t="n"/>
      <c r="D1507" s="102" t="n"/>
      <c r="G1507" s="80" t="inlineStr">
        <is>
          <t>Enrolled</t>
        </is>
      </c>
      <c r="H1507" s="103">
        <f>IF(G1501="","",COUNTIF(admissions!$M:$M,batches!A253))</f>
        <v/>
      </c>
      <c r="I1507" s="101" t="n"/>
      <c r="J1507" s="102" t="n"/>
    </row>
    <row r="1508" ht="15.75" customHeight="1" s="84">
      <c r="A1508" s="80" t="inlineStr">
        <is>
          <t>Available</t>
        </is>
      </c>
      <c r="B1508" s="103">
        <f>IF(OR(batches!A252="",batches!G252=""),"",batches!G252-COUNTIF(admissions!$M:$M,batches!A252))</f>
        <v/>
      </c>
      <c r="C1508" s="101" t="n"/>
      <c r="D1508" s="102" t="n"/>
      <c r="G1508" s="80" t="inlineStr">
        <is>
          <t>Available</t>
        </is>
      </c>
      <c r="H1508" s="103">
        <f>IF(OR(batches!A253="",batches!G253=""),"",batches!G253-COUNTIF(admissions!$M:$M,batches!A253))</f>
        <v/>
      </c>
      <c r="I1508" s="101" t="n"/>
      <c r="J1508" s="102" t="n"/>
    </row>
    <row r="1509" ht="15.75" customHeight="1" s="84">
      <c r="A1509" s="104" t="inlineStr">
        <is>
          <t>Student List</t>
        </is>
      </c>
      <c r="B1509" s="101" t="n"/>
      <c r="C1509" s="101" t="n"/>
      <c r="D1509" s="102" t="n"/>
      <c r="G1509" s="104" t="inlineStr">
        <is>
          <t>Student List</t>
        </is>
      </c>
      <c r="H1509" s="101" t="n"/>
      <c r="I1509" s="101" t="n"/>
      <c r="J1509" s="102" t="n"/>
    </row>
    <row r="1510" ht="15.75" customHeight="1" s="84">
      <c r="A1510" s="105">
        <f>IFERROR(__xludf.DUMMYFUNCTION("IF(batches!A252="""","""",TEXTJOIN(CHAR(10),TRUE,FILTER(admissions!$G$2:$G$78,admissions!$M$2:$M$78=batches!A252,"""")))"),"")</f>
        <v/>
      </c>
      <c r="B1510" s="101" t="n"/>
      <c r="C1510" s="101" t="n"/>
      <c r="D1510" s="102" t="n"/>
      <c r="G1510" s="105">
        <f>IFERROR(__xludf.DUMMYFUNCTION("IF(batches!A253="""","""",TEXTJOIN(CHAR(10),TRUE,FILTER(admissions!$G$2:$G$78,admissions!$M$2:$M$78=batches!A253,"""")))"),"")</f>
        <v/>
      </c>
      <c r="H1510" s="101" t="n"/>
      <c r="I1510" s="101" t="n"/>
      <c r="J1510" s="102" t="n"/>
    </row>
    <row r="1511" ht="15.75" customHeight="1" s="84"/>
    <row r="1512" ht="15.75" customHeight="1" s="84"/>
    <row r="1513" ht="15.75" customHeight="1" s="84">
      <c r="A1513" s="100">
        <f>IF(batches!A254="","",batches!A254)</f>
        <v/>
      </c>
      <c r="B1513" s="101" t="n"/>
      <c r="C1513" s="101" t="n"/>
      <c r="D1513" s="102" t="n"/>
      <c r="G1513" s="100">
        <f>IF(batches!A255="","",batches!A255)</f>
        <v/>
      </c>
      <c r="H1513" s="101" t="n"/>
      <c r="I1513" s="101" t="n"/>
      <c r="J1513" s="102" t="n"/>
    </row>
    <row r="1514" ht="15.75" customHeight="1" s="84">
      <c r="A1514" s="80" t="inlineStr">
        <is>
          <t>Level / Mode</t>
        </is>
      </c>
      <c r="B1514" s="103">
        <f>IF(A1513="","",batches!B254&amp;" / "&amp;batches!C254)</f>
        <v/>
      </c>
      <c r="C1514" s="101" t="n"/>
      <c r="D1514" s="102" t="n"/>
      <c r="G1514" s="80" t="inlineStr">
        <is>
          <t>Level / Mode</t>
        </is>
      </c>
      <c r="H1514" s="103">
        <f>IF(G1513="","",batches!B255&amp;" / "&amp;batches!C255)</f>
        <v/>
      </c>
      <c r="I1514" s="101" t="n"/>
      <c r="J1514" s="102" t="n"/>
    </row>
    <row r="1515" ht="15.75" customHeight="1" s="84">
      <c r="A1515" s="80" t="inlineStr">
        <is>
          <t>Dates</t>
        </is>
      </c>
      <c r="B1515" s="103">
        <f>IF(A1513="","",TEXT(batches!D254,"yyyy-mm-dd")&amp;" to "&amp;TEXT(batches!E254,"yyyy-mm-dd"))</f>
        <v/>
      </c>
      <c r="C1515" s="101" t="n"/>
      <c r="D1515" s="102" t="n"/>
      <c r="G1515" s="80" t="inlineStr">
        <is>
          <t>Dates</t>
        </is>
      </c>
      <c r="H1515" s="103">
        <f>IF(G1513="","",TEXT(batches!D255,"yyyy-mm-dd")&amp;" to "&amp;TEXT(batches!E255,"yyyy-mm-dd"))</f>
        <v/>
      </c>
      <c r="I1515" s="101" t="n"/>
      <c r="J1515" s="102" t="n"/>
    </row>
    <row r="1516" ht="15.75" customHeight="1" s="84">
      <c r="A1516" s="80" t="inlineStr">
        <is>
          <t>Duration</t>
        </is>
      </c>
      <c r="B1516" s="103">
        <f>IF(OR(batches!D254="",batches!E254=""),"",batches!E254-batches!D254+1&amp;" days")</f>
        <v/>
      </c>
      <c r="C1516" s="101" t="n"/>
      <c r="D1516" s="102" t="n"/>
      <c r="G1516" s="80" t="inlineStr">
        <is>
          <t>Duration</t>
        </is>
      </c>
      <c r="H1516" s="103">
        <f>IF(OR(batches!D255="",batches!E255=""),"",batches!E255-batches!D255+1&amp;" days")</f>
        <v/>
      </c>
      <c r="I1516" s="101" t="n"/>
      <c r="J1516" s="102" t="n"/>
    </row>
    <row r="1517" ht="15.75" customHeight="1" s="84">
      <c r="A1517" s="80" t="inlineStr">
        <is>
          <t>Timing</t>
        </is>
      </c>
      <c r="B1517" s="103">
        <f>IF(A1513="","",batches!F254)</f>
        <v/>
      </c>
      <c r="C1517" s="101" t="n"/>
      <c r="D1517" s="102" t="n"/>
      <c r="G1517" s="80" t="inlineStr">
        <is>
          <t>Timing</t>
        </is>
      </c>
      <c r="H1517" s="103">
        <f>IF(G1513="","",batches!F255)</f>
        <v/>
      </c>
      <c r="I1517" s="101" t="n"/>
      <c r="J1517" s="102" t="n"/>
    </row>
    <row r="1518" ht="15.75" customHeight="1" s="84">
      <c r="A1518" s="80" t="inlineStr">
        <is>
          <t>Capacity</t>
        </is>
      </c>
      <c r="B1518" s="103">
        <f>IF(A1513="","",batches!G254)</f>
        <v/>
      </c>
      <c r="C1518" s="101" t="n"/>
      <c r="D1518" s="102" t="n"/>
      <c r="G1518" s="80" t="inlineStr">
        <is>
          <t>Capacity</t>
        </is>
      </c>
      <c r="H1518" s="103">
        <f>IF(G1513="","",batches!G255)</f>
        <v/>
      </c>
      <c r="I1518" s="101" t="n"/>
      <c r="J1518" s="102" t="n"/>
    </row>
    <row r="1519" ht="15.75" customHeight="1" s="84">
      <c r="A1519" s="80" t="inlineStr">
        <is>
          <t>Enrolled</t>
        </is>
      </c>
      <c r="B1519" s="103">
        <f>IF(A1513="","",COUNTIF(admissions!$M:$M,batches!A254))</f>
        <v/>
      </c>
      <c r="C1519" s="101" t="n"/>
      <c r="D1519" s="102" t="n"/>
      <c r="G1519" s="80" t="inlineStr">
        <is>
          <t>Enrolled</t>
        </is>
      </c>
      <c r="H1519" s="103">
        <f>IF(G1513="","",COUNTIF(admissions!$M:$M,batches!A255))</f>
        <v/>
      </c>
      <c r="I1519" s="101" t="n"/>
      <c r="J1519" s="102" t="n"/>
    </row>
    <row r="1520" ht="15.75" customHeight="1" s="84">
      <c r="A1520" s="80" t="inlineStr">
        <is>
          <t>Available</t>
        </is>
      </c>
      <c r="B1520" s="103">
        <f>IF(OR(batches!A254="",batches!G254=""),"",batches!G254-COUNTIF(admissions!$M:$M,batches!A254))</f>
        <v/>
      </c>
      <c r="C1520" s="101" t="n"/>
      <c r="D1520" s="102" t="n"/>
      <c r="G1520" s="80" t="inlineStr">
        <is>
          <t>Available</t>
        </is>
      </c>
      <c r="H1520" s="103">
        <f>IF(OR(batches!A255="",batches!G255=""),"",batches!G255-COUNTIF(admissions!$M:$M,batches!A255))</f>
        <v/>
      </c>
      <c r="I1520" s="101" t="n"/>
      <c r="J1520" s="102" t="n"/>
    </row>
    <row r="1521" ht="15.75" customHeight="1" s="84">
      <c r="A1521" s="104" t="inlineStr">
        <is>
          <t>Student List</t>
        </is>
      </c>
      <c r="B1521" s="101" t="n"/>
      <c r="C1521" s="101" t="n"/>
      <c r="D1521" s="102" t="n"/>
      <c r="G1521" s="104" t="inlineStr">
        <is>
          <t>Student List</t>
        </is>
      </c>
      <c r="H1521" s="101" t="n"/>
      <c r="I1521" s="101" t="n"/>
      <c r="J1521" s="102" t="n"/>
    </row>
    <row r="1522" ht="15.75" customHeight="1" s="84">
      <c r="A1522" s="105">
        <f>IFERROR(__xludf.DUMMYFUNCTION("IF(batches!A254="""","""",TEXTJOIN(CHAR(10),TRUE,FILTER(admissions!$G$2:$G$78,admissions!$M$2:$M$78=batches!A254,"""")))"),"")</f>
        <v/>
      </c>
      <c r="B1522" s="101" t="n"/>
      <c r="C1522" s="101" t="n"/>
      <c r="D1522" s="102" t="n"/>
      <c r="G1522" s="105">
        <f>IFERROR(__xludf.DUMMYFUNCTION("IF(batches!A255="""","""",TEXTJOIN(CHAR(10),TRUE,FILTER(admissions!$G$2:$G$78,admissions!$M$2:$M$78=batches!A255,"""")))"),"")</f>
        <v/>
      </c>
      <c r="H1522" s="101" t="n"/>
      <c r="I1522" s="101" t="n"/>
      <c r="J1522" s="102" t="n"/>
    </row>
    <row r="1523" ht="15.75" customHeight="1" s="84"/>
    <row r="1524" ht="15.75" customHeight="1" s="84"/>
    <row r="1525" ht="15.75" customHeight="1" s="84">
      <c r="A1525" s="100">
        <f>IF(batches!A256="","",batches!A256)</f>
        <v/>
      </c>
      <c r="B1525" s="101" t="n"/>
      <c r="C1525" s="101" t="n"/>
      <c r="D1525" s="102" t="n"/>
      <c r="G1525" s="100">
        <f>IF(batches!A257="","",batches!A257)</f>
        <v/>
      </c>
      <c r="H1525" s="101" t="n"/>
      <c r="I1525" s="101" t="n"/>
      <c r="J1525" s="102" t="n"/>
    </row>
    <row r="1526" ht="15.75" customHeight="1" s="84">
      <c r="A1526" s="80" t="inlineStr">
        <is>
          <t>Level / Mode</t>
        </is>
      </c>
      <c r="B1526" s="103">
        <f>IF(A1525="","",batches!B256&amp;" / "&amp;batches!C256)</f>
        <v/>
      </c>
      <c r="C1526" s="101" t="n"/>
      <c r="D1526" s="102" t="n"/>
      <c r="G1526" s="80" t="inlineStr">
        <is>
          <t>Level / Mode</t>
        </is>
      </c>
      <c r="H1526" s="103">
        <f>IF(G1525="","",batches!B257&amp;" / "&amp;batches!C257)</f>
        <v/>
      </c>
      <c r="I1526" s="101" t="n"/>
      <c r="J1526" s="102" t="n"/>
    </row>
    <row r="1527" ht="15.75" customHeight="1" s="84">
      <c r="A1527" s="80" t="inlineStr">
        <is>
          <t>Dates</t>
        </is>
      </c>
      <c r="B1527" s="103">
        <f>IF(A1525="","",TEXT(batches!D256,"yyyy-mm-dd")&amp;" to "&amp;TEXT(batches!E256,"yyyy-mm-dd"))</f>
        <v/>
      </c>
      <c r="C1527" s="101" t="n"/>
      <c r="D1527" s="102" t="n"/>
      <c r="G1527" s="80" t="inlineStr">
        <is>
          <t>Dates</t>
        </is>
      </c>
      <c r="H1527" s="103">
        <f>IF(G1525="","",TEXT(batches!D257,"yyyy-mm-dd")&amp;" to "&amp;TEXT(batches!E257,"yyyy-mm-dd"))</f>
        <v/>
      </c>
      <c r="I1527" s="101" t="n"/>
      <c r="J1527" s="102" t="n"/>
    </row>
    <row r="1528" ht="15.75" customHeight="1" s="84">
      <c r="A1528" s="80" t="inlineStr">
        <is>
          <t>Duration</t>
        </is>
      </c>
      <c r="B1528" s="103">
        <f>IF(OR(batches!D256="",batches!E256=""),"",batches!E256-batches!D256+1&amp;" days")</f>
        <v/>
      </c>
      <c r="C1528" s="101" t="n"/>
      <c r="D1528" s="102" t="n"/>
      <c r="G1528" s="80" t="inlineStr">
        <is>
          <t>Duration</t>
        </is>
      </c>
      <c r="H1528" s="103">
        <f>IF(OR(batches!D257="",batches!E257=""),"",batches!E257-batches!D257+1&amp;" days")</f>
        <v/>
      </c>
      <c r="I1528" s="101" t="n"/>
      <c r="J1528" s="102" t="n"/>
    </row>
    <row r="1529" ht="15.75" customHeight="1" s="84">
      <c r="A1529" s="80" t="inlineStr">
        <is>
          <t>Timing</t>
        </is>
      </c>
      <c r="B1529" s="103">
        <f>IF(A1525="","",batches!F256)</f>
        <v/>
      </c>
      <c r="C1529" s="101" t="n"/>
      <c r="D1529" s="102" t="n"/>
      <c r="G1529" s="80" t="inlineStr">
        <is>
          <t>Timing</t>
        </is>
      </c>
      <c r="H1529" s="103">
        <f>IF(G1525="","",batches!F257)</f>
        <v/>
      </c>
      <c r="I1529" s="101" t="n"/>
      <c r="J1529" s="102" t="n"/>
    </row>
    <row r="1530" ht="15.75" customHeight="1" s="84">
      <c r="A1530" s="80" t="inlineStr">
        <is>
          <t>Capacity</t>
        </is>
      </c>
      <c r="B1530" s="103">
        <f>IF(A1525="","",batches!G256)</f>
        <v/>
      </c>
      <c r="C1530" s="101" t="n"/>
      <c r="D1530" s="102" t="n"/>
      <c r="G1530" s="80" t="inlineStr">
        <is>
          <t>Capacity</t>
        </is>
      </c>
      <c r="H1530" s="103">
        <f>IF(G1525="","",batches!G257)</f>
        <v/>
      </c>
      <c r="I1530" s="101" t="n"/>
      <c r="J1530" s="102" t="n"/>
    </row>
    <row r="1531" ht="15.75" customHeight="1" s="84">
      <c r="A1531" s="80" t="inlineStr">
        <is>
          <t>Enrolled</t>
        </is>
      </c>
      <c r="B1531" s="103">
        <f>IF(A1525="","",COUNTIF(admissions!$M:$M,batches!A256))</f>
        <v/>
      </c>
      <c r="C1531" s="101" t="n"/>
      <c r="D1531" s="102" t="n"/>
      <c r="G1531" s="80" t="inlineStr">
        <is>
          <t>Enrolled</t>
        </is>
      </c>
      <c r="H1531" s="103">
        <f>IF(G1525="","",COUNTIF(admissions!$M:$M,batches!A257))</f>
        <v/>
      </c>
      <c r="I1531" s="101" t="n"/>
      <c r="J1531" s="102" t="n"/>
    </row>
    <row r="1532" ht="15.75" customHeight="1" s="84">
      <c r="A1532" s="80" t="inlineStr">
        <is>
          <t>Available</t>
        </is>
      </c>
      <c r="B1532" s="103">
        <f>IF(OR(batches!A256="",batches!G256=""),"",batches!G256-COUNTIF(admissions!$M:$M,batches!A256))</f>
        <v/>
      </c>
      <c r="C1532" s="101" t="n"/>
      <c r="D1532" s="102" t="n"/>
      <c r="G1532" s="80" t="inlineStr">
        <is>
          <t>Available</t>
        </is>
      </c>
      <c r="H1532" s="103">
        <f>IF(OR(batches!A257="",batches!G257=""),"",batches!G257-COUNTIF(admissions!$M:$M,batches!A257))</f>
        <v/>
      </c>
      <c r="I1532" s="101" t="n"/>
      <c r="J1532" s="102" t="n"/>
    </row>
    <row r="1533" ht="15.75" customHeight="1" s="84">
      <c r="A1533" s="104" t="inlineStr">
        <is>
          <t>Student List</t>
        </is>
      </c>
      <c r="B1533" s="101" t="n"/>
      <c r="C1533" s="101" t="n"/>
      <c r="D1533" s="102" t="n"/>
      <c r="G1533" s="104" t="inlineStr">
        <is>
          <t>Student List</t>
        </is>
      </c>
      <c r="H1533" s="101" t="n"/>
      <c r="I1533" s="101" t="n"/>
      <c r="J1533" s="102" t="n"/>
    </row>
    <row r="1534" ht="15.75" customHeight="1" s="84">
      <c r="A1534" s="105">
        <f>IFERROR(__xludf.DUMMYFUNCTION("IF(batches!A256="""","""",TEXTJOIN(CHAR(10),TRUE,FILTER(admissions!$G$2:$G$78,admissions!$M$2:$M$78=batches!A256,"""")))"),"")</f>
        <v/>
      </c>
      <c r="B1534" s="101" t="n"/>
      <c r="C1534" s="101" t="n"/>
      <c r="D1534" s="102" t="n"/>
      <c r="G1534" s="105">
        <f>IFERROR(__xludf.DUMMYFUNCTION("IF(batches!A257="""","""",TEXTJOIN(CHAR(10),TRUE,FILTER(admissions!$G$2:$G$78,admissions!$M$2:$M$78=batches!A257,"""")))"),"")</f>
        <v/>
      </c>
      <c r="H1534" s="101" t="n"/>
      <c r="I1534" s="101" t="n"/>
      <c r="J1534" s="102" t="n"/>
    </row>
    <row r="1535" ht="15.75" customHeight="1" s="84"/>
    <row r="1536" ht="15.75" customHeight="1" s="84"/>
    <row r="1537" ht="15.75" customHeight="1" s="84">
      <c r="A1537" s="100">
        <f>IF(batches!A258="","",batches!A258)</f>
        <v/>
      </c>
      <c r="B1537" s="101" t="n"/>
      <c r="C1537" s="101" t="n"/>
      <c r="D1537" s="102" t="n"/>
      <c r="G1537" s="100">
        <f>IF(batches!A259="","",batches!A259)</f>
        <v/>
      </c>
      <c r="H1537" s="101" t="n"/>
      <c r="I1537" s="101" t="n"/>
      <c r="J1537" s="102" t="n"/>
    </row>
    <row r="1538" ht="15.75" customHeight="1" s="84">
      <c r="A1538" s="80" t="inlineStr">
        <is>
          <t>Level / Mode</t>
        </is>
      </c>
      <c r="B1538" s="103">
        <f>IF(A1537="","",batches!B258&amp;" / "&amp;batches!C258)</f>
        <v/>
      </c>
      <c r="C1538" s="101" t="n"/>
      <c r="D1538" s="102" t="n"/>
      <c r="G1538" s="80" t="inlineStr">
        <is>
          <t>Level / Mode</t>
        </is>
      </c>
      <c r="H1538" s="103">
        <f>IF(G1537="","",batches!B259&amp;" / "&amp;batches!C259)</f>
        <v/>
      </c>
      <c r="I1538" s="101" t="n"/>
      <c r="J1538" s="102" t="n"/>
    </row>
    <row r="1539" ht="15.75" customHeight="1" s="84">
      <c r="A1539" s="80" t="inlineStr">
        <is>
          <t>Dates</t>
        </is>
      </c>
      <c r="B1539" s="103">
        <f>IF(A1537="","",TEXT(batches!D258,"yyyy-mm-dd")&amp;" to "&amp;TEXT(batches!E258,"yyyy-mm-dd"))</f>
        <v/>
      </c>
      <c r="C1539" s="101" t="n"/>
      <c r="D1539" s="102" t="n"/>
      <c r="G1539" s="80" t="inlineStr">
        <is>
          <t>Dates</t>
        </is>
      </c>
      <c r="H1539" s="103">
        <f>IF(G1537="","",TEXT(batches!D259,"yyyy-mm-dd")&amp;" to "&amp;TEXT(batches!E259,"yyyy-mm-dd"))</f>
        <v/>
      </c>
      <c r="I1539" s="101" t="n"/>
      <c r="J1539" s="102" t="n"/>
    </row>
    <row r="1540" ht="15.75" customHeight="1" s="84">
      <c r="A1540" s="80" t="inlineStr">
        <is>
          <t>Duration</t>
        </is>
      </c>
      <c r="B1540" s="103">
        <f>IF(OR(batches!D258="",batches!E258=""),"",batches!E258-batches!D258+1&amp;" days")</f>
        <v/>
      </c>
      <c r="C1540" s="101" t="n"/>
      <c r="D1540" s="102" t="n"/>
      <c r="G1540" s="80" t="inlineStr">
        <is>
          <t>Duration</t>
        </is>
      </c>
      <c r="H1540" s="103">
        <f>IF(OR(batches!D259="",batches!E259=""),"",batches!E259-batches!D259+1&amp;" days")</f>
        <v/>
      </c>
      <c r="I1540" s="101" t="n"/>
      <c r="J1540" s="102" t="n"/>
    </row>
    <row r="1541" ht="15.75" customHeight="1" s="84">
      <c r="A1541" s="80" t="inlineStr">
        <is>
          <t>Timing</t>
        </is>
      </c>
      <c r="B1541" s="103">
        <f>IF(A1537="","",batches!F258)</f>
        <v/>
      </c>
      <c r="C1541" s="101" t="n"/>
      <c r="D1541" s="102" t="n"/>
      <c r="G1541" s="80" t="inlineStr">
        <is>
          <t>Timing</t>
        </is>
      </c>
      <c r="H1541" s="103">
        <f>IF(G1537="","",batches!F259)</f>
        <v/>
      </c>
      <c r="I1541" s="101" t="n"/>
      <c r="J1541" s="102" t="n"/>
    </row>
    <row r="1542" ht="15.75" customHeight="1" s="84">
      <c r="A1542" s="80" t="inlineStr">
        <is>
          <t>Capacity</t>
        </is>
      </c>
      <c r="B1542" s="103">
        <f>IF(A1537="","",batches!G258)</f>
        <v/>
      </c>
      <c r="C1542" s="101" t="n"/>
      <c r="D1542" s="102" t="n"/>
      <c r="G1542" s="80" t="inlineStr">
        <is>
          <t>Capacity</t>
        </is>
      </c>
      <c r="H1542" s="103">
        <f>IF(G1537="","",batches!G259)</f>
        <v/>
      </c>
      <c r="I1542" s="101" t="n"/>
      <c r="J1542" s="102" t="n"/>
    </row>
    <row r="1543" ht="15.75" customHeight="1" s="84">
      <c r="A1543" s="80" t="inlineStr">
        <is>
          <t>Enrolled</t>
        </is>
      </c>
      <c r="B1543" s="103">
        <f>IF(A1537="","",COUNTIF(admissions!$M:$M,batches!A258))</f>
        <v/>
      </c>
      <c r="C1543" s="101" t="n"/>
      <c r="D1543" s="102" t="n"/>
      <c r="G1543" s="80" t="inlineStr">
        <is>
          <t>Enrolled</t>
        </is>
      </c>
      <c r="H1543" s="103">
        <f>IF(G1537="","",COUNTIF(admissions!$M:$M,batches!A259))</f>
        <v/>
      </c>
      <c r="I1543" s="101" t="n"/>
      <c r="J1543" s="102" t="n"/>
    </row>
    <row r="1544" ht="15.75" customHeight="1" s="84">
      <c r="A1544" s="80" t="inlineStr">
        <is>
          <t>Available</t>
        </is>
      </c>
      <c r="B1544" s="103">
        <f>IF(OR(batches!A258="",batches!G258=""),"",batches!G258-COUNTIF(admissions!$M:$M,batches!A258))</f>
        <v/>
      </c>
      <c r="C1544" s="101" t="n"/>
      <c r="D1544" s="102" t="n"/>
      <c r="G1544" s="80" t="inlineStr">
        <is>
          <t>Available</t>
        </is>
      </c>
      <c r="H1544" s="103">
        <f>IF(OR(batches!A259="",batches!G259=""),"",batches!G259-COUNTIF(admissions!$M:$M,batches!A259))</f>
        <v/>
      </c>
      <c r="I1544" s="101" t="n"/>
      <c r="J1544" s="102" t="n"/>
    </row>
    <row r="1545" ht="15.75" customHeight="1" s="84">
      <c r="A1545" s="104" t="inlineStr">
        <is>
          <t>Student List</t>
        </is>
      </c>
      <c r="B1545" s="101" t="n"/>
      <c r="C1545" s="101" t="n"/>
      <c r="D1545" s="102" t="n"/>
      <c r="G1545" s="104" t="inlineStr">
        <is>
          <t>Student List</t>
        </is>
      </c>
      <c r="H1545" s="101" t="n"/>
      <c r="I1545" s="101" t="n"/>
      <c r="J1545" s="102" t="n"/>
    </row>
    <row r="1546" ht="15.75" customHeight="1" s="84">
      <c r="A1546" s="105">
        <f>IFERROR(__xludf.DUMMYFUNCTION("IF(batches!A258="""","""",TEXTJOIN(CHAR(10),TRUE,FILTER(admissions!$G$2:$G$78,admissions!$M$2:$M$78=batches!A258,"""")))"),"")</f>
        <v/>
      </c>
      <c r="B1546" s="101" t="n"/>
      <c r="C1546" s="101" t="n"/>
      <c r="D1546" s="102" t="n"/>
      <c r="G1546" s="105">
        <f>IFERROR(__xludf.DUMMYFUNCTION("IF(batches!A259="""","""",TEXTJOIN(CHAR(10),TRUE,FILTER(admissions!$G$2:$G$78,admissions!$M$2:$M$78=batches!A259,"""")))"),"")</f>
        <v/>
      </c>
      <c r="H1546" s="101" t="n"/>
      <c r="I1546" s="101" t="n"/>
      <c r="J1546" s="102" t="n"/>
    </row>
    <row r="1547" ht="15.75" customHeight="1" s="84"/>
    <row r="1548" ht="15.75" customHeight="1" s="84"/>
    <row r="1549" ht="15.75" customHeight="1" s="84">
      <c r="A1549" s="100">
        <f>IF(batches!A260="","",batches!A260)</f>
        <v/>
      </c>
      <c r="B1549" s="101" t="n"/>
      <c r="C1549" s="101" t="n"/>
      <c r="D1549" s="102" t="n"/>
      <c r="G1549" s="100">
        <f>IF(batches!A261="","",batches!A261)</f>
        <v/>
      </c>
      <c r="H1549" s="101" t="n"/>
      <c r="I1549" s="101" t="n"/>
      <c r="J1549" s="102" t="n"/>
    </row>
    <row r="1550" ht="15.75" customHeight="1" s="84">
      <c r="A1550" s="80" t="inlineStr">
        <is>
          <t>Level / Mode</t>
        </is>
      </c>
      <c r="B1550" s="103">
        <f>IF(A1549="","",batches!B260&amp;" / "&amp;batches!C260)</f>
        <v/>
      </c>
      <c r="C1550" s="101" t="n"/>
      <c r="D1550" s="102" t="n"/>
      <c r="G1550" s="80" t="inlineStr">
        <is>
          <t>Level / Mode</t>
        </is>
      </c>
      <c r="H1550" s="103">
        <f>IF(G1549="","",batches!B261&amp;" / "&amp;batches!C261)</f>
        <v/>
      </c>
      <c r="I1550" s="101" t="n"/>
      <c r="J1550" s="102" t="n"/>
    </row>
    <row r="1551" ht="15.75" customHeight="1" s="84">
      <c r="A1551" s="80" t="inlineStr">
        <is>
          <t>Dates</t>
        </is>
      </c>
      <c r="B1551" s="103">
        <f>IF(A1549="","",TEXT(batches!D260,"yyyy-mm-dd")&amp;" to "&amp;TEXT(batches!E260,"yyyy-mm-dd"))</f>
        <v/>
      </c>
      <c r="C1551" s="101" t="n"/>
      <c r="D1551" s="102" t="n"/>
      <c r="G1551" s="80" t="inlineStr">
        <is>
          <t>Dates</t>
        </is>
      </c>
      <c r="H1551" s="103">
        <f>IF(G1549="","",TEXT(batches!D261,"yyyy-mm-dd")&amp;" to "&amp;TEXT(batches!E261,"yyyy-mm-dd"))</f>
        <v/>
      </c>
      <c r="I1551" s="101" t="n"/>
      <c r="J1551" s="102" t="n"/>
    </row>
    <row r="1552" ht="15.75" customHeight="1" s="84">
      <c r="A1552" s="80" t="inlineStr">
        <is>
          <t>Duration</t>
        </is>
      </c>
      <c r="B1552" s="103">
        <f>IF(OR(batches!D260="",batches!E260=""),"",batches!E260-batches!D260+1&amp;" days")</f>
        <v/>
      </c>
      <c r="C1552" s="101" t="n"/>
      <c r="D1552" s="102" t="n"/>
      <c r="G1552" s="80" t="inlineStr">
        <is>
          <t>Duration</t>
        </is>
      </c>
      <c r="H1552" s="103">
        <f>IF(OR(batches!D261="",batches!E261=""),"",batches!E261-batches!D261+1&amp;" days")</f>
        <v/>
      </c>
      <c r="I1552" s="101" t="n"/>
      <c r="J1552" s="102" t="n"/>
    </row>
    <row r="1553" ht="15.75" customHeight="1" s="84">
      <c r="A1553" s="80" t="inlineStr">
        <is>
          <t>Timing</t>
        </is>
      </c>
      <c r="B1553" s="103">
        <f>IF(A1549="","",batches!F260)</f>
        <v/>
      </c>
      <c r="C1553" s="101" t="n"/>
      <c r="D1553" s="102" t="n"/>
      <c r="G1553" s="80" t="inlineStr">
        <is>
          <t>Timing</t>
        </is>
      </c>
      <c r="H1553" s="103">
        <f>IF(G1549="","",batches!F261)</f>
        <v/>
      </c>
      <c r="I1553" s="101" t="n"/>
      <c r="J1553" s="102" t="n"/>
    </row>
    <row r="1554" ht="15.75" customHeight="1" s="84">
      <c r="A1554" s="80" t="inlineStr">
        <is>
          <t>Capacity</t>
        </is>
      </c>
      <c r="B1554" s="103">
        <f>IF(A1549="","",batches!G260)</f>
        <v/>
      </c>
      <c r="C1554" s="101" t="n"/>
      <c r="D1554" s="102" t="n"/>
      <c r="G1554" s="80" t="inlineStr">
        <is>
          <t>Capacity</t>
        </is>
      </c>
      <c r="H1554" s="103">
        <f>IF(G1549="","",batches!G261)</f>
        <v/>
      </c>
      <c r="I1554" s="101" t="n"/>
      <c r="J1554" s="102" t="n"/>
    </row>
    <row r="1555" ht="15.75" customHeight="1" s="84">
      <c r="A1555" s="80" t="inlineStr">
        <is>
          <t>Enrolled</t>
        </is>
      </c>
      <c r="B1555" s="103">
        <f>IF(A1549="","",COUNTIF(admissions!$M:$M,batches!A260))</f>
        <v/>
      </c>
      <c r="C1555" s="101" t="n"/>
      <c r="D1555" s="102" t="n"/>
      <c r="G1555" s="80" t="inlineStr">
        <is>
          <t>Enrolled</t>
        </is>
      </c>
      <c r="H1555" s="103">
        <f>IF(G1549="","",COUNTIF(admissions!$M:$M,batches!A261))</f>
        <v/>
      </c>
      <c r="I1555" s="101" t="n"/>
      <c r="J1555" s="102" t="n"/>
    </row>
    <row r="1556" ht="15.75" customHeight="1" s="84">
      <c r="A1556" s="80" t="inlineStr">
        <is>
          <t>Available</t>
        </is>
      </c>
      <c r="B1556" s="103">
        <f>IF(OR(batches!A260="",batches!G260=""),"",batches!G260-COUNTIF(admissions!$M:$M,batches!A260))</f>
        <v/>
      </c>
      <c r="C1556" s="101" t="n"/>
      <c r="D1556" s="102" t="n"/>
      <c r="G1556" s="80" t="inlineStr">
        <is>
          <t>Available</t>
        </is>
      </c>
      <c r="H1556" s="103">
        <f>IF(OR(batches!A261="",batches!G261=""),"",batches!G261-COUNTIF(admissions!$M:$M,batches!A261))</f>
        <v/>
      </c>
      <c r="I1556" s="101" t="n"/>
      <c r="J1556" s="102" t="n"/>
    </row>
    <row r="1557" ht="15.75" customHeight="1" s="84">
      <c r="A1557" s="104" t="inlineStr">
        <is>
          <t>Student List</t>
        </is>
      </c>
      <c r="B1557" s="101" t="n"/>
      <c r="C1557" s="101" t="n"/>
      <c r="D1557" s="102" t="n"/>
      <c r="G1557" s="104" t="inlineStr">
        <is>
          <t>Student List</t>
        </is>
      </c>
      <c r="H1557" s="101" t="n"/>
      <c r="I1557" s="101" t="n"/>
      <c r="J1557" s="102" t="n"/>
    </row>
    <row r="1558" ht="15.75" customHeight="1" s="84">
      <c r="A1558" s="105">
        <f>IFERROR(__xludf.DUMMYFUNCTION("IF(batches!A260="""","""",TEXTJOIN(CHAR(10),TRUE,FILTER(admissions!$G$2:$G$78,admissions!$M$2:$M$78=batches!A260,"""")))"),"")</f>
        <v/>
      </c>
      <c r="B1558" s="101" t="n"/>
      <c r="C1558" s="101" t="n"/>
      <c r="D1558" s="102" t="n"/>
      <c r="G1558" s="105">
        <f>IFERROR(__xludf.DUMMYFUNCTION("IF(batches!A261="""","""",TEXTJOIN(CHAR(10),TRUE,FILTER(admissions!$G$2:$G$78,admissions!$M$2:$M$78=batches!A261,"""")))"),"")</f>
        <v/>
      </c>
      <c r="H1558" s="101" t="n"/>
      <c r="I1558" s="101" t="n"/>
      <c r="J1558" s="102" t="n"/>
    </row>
    <row r="1559" ht="15.75" customHeight="1" s="84"/>
    <row r="1560" ht="15.75" customHeight="1" s="84"/>
    <row r="1561" ht="15.75" customHeight="1" s="84">
      <c r="A1561" s="100">
        <f>IF(batches!A262="","",batches!A262)</f>
        <v/>
      </c>
      <c r="B1561" s="101" t="n"/>
      <c r="C1561" s="101" t="n"/>
      <c r="D1561" s="102" t="n"/>
      <c r="G1561" s="100">
        <f>IF(batches!A263="","",batches!A263)</f>
        <v/>
      </c>
      <c r="H1561" s="101" t="n"/>
      <c r="I1561" s="101" t="n"/>
      <c r="J1561" s="102" t="n"/>
    </row>
    <row r="1562" ht="15.75" customHeight="1" s="84">
      <c r="A1562" s="80" t="inlineStr">
        <is>
          <t>Level / Mode</t>
        </is>
      </c>
      <c r="B1562" s="103">
        <f>IF(A1561="","",batches!B262&amp;" / "&amp;batches!C262)</f>
        <v/>
      </c>
      <c r="C1562" s="101" t="n"/>
      <c r="D1562" s="102" t="n"/>
      <c r="G1562" s="80" t="inlineStr">
        <is>
          <t>Level / Mode</t>
        </is>
      </c>
      <c r="H1562" s="103">
        <f>IF(G1561="","",batches!B263&amp;" / "&amp;batches!C263)</f>
        <v/>
      </c>
      <c r="I1562" s="101" t="n"/>
      <c r="J1562" s="102" t="n"/>
    </row>
    <row r="1563" ht="15.75" customHeight="1" s="84">
      <c r="A1563" s="80" t="inlineStr">
        <is>
          <t>Dates</t>
        </is>
      </c>
      <c r="B1563" s="103">
        <f>IF(A1561="","",TEXT(batches!D262,"yyyy-mm-dd")&amp;" to "&amp;TEXT(batches!E262,"yyyy-mm-dd"))</f>
        <v/>
      </c>
      <c r="C1563" s="101" t="n"/>
      <c r="D1563" s="102" t="n"/>
      <c r="G1563" s="80" t="inlineStr">
        <is>
          <t>Dates</t>
        </is>
      </c>
      <c r="H1563" s="103">
        <f>IF(G1561="","",TEXT(batches!D263,"yyyy-mm-dd")&amp;" to "&amp;TEXT(batches!E263,"yyyy-mm-dd"))</f>
        <v/>
      </c>
      <c r="I1563" s="101" t="n"/>
      <c r="J1563" s="102" t="n"/>
    </row>
    <row r="1564" ht="15.75" customHeight="1" s="84">
      <c r="A1564" s="80" t="inlineStr">
        <is>
          <t>Duration</t>
        </is>
      </c>
      <c r="B1564" s="103">
        <f>IF(OR(batches!D262="",batches!E262=""),"",batches!E262-batches!D262+1&amp;" days")</f>
        <v/>
      </c>
      <c r="C1564" s="101" t="n"/>
      <c r="D1564" s="102" t="n"/>
      <c r="G1564" s="80" t="inlineStr">
        <is>
          <t>Duration</t>
        </is>
      </c>
      <c r="H1564" s="103">
        <f>IF(OR(batches!D263="",batches!E263=""),"",batches!E263-batches!D263+1&amp;" days")</f>
        <v/>
      </c>
      <c r="I1564" s="101" t="n"/>
      <c r="J1564" s="102" t="n"/>
    </row>
    <row r="1565" ht="15.75" customHeight="1" s="84">
      <c r="A1565" s="80" t="inlineStr">
        <is>
          <t>Timing</t>
        </is>
      </c>
      <c r="B1565" s="103">
        <f>IF(A1561="","",batches!F262)</f>
        <v/>
      </c>
      <c r="C1565" s="101" t="n"/>
      <c r="D1565" s="102" t="n"/>
      <c r="G1565" s="80" t="inlineStr">
        <is>
          <t>Timing</t>
        </is>
      </c>
      <c r="H1565" s="103">
        <f>IF(G1561="","",batches!F263)</f>
        <v/>
      </c>
      <c r="I1565" s="101" t="n"/>
      <c r="J1565" s="102" t="n"/>
    </row>
    <row r="1566" ht="15.75" customHeight="1" s="84">
      <c r="A1566" s="80" t="inlineStr">
        <is>
          <t>Capacity</t>
        </is>
      </c>
      <c r="B1566" s="103">
        <f>IF(A1561="","",batches!G262)</f>
        <v/>
      </c>
      <c r="C1566" s="101" t="n"/>
      <c r="D1566" s="102" t="n"/>
      <c r="G1566" s="80" t="inlineStr">
        <is>
          <t>Capacity</t>
        </is>
      </c>
      <c r="H1566" s="103">
        <f>IF(G1561="","",batches!G263)</f>
        <v/>
      </c>
      <c r="I1566" s="101" t="n"/>
      <c r="J1566" s="102" t="n"/>
    </row>
    <row r="1567" ht="15.75" customHeight="1" s="84">
      <c r="A1567" s="80" t="inlineStr">
        <is>
          <t>Enrolled</t>
        </is>
      </c>
      <c r="B1567" s="103">
        <f>IF(A1561="","",COUNTIF(admissions!$M:$M,batches!A262))</f>
        <v/>
      </c>
      <c r="C1567" s="101" t="n"/>
      <c r="D1567" s="102" t="n"/>
      <c r="G1567" s="80" t="inlineStr">
        <is>
          <t>Enrolled</t>
        </is>
      </c>
      <c r="H1567" s="103">
        <f>IF(G1561="","",COUNTIF(admissions!$M:$M,batches!A263))</f>
        <v/>
      </c>
      <c r="I1567" s="101" t="n"/>
      <c r="J1567" s="102" t="n"/>
    </row>
    <row r="1568" ht="15.75" customHeight="1" s="84">
      <c r="A1568" s="80" t="inlineStr">
        <is>
          <t>Available</t>
        </is>
      </c>
      <c r="B1568" s="103">
        <f>IF(OR(batches!A262="",batches!G262=""),"",batches!G262-COUNTIF(admissions!$M:$M,batches!A262))</f>
        <v/>
      </c>
      <c r="C1568" s="101" t="n"/>
      <c r="D1568" s="102" t="n"/>
      <c r="G1568" s="80" t="inlineStr">
        <is>
          <t>Available</t>
        </is>
      </c>
      <c r="H1568" s="103">
        <f>IF(OR(batches!A263="",batches!G263=""),"",batches!G263-COUNTIF(admissions!$M:$M,batches!A263))</f>
        <v/>
      </c>
      <c r="I1568" s="101" t="n"/>
      <c r="J1568" s="102" t="n"/>
    </row>
    <row r="1569" ht="15.75" customHeight="1" s="84">
      <c r="A1569" s="104" t="inlineStr">
        <is>
          <t>Student List</t>
        </is>
      </c>
      <c r="B1569" s="101" t="n"/>
      <c r="C1569" s="101" t="n"/>
      <c r="D1569" s="102" t="n"/>
      <c r="G1569" s="104" t="inlineStr">
        <is>
          <t>Student List</t>
        </is>
      </c>
      <c r="H1569" s="101" t="n"/>
      <c r="I1569" s="101" t="n"/>
      <c r="J1569" s="102" t="n"/>
    </row>
    <row r="1570" ht="15.75" customHeight="1" s="84">
      <c r="A1570" s="105">
        <f>IFERROR(__xludf.DUMMYFUNCTION("IF(batches!A262="""","""",TEXTJOIN(CHAR(10),TRUE,FILTER(admissions!$G$2:$G$78,admissions!$M$2:$M$78=batches!A262,"""")))"),"")</f>
        <v/>
      </c>
      <c r="B1570" s="101" t="n"/>
      <c r="C1570" s="101" t="n"/>
      <c r="D1570" s="102" t="n"/>
      <c r="G1570" s="105">
        <f>IFERROR(__xludf.DUMMYFUNCTION("IF(batches!A263="""","""",TEXTJOIN(CHAR(10),TRUE,FILTER(admissions!$G$2:$G$78,admissions!$M$2:$M$78=batches!A263,"""")))"),"")</f>
        <v/>
      </c>
      <c r="H1570" s="101" t="n"/>
      <c r="I1570" s="101" t="n"/>
      <c r="J1570" s="102" t="n"/>
    </row>
    <row r="1571" ht="15.75" customHeight="1" s="84"/>
    <row r="1572" ht="15.75" customHeight="1" s="84"/>
    <row r="1573" ht="15.75" customHeight="1" s="84">
      <c r="A1573" s="100">
        <f>IF(batches!A264="","",batches!A264)</f>
        <v/>
      </c>
      <c r="B1573" s="101" t="n"/>
      <c r="C1573" s="101" t="n"/>
      <c r="D1573" s="102" t="n"/>
      <c r="G1573" s="100">
        <f>IF(batches!A265="","",batches!A265)</f>
        <v/>
      </c>
      <c r="H1573" s="101" t="n"/>
      <c r="I1573" s="101" t="n"/>
      <c r="J1573" s="102" t="n"/>
    </row>
    <row r="1574" ht="15.75" customHeight="1" s="84">
      <c r="A1574" s="80" t="inlineStr">
        <is>
          <t>Level / Mode</t>
        </is>
      </c>
      <c r="B1574" s="103">
        <f>IF(A1573="","",batches!B264&amp;" / "&amp;batches!C264)</f>
        <v/>
      </c>
      <c r="C1574" s="101" t="n"/>
      <c r="D1574" s="102" t="n"/>
      <c r="G1574" s="80" t="inlineStr">
        <is>
          <t>Level / Mode</t>
        </is>
      </c>
      <c r="H1574" s="103">
        <f>IF(G1573="","",batches!B265&amp;" / "&amp;batches!C265)</f>
        <v/>
      </c>
      <c r="I1574" s="101" t="n"/>
      <c r="J1574" s="102" t="n"/>
    </row>
    <row r="1575" ht="15.75" customHeight="1" s="84">
      <c r="A1575" s="80" t="inlineStr">
        <is>
          <t>Dates</t>
        </is>
      </c>
      <c r="B1575" s="103">
        <f>IF(A1573="","",TEXT(batches!D264,"yyyy-mm-dd")&amp;" to "&amp;TEXT(batches!E264,"yyyy-mm-dd"))</f>
        <v/>
      </c>
      <c r="C1575" s="101" t="n"/>
      <c r="D1575" s="102" t="n"/>
      <c r="G1575" s="80" t="inlineStr">
        <is>
          <t>Dates</t>
        </is>
      </c>
      <c r="H1575" s="103">
        <f>IF(G1573="","",TEXT(batches!D265,"yyyy-mm-dd")&amp;" to "&amp;TEXT(batches!E265,"yyyy-mm-dd"))</f>
        <v/>
      </c>
      <c r="I1575" s="101" t="n"/>
      <c r="J1575" s="102" t="n"/>
    </row>
    <row r="1576" ht="15.75" customHeight="1" s="84">
      <c r="A1576" s="80" t="inlineStr">
        <is>
          <t>Duration</t>
        </is>
      </c>
      <c r="B1576" s="103">
        <f>IF(OR(batches!D264="",batches!E264=""),"",batches!E264-batches!D264+1&amp;" days")</f>
        <v/>
      </c>
      <c r="C1576" s="101" t="n"/>
      <c r="D1576" s="102" t="n"/>
      <c r="G1576" s="80" t="inlineStr">
        <is>
          <t>Duration</t>
        </is>
      </c>
      <c r="H1576" s="103">
        <f>IF(OR(batches!D265="",batches!E265=""),"",batches!E265-batches!D265+1&amp;" days")</f>
        <v/>
      </c>
      <c r="I1576" s="101" t="n"/>
      <c r="J1576" s="102" t="n"/>
    </row>
    <row r="1577" ht="15.75" customHeight="1" s="84">
      <c r="A1577" s="80" t="inlineStr">
        <is>
          <t>Timing</t>
        </is>
      </c>
      <c r="B1577" s="103">
        <f>IF(A1573="","",batches!F264)</f>
        <v/>
      </c>
      <c r="C1577" s="101" t="n"/>
      <c r="D1577" s="102" t="n"/>
      <c r="G1577" s="80" t="inlineStr">
        <is>
          <t>Timing</t>
        </is>
      </c>
      <c r="H1577" s="103">
        <f>IF(G1573="","",batches!F265)</f>
        <v/>
      </c>
      <c r="I1577" s="101" t="n"/>
      <c r="J1577" s="102" t="n"/>
    </row>
    <row r="1578" ht="15.75" customHeight="1" s="84">
      <c r="A1578" s="80" t="inlineStr">
        <is>
          <t>Capacity</t>
        </is>
      </c>
      <c r="B1578" s="103">
        <f>IF(A1573="","",batches!G264)</f>
        <v/>
      </c>
      <c r="C1578" s="101" t="n"/>
      <c r="D1578" s="102" t="n"/>
      <c r="G1578" s="80" t="inlineStr">
        <is>
          <t>Capacity</t>
        </is>
      </c>
      <c r="H1578" s="103">
        <f>IF(G1573="","",batches!G265)</f>
        <v/>
      </c>
      <c r="I1578" s="101" t="n"/>
      <c r="J1578" s="102" t="n"/>
    </row>
    <row r="1579" ht="15.75" customHeight="1" s="84">
      <c r="A1579" s="80" t="inlineStr">
        <is>
          <t>Enrolled</t>
        </is>
      </c>
      <c r="B1579" s="103">
        <f>IF(A1573="","",COUNTIF(admissions!$M:$M,batches!A264))</f>
        <v/>
      </c>
      <c r="C1579" s="101" t="n"/>
      <c r="D1579" s="102" t="n"/>
      <c r="G1579" s="80" t="inlineStr">
        <is>
          <t>Enrolled</t>
        </is>
      </c>
      <c r="H1579" s="103">
        <f>IF(G1573="","",COUNTIF(admissions!$M:$M,batches!A265))</f>
        <v/>
      </c>
      <c r="I1579" s="101" t="n"/>
      <c r="J1579" s="102" t="n"/>
    </row>
    <row r="1580" ht="15.75" customHeight="1" s="84">
      <c r="A1580" s="80" t="inlineStr">
        <is>
          <t>Available</t>
        </is>
      </c>
      <c r="B1580" s="103">
        <f>IF(OR(batches!A264="",batches!G264=""),"",batches!G264-COUNTIF(admissions!$M:$M,batches!A264))</f>
        <v/>
      </c>
      <c r="C1580" s="101" t="n"/>
      <c r="D1580" s="102" t="n"/>
      <c r="G1580" s="80" t="inlineStr">
        <is>
          <t>Available</t>
        </is>
      </c>
      <c r="H1580" s="103">
        <f>IF(OR(batches!A265="",batches!G265=""),"",batches!G265-COUNTIF(admissions!$M:$M,batches!A265))</f>
        <v/>
      </c>
      <c r="I1580" s="101" t="n"/>
      <c r="J1580" s="102" t="n"/>
    </row>
    <row r="1581" ht="15.75" customHeight="1" s="84">
      <c r="A1581" s="104" t="inlineStr">
        <is>
          <t>Student List</t>
        </is>
      </c>
      <c r="B1581" s="101" t="n"/>
      <c r="C1581" s="101" t="n"/>
      <c r="D1581" s="102" t="n"/>
      <c r="G1581" s="104" t="inlineStr">
        <is>
          <t>Student List</t>
        </is>
      </c>
      <c r="H1581" s="101" t="n"/>
      <c r="I1581" s="101" t="n"/>
      <c r="J1581" s="102" t="n"/>
    </row>
    <row r="1582" ht="15.75" customHeight="1" s="84">
      <c r="A1582" s="105">
        <f>IFERROR(__xludf.DUMMYFUNCTION("IF(batches!A264="""","""",TEXTJOIN(CHAR(10),TRUE,FILTER(admissions!$G$2:$G$78,admissions!$M$2:$M$78=batches!A264,"""")))"),"")</f>
        <v/>
      </c>
      <c r="B1582" s="101" t="n"/>
      <c r="C1582" s="101" t="n"/>
      <c r="D1582" s="102" t="n"/>
      <c r="G1582" s="105">
        <f>IFERROR(__xludf.DUMMYFUNCTION("IF(batches!A265="""","""",TEXTJOIN(CHAR(10),TRUE,FILTER(admissions!$G$2:$G$78,admissions!$M$2:$M$78=batches!A265,"""")))"),"")</f>
        <v/>
      </c>
      <c r="H1582" s="101" t="n"/>
      <c r="I1582" s="101" t="n"/>
      <c r="J1582" s="102" t="n"/>
    </row>
    <row r="1583" ht="15.75" customHeight="1" s="84"/>
    <row r="1584" ht="15.75" customHeight="1" s="84"/>
    <row r="1585" ht="15.75" customHeight="1" s="84">
      <c r="A1585" s="100">
        <f>IF(batches!A266="","",batches!A266)</f>
        <v/>
      </c>
      <c r="B1585" s="101" t="n"/>
      <c r="C1585" s="101" t="n"/>
      <c r="D1585" s="102" t="n"/>
      <c r="G1585" s="100">
        <f>IF(batches!A267="","",batches!A267)</f>
        <v/>
      </c>
      <c r="H1585" s="101" t="n"/>
      <c r="I1585" s="101" t="n"/>
      <c r="J1585" s="102" t="n"/>
    </row>
    <row r="1586" ht="15.75" customHeight="1" s="84">
      <c r="A1586" s="80" t="inlineStr">
        <is>
          <t>Level / Mode</t>
        </is>
      </c>
      <c r="B1586" s="103">
        <f>IF(A1585="","",batches!B266&amp;" / "&amp;batches!C266)</f>
        <v/>
      </c>
      <c r="C1586" s="101" t="n"/>
      <c r="D1586" s="102" t="n"/>
      <c r="G1586" s="80" t="inlineStr">
        <is>
          <t>Level / Mode</t>
        </is>
      </c>
      <c r="H1586" s="103">
        <f>IF(G1585="","",batches!B267&amp;" / "&amp;batches!C267)</f>
        <v/>
      </c>
      <c r="I1586" s="101" t="n"/>
      <c r="J1586" s="102" t="n"/>
    </row>
    <row r="1587" ht="15.75" customHeight="1" s="84">
      <c r="A1587" s="80" t="inlineStr">
        <is>
          <t>Dates</t>
        </is>
      </c>
      <c r="B1587" s="103">
        <f>IF(A1585="","",TEXT(batches!D266,"yyyy-mm-dd")&amp;" to "&amp;TEXT(batches!E266,"yyyy-mm-dd"))</f>
        <v/>
      </c>
      <c r="C1587" s="101" t="n"/>
      <c r="D1587" s="102" t="n"/>
      <c r="G1587" s="80" t="inlineStr">
        <is>
          <t>Dates</t>
        </is>
      </c>
      <c r="H1587" s="103">
        <f>IF(G1585="","",TEXT(batches!D267,"yyyy-mm-dd")&amp;" to "&amp;TEXT(batches!E267,"yyyy-mm-dd"))</f>
        <v/>
      </c>
      <c r="I1587" s="101" t="n"/>
      <c r="J1587" s="102" t="n"/>
    </row>
    <row r="1588" ht="15.75" customHeight="1" s="84">
      <c r="A1588" s="80" t="inlineStr">
        <is>
          <t>Duration</t>
        </is>
      </c>
      <c r="B1588" s="103">
        <f>IF(OR(batches!D266="",batches!E266=""),"",batches!E266-batches!D266+1&amp;" days")</f>
        <v/>
      </c>
      <c r="C1588" s="101" t="n"/>
      <c r="D1588" s="102" t="n"/>
      <c r="G1588" s="80" t="inlineStr">
        <is>
          <t>Duration</t>
        </is>
      </c>
      <c r="H1588" s="103">
        <f>IF(OR(batches!D267="",batches!E267=""),"",batches!E267-batches!D267+1&amp;" days")</f>
        <v/>
      </c>
      <c r="I1588" s="101" t="n"/>
      <c r="J1588" s="102" t="n"/>
    </row>
    <row r="1589" ht="15.75" customHeight="1" s="84">
      <c r="A1589" s="80" t="inlineStr">
        <is>
          <t>Timing</t>
        </is>
      </c>
      <c r="B1589" s="103">
        <f>IF(A1585="","",batches!F266)</f>
        <v/>
      </c>
      <c r="C1589" s="101" t="n"/>
      <c r="D1589" s="102" t="n"/>
      <c r="G1589" s="80" t="inlineStr">
        <is>
          <t>Timing</t>
        </is>
      </c>
      <c r="H1589" s="103">
        <f>IF(G1585="","",batches!F267)</f>
        <v/>
      </c>
      <c r="I1589" s="101" t="n"/>
      <c r="J1589" s="102" t="n"/>
    </row>
    <row r="1590" ht="15.75" customHeight="1" s="84">
      <c r="A1590" s="80" t="inlineStr">
        <is>
          <t>Capacity</t>
        </is>
      </c>
      <c r="B1590" s="103">
        <f>IF(A1585="","",batches!G266)</f>
        <v/>
      </c>
      <c r="C1590" s="101" t="n"/>
      <c r="D1590" s="102" t="n"/>
      <c r="G1590" s="80" t="inlineStr">
        <is>
          <t>Capacity</t>
        </is>
      </c>
      <c r="H1590" s="103">
        <f>IF(G1585="","",batches!G267)</f>
        <v/>
      </c>
      <c r="I1590" s="101" t="n"/>
      <c r="J1590" s="102" t="n"/>
    </row>
    <row r="1591" ht="15.75" customHeight="1" s="84">
      <c r="A1591" s="80" t="inlineStr">
        <is>
          <t>Enrolled</t>
        </is>
      </c>
      <c r="B1591" s="103">
        <f>IF(A1585="","",COUNTIF(admissions!$M:$M,batches!A266))</f>
        <v/>
      </c>
      <c r="C1591" s="101" t="n"/>
      <c r="D1591" s="102" t="n"/>
      <c r="G1591" s="80" t="inlineStr">
        <is>
          <t>Enrolled</t>
        </is>
      </c>
      <c r="H1591" s="103">
        <f>IF(G1585="","",COUNTIF(admissions!$M:$M,batches!A267))</f>
        <v/>
      </c>
      <c r="I1591" s="101" t="n"/>
      <c r="J1591" s="102" t="n"/>
    </row>
    <row r="1592" ht="15.75" customHeight="1" s="84">
      <c r="A1592" s="80" t="inlineStr">
        <is>
          <t>Available</t>
        </is>
      </c>
      <c r="B1592" s="103">
        <f>IF(OR(batches!A266="",batches!G266=""),"",batches!G266-COUNTIF(admissions!$M:$M,batches!A266))</f>
        <v/>
      </c>
      <c r="C1592" s="101" t="n"/>
      <c r="D1592" s="102" t="n"/>
      <c r="G1592" s="80" t="inlineStr">
        <is>
          <t>Available</t>
        </is>
      </c>
      <c r="H1592" s="103">
        <f>IF(OR(batches!A267="",batches!G267=""),"",batches!G267-COUNTIF(admissions!$M:$M,batches!A267))</f>
        <v/>
      </c>
      <c r="I1592" s="101" t="n"/>
      <c r="J1592" s="102" t="n"/>
    </row>
    <row r="1593" ht="15.75" customHeight="1" s="84">
      <c r="A1593" s="104" t="inlineStr">
        <is>
          <t>Student List</t>
        </is>
      </c>
      <c r="B1593" s="101" t="n"/>
      <c r="C1593" s="101" t="n"/>
      <c r="D1593" s="102" t="n"/>
      <c r="G1593" s="104" t="inlineStr">
        <is>
          <t>Student List</t>
        </is>
      </c>
      <c r="H1593" s="101" t="n"/>
      <c r="I1593" s="101" t="n"/>
      <c r="J1593" s="102" t="n"/>
    </row>
    <row r="1594" ht="15.75" customHeight="1" s="84">
      <c r="A1594" s="105">
        <f>IFERROR(__xludf.DUMMYFUNCTION("IF(batches!A266="""","""",TEXTJOIN(CHAR(10),TRUE,FILTER(admissions!$G$2:$G$78,admissions!$M$2:$M$78=batches!A266,"""")))"),"")</f>
        <v/>
      </c>
      <c r="B1594" s="101" t="n"/>
      <c r="C1594" s="101" t="n"/>
      <c r="D1594" s="102" t="n"/>
      <c r="G1594" s="105">
        <f>IFERROR(__xludf.DUMMYFUNCTION("IF(batches!A267="""","""",TEXTJOIN(CHAR(10),TRUE,FILTER(admissions!$G$2:$G$78,admissions!$M$2:$M$78=batches!A267,"""")))"),"")</f>
        <v/>
      </c>
      <c r="H1594" s="101" t="n"/>
      <c r="I1594" s="101" t="n"/>
      <c r="J1594" s="102" t="n"/>
    </row>
    <row r="1595" ht="15.75" customHeight="1" s="84"/>
    <row r="1596" ht="15.75" customHeight="1" s="84"/>
    <row r="1597" ht="15.75" customHeight="1" s="84">
      <c r="A1597" s="100">
        <f>IF(batches!A268="","",batches!A268)</f>
        <v/>
      </c>
      <c r="B1597" s="101" t="n"/>
      <c r="C1597" s="101" t="n"/>
      <c r="D1597" s="102" t="n"/>
      <c r="G1597" s="100">
        <f>IF(batches!A269="","",batches!A269)</f>
        <v/>
      </c>
      <c r="H1597" s="101" t="n"/>
      <c r="I1597" s="101" t="n"/>
      <c r="J1597" s="102" t="n"/>
    </row>
    <row r="1598" ht="15.75" customHeight="1" s="84">
      <c r="A1598" s="80" t="inlineStr">
        <is>
          <t>Level / Mode</t>
        </is>
      </c>
      <c r="B1598" s="103">
        <f>IF(A1597="","",batches!B268&amp;" / "&amp;batches!C268)</f>
        <v/>
      </c>
      <c r="C1598" s="101" t="n"/>
      <c r="D1598" s="102" t="n"/>
      <c r="G1598" s="80" t="inlineStr">
        <is>
          <t>Level / Mode</t>
        </is>
      </c>
      <c r="H1598" s="103">
        <f>IF(G1597="","",batches!B269&amp;" / "&amp;batches!C269)</f>
        <v/>
      </c>
      <c r="I1598" s="101" t="n"/>
      <c r="J1598" s="102" t="n"/>
    </row>
    <row r="1599" ht="15.75" customHeight="1" s="84">
      <c r="A1599" s="80" t="inlineStr">
        <is>
          <t>Dates</t>
        </is>
      </c>
      <c r="B1599" s="103">
        <f>IF(A1597="","",TEXT(batches!D268,"yyyy-mm-dd")&amp;" to "&amp;TEXT(batches!E268,"yyyy-mm-dd"))</f>
        <v/>
      </c>
      <c r="C1599" s="101" t="n"/>
      <c r="D1599" s="102" t="n"/>
      <c r="G1599" s="80" t="inlineStr">
        <is>
          <t>Dates</t>
        </is>
      </c>
      <c r="H1599" s="103">
        <f>IF(G1597="","",TEXT(batches!D269,"yyyy-mm-dd")&amp;" to "&amp;TEXT(batches!E269,"yyyy-mm-dd"))</f>
        <v/>
      </c>
      <c r="I1599" s="101" t="n"/>
      <c r="J1599" s="102" t="n"/>
    </row>
    <row r="1600" ht="15.75" customHeight="1" s="84">
      <c r="A1600" s="80" t="inlineStr">
        <is>
          <t>Duration</t>
        </is>
      </c>
      <c r="B1600" s="103">
        <f>IF(OR(batches!D268="",batches!E268=""),"",batches!E268-batches!D268+1&amp;" days")</f>
        <v/>
      </c>
      <c r="C1600" s="101" t="n"/>
      <c r="D1600" s="102" t="n"/>
      <c r="G1600" s="80" t="inlineStr">
        <is>
          <t>Duration</t>
        </is>
      </c>
      <c r="H1600" s="103">
        <f>IF(OR(batches!D269="",batches!E269=""),"",batches!E269-batches!D269+1&amp;" days")</f>
        <v/>
      </c>
      <c r="I1600" s="101" t="n"/>
      <c r="J1600" s="102" t="n"/>
    </row>
    <row r="1601" ht="15.75" customHeight="1" s="84">
      <c r="A1601" s="80" t="inlineStr">
        <is>
          <t>Timing</t>
        </is>
      </c>
      <c r="B1601" s="103">
        <f>IF(A1597="","",batches!F268)</f>
        <v/>
      </c>
      <c r="C1601" s="101" t="n"/>
      <c r="D1601" s="102" t="n"/>
      <c r="G1601" s="80" t="inlineStr">
        <is>
          <t>Timing</t>
        </is>
      </c>
      <c r="H1601" s="103">
        <f>IF(G1597="","",batches!F269)</f>
        <v/>
      </c>
      <c r="I1601" s="101" t="n"/>
      <c r="J1601" s="102" t="n"/>
    </row>
    <row r="1602" ht="15.75" customHeight="1" s="84">
      <c r="A1602" s="80" t="inlineStr">
        <is>
          <t>Capacity</t>
        </is>
      </c>
      <c r="B1602" s="103">
        <f>IF(A1597="","",batches!G268)</f>
        <v/>
      </c>
      <c r="C1602" s="101" t="n"/>
      <c r="D1602" s="102" t="n"/>
      <c r="G1602" s="80" t="inlineStr">
        <is>
          <t>Capacity</t>
        </is>
      </c>
      <c r="H1602" s="103">
        <f>IF(G1597="","",batches!G269)</f>
        <v/>
      </c>
      <c r="I1602" s="101" t="n"/>
      <c r="J1602" s="102" t="n"/>
    </row>
    <row r="1603" ht="15.75" customHeight="1" s="84">
      <c r="A1603" s="80" t="inlineStr">
        <is>
          <t>Enrolled</t>
        </is>
      </c>
      <c r="B1603" s="103">
        <f>IF(A1597="","",COUNTIF(admissions!$M:$M,batches!A268))</f>
        <v/>
      </c>
      <c r="C1603" s="101" t="n"/>
      <c r="D1603" s="102" t="n"/>
      <c r="G1603" s="80" t="inlineStr">
        <is>
          <t>Enrolled</t>
        </is>
      </c>
      <c r="H1603" s="103">
        <f>IF(G1597="","",COUNTIF(admissions!$M:$M,batches!A269))</f>
        <v/>
      </c>
      <c r="I1603" s="101" t="n"/>
      <c r="J1603" s="102" t="n"/>
    </row>
    <row r="1604" ht="15.75" customHeight="1" s="84">
      <c r="A1604" s="80" t="inlineStr">
        <is>
          <t>Available</t>
        </is>
      </c>
      <c r="B1604" s="103">
        <f>IF(OR(batches!A268="",batches!G268=""),"",batches!G268-COUNTIF(admissions!$M:$M,batches!A268))</f>
        <v/>
      </c>
      <c r="C1604" s="101" t="n"/>
      <c r="D1604" s="102" t="n"/>
      <c r="G1604" s="80" t="inlineStr">
        <is>
          <t>Available</t>
        </is>
      </c>
      <c r="H1604" s="103">
        <f>IF(OR(batches!A269="",batches!G269=""),"",batches!G269-COUNTIF(admissions!$M:$M,batches!A269))</f>
        <v/>
      </c>
      <c r="I1604" s="101" t="n"/>
      <c r="J1604" s="102" t="n"/>
    </row>
    <row r="1605" ht="15.75" customHeight="1" s="84">
      <c r="A1605" s="104" t="inlineStr">
        <is>
          <t>Student List</t>
        </is>
      </c>
      <c r="B1605" s="101" t="n"/>
      <c r="C1605" s="101" t="n"/>
      <c r="D1605" s="102" t="n"/>
      <c r="G1605" s="104" t="inlineStr">
        <is>
          <t>Student List</t>
        </is>
      </c>
      <c r="H1605" s="101" t="n"/>
      <c r="I1605" s="101" t="n"/>
      <c r="J1605" s="102" t="n"/>
    </row>
    <row r="1606" ht="15.75" customHeight="1" s="84">
      <c r="A1606" s="105">
        <f>IFERROR(__xludf.DUMMYFUNCTION("IF(batches!A268="""","""",TEXTJOIN(CHAR(10),TRUE,FILTER(admissions!$G$2:$G$78,admissions!$M$2:$M$78=batches!A268,"""")))"),"")</f>
        <v/>
      </c>
      <c r="B1606" s="101" t="n"/>
      <c r="C1606" s="101" t="n"/>
      <c r="D1606" s="102" t="n"/>
      <c r="G1606" s="105">
        <f>IFERROR(__xludf.DUMMYFUNCTION("IF(batches!A269="""","""",TEXTJOIN(CHAR(10),TRUE,FILTER(admissions!$G$2:$G$78,admissions!$M$2:$M$78=batches!A269,"""")))"),"")</f>
        <v/>
      </c>
      <c r="H1606" s="101" t="n"/>
      <c r="I1606" s="101" t="n"/>
      <c r="J1606" s="102" t="n"/>
    </row>
    <row r="1607" ht="15.75" customHeight="1" s="84"/>
    <row r="1608" ht="15.75" customHeight="1" s="84"/>
    <row r="1609" ht="15.75" customHeight="1" s="84">
      <c r="A1609" s="100">
        <f>IF(batches!A270="","",batches!A270)</f>
        <v/>
      </c>
      <c r="B1609" s="101" t="n"/>
      <c r="C1609" s="101" t="n"/>
      <c r="D1609" s="102" t="n"/>
      <c r="G1609" s="100">
        <f>IF(batches!A271="","",batches!A271)</f>
        <v/>
      </c>
      <c r="H1609" s="101" t="n"/>
      <c r="I1609" s="101" t="n"/>
      <c r="J1609" s="102" t="n"/>
    </row>
    <row r="1610" ht="15.75" customHeight="1" s="84">
      <c r="A1610" s="80" t="inlineStr">
        <is>
          <t>Level / Mode</t>
        </is>
      </c>
      <c r="B1610" s="103">
        <f>IF(A1609="","",batches!B270&amp;" / "&amp;batches!C270)</f>
        <v/>
      </c>
      <c r="C1610" s="101" t="n"/>
      <c r="D1610" s="102" t="n"/>
      <c r="G1610" s="80" t="inlineStr">
        <is>
          <t>Level / Mode</t>
        </is>
      </c>
      <c r="H1610" s="103">
        <f>IF(G1609="","",batches!B271&amp;" / "&amp;batches!C271)</f>
        <v/>
      </c>
      <c r="I1610" s="101" t="n"/>
      <c r="J1610" s="102" t="n"/>
    </row>
    <row r="1611" ht="15.75" customHeight="1" s="84">
      <c r="A1611" s="80" t="inlineStr">
        <is>
          <t>Dates</t>
        </is>
      </c>
      <c r="B1611" s="103">
        <f>IF(A1609="","",TEXT(batches!D270,"yyyy-mm-dd")&amp;" to "&amp;TEXT(batches!E270,"yyyy-mm-dd"))</f>
        <v/>
      </c>
      <c r="C1611" s="101" t="n"/>
      <c r="D1611" s="102" t="n"/>
      <c r="G1611" s="80" t="inlineStr">
        <is>
          <t>Dates</t>
        </is>
      </c>
      <c r="H1611" s="103">
        <f>IF(G1609="","",TEXT(batches!D271,"yyyy-mm-dd")&amp;" to "&amp;TEXT(batches!E271,"yyyy-mm-dd"))</f>
        <v/>
      </c>
      <c r="I1611" s="101" t="n"/>
      <c r="J1611" s="102" t="n"/>
    </row>
    <row r="1612" ht="15.75" customHeight="1" s="84">
      <c r="A1612" s="80" t="inlineStr">
        <is>
          <t>Duration</t>
        </is>
      </c>
      <c r="B1612" s="103">
        <f>IF(OR(batches!D270="",batches!E270=""),"",batches!E270-batches!D270+1&amp;" days")</f>
        <v/>
      </c>
      <c r="C1612" s="101" t="n"/>
      <c r="D1612" s="102" t="n"/>
      <c r="G1612" s="80" t="inlineStr">
        <is>
          <t>Duration</t>
        </is>
      </c>
      <c r="H1612" s="103">
        <f>IF(OR(batches!D271="",batches!E271=""),"",batches!E271-batches!D271+1&amp;" days")</f>
        <v/>
      </c>
      <c r="I1612" s="101" t="n"/>
      <c r="J1612" s="102" t="n"/>
    </row>
    <row r="1613" ht="15.75" customHeight="1" s="84">
      <c r="A1613" s="80" t="inlineStr">
        <is>
          <t>Timing</t>
        </is>
      </c>
      <c r="B1613" s="103">
        <f>IF(A1609="","",batches!F270)</f>
        <v/>
      </c>
      <c r="C1613" s="101" t="n"/>
      <c r="D1613" s="102" t="n"/>
      <c r="G1613" s="80" t="inlineStr">
        <is>
          <t>Timing</t>
        </is>
      </c>
      <c r="H1613" s="103">
        <f>IF(G1609="","",batches!F271)</f>
        <v/>
      </c>
      <c r="I1613" s="101" t="n"/>
      <c r="J1613" s="102" t="n"/>
    </row>
    <row r="1614" ht="15.75" customHeight="1" s="84">
      <c r="A1614" s="80" t="inlineStr">
        <is>
          <t>Capacity</t>
        </is>
      </c>
      <c r="B1614" s="103">
        <f>IF(A1609="","",batches!G270)</f>
        <v/>
      </c>
      <c r="C1614" s="101" t="n"/>
      <c r="D1614" s="102" t="n"/>
      <c r="G1614" s="80" t="inlineStr">
        <is>
          <t>Capacity</t>
        </is>
      </c>
      <c r="H1614" s="103">
        <f>IF(G1609="","",batches!G271)</f>
        <v/>
      </c>
      <c r="I1614" s="101" t="n"/>
      <c r="J1614" s="102" t="n"/>
    </row>
    <row r="1615" ht="15.75" customHeight="1" s="84">
      <c r="A1615" s="80" t="inlineStr">
        <is>
          <t>Enrolled</t>
        </is>
      </c>
      <c r="B1615" s="103">
        <f>IF(A1609="","",COUNTIF(admissions!$M:$M,batches!A270))</f>
        <v/>
      </c>
      <c r="C1615" s="101" t="n"/>
      <c r="D1615" s="102" t="n"/>
      <c r="G1615" s="80" t="inlineStr">
        <is>
          <t>Enrolled</t>
        </is>
      </c>
      <c r="H1615" s="103">
        <f>IF(G1609="","",COUNTIF(admissions!$M:$M,batches!A271))</f>
        <v/>
      </c>
      <c r="I1615" s="101" t="n"/>
      <c r="J1615" s="102" t="n"/>
    </row>
    <row r="1616" ht="15.75" customHeight="1" s="84">
      <c r="A1616" s="80" t="inlineStr">
        <is>
          <t>Available</t>
        </is>
      </c>
      <c r="B1616" s="103">
        <f>IF(OR(batches!A270="",batches!G270=""),"",batches!G270-COUNTIF(admissions!$M:$M,batches!A270))</f>
        <v/>
      </c>
      <c r="C1616" s="101" t="n"/>
      <c r="D1616" s="102" t="n"/>
      <c r="G1616" s="80" t="inlineStr">
        <is>
          <t>Available</t>
        </is>
      </c>
      <c r="H1616" s="103">
        <f>IF(OR(batches!A271="",batches!G271=""),"",batches!G271-COUNTIF(admissions!$M:$M,batches!A271))</f>
        <v/>
      </c>
      <c r="I1616" s="101" t="n"/>
      <c r="J1616" s="102" t="n"/>
    </row>
    <row r="1617" ht="15.75" customHeight="1" s="84">
      <c r="A1617" s="104" t="inlineStr">
        <is>
          <t>Student List</t>
        </is>
      </c>
      <c r="B1617" s="101" t="n"/>
      <c r="C1617" s="101" t="n"/>
      <c r="D1617" s="102" t="n"/>
      <c r="G1617" s="104" t="inlineStr">
        <is>
          <t>Student List</t>
        </is>
      </c>
      <c r="H1617" s="101" t="n"/>
      <c r="I1617" s="101" t="n"/>
      <c r="J1617" s="102" t="n"/>
    </row>
    <row r="1618" ht="15.75" customHeight="1" s="84">
      <c r="A1618" s="105">
        <f>IFERROR(__xludf.DUMMYFUNCTION("IF(batches!A270="""","""",TEXTJOIN(CHAR(10),TRUE,FILTER(admissions!$G$2:$G$78,admissions!$M$2:$M$78=batches!A270,"""")))"),"")</f>
        <v/>
      </c>
      <c r="B1618" s="101" t="n"/>
      <c r="C1618" s="101" t="n"/>
      <c r="D1618" s="102" t="n"/>
      <c r="G1618" s="105">
        <f>IFERROR(__xludf.DUMMYFUNCTION("IF(batches!A271="""","""",TEXTJOIN(CHAR(10),TRUE,FILTER(admissions!$G$2:$G$78,admissions!$M$2:$M$78=batches!A271,"""")))"),"")</f>
        <v/>
      </c>
      <c r="H1618" s="101" t="n"/>
      <c r="I1618" s="101" t="n"/>
      <c r="J1618" s="102" t="n"/>
    </row>
    <row r="1619" ht="15.75" customHeight="1" s="84"/>
    <row r="1620" ht="15.75" customHeight="1" s="84"/>
    <row r="1621" ht="15.75" customHeight="1" s="84">
      <c r="A1621" s="100">
        <f>IF(batches!A272="","",batches!A272)</f>
        <v/>
      </c>
      <c r="B1621" s="101" t="n"/>
      <c r="C1621" s="101" t="n"/>
      <c r="D1621" s="102" t="n"/>
      <c r="G1621" s="100">
        <f>IF(batches!A273="","",batches!A273)</f>
        <v/>
      </c>
      <c r="H1621" s="101" t="n"/>
      <c r="I1621" s="101" t="n"/>
      <c r="J1621" s="102" t="n"/>
    </row>
    <row r="1622" ht="15.75" customHeight="1" s="84">
      <c r="A1622" s="80" t="inlineStr">
        <is>
          <t>Level / Mode</t>
        </is>
      </c>
      <c r="B1622" s="103">
        <f>IF(A1621="","",batches!B272&amp;" / "&amp;batches!C272)</f>
        <v/>
      </c>
      <c r="C1622" s="101" t="n"/>
      <c r="D1622" s="102" t="n"/>
      <c r="G1622" s="80" t="inlineStr">
        <is>
          <t>Level / Mode</t>
        </is>
      </c>
      <c r="H1622" s="103">
        <f>IF(G1621="","",batches!B273&amp;" / "&amp;batches!C273)</f>
        <v/>
      </c>
      <c r="I1622" s="101" t="n"/>
      <c r="J1622" s="102" t="n"/>
    </row>
    <row r="1623" ht="15.75" customHeight="1" s="84">
      <c r="A1623" s="80" t="inlineStr">
        <is>
          <t>Dates</t>
        </is>
      </c>
      <c r="B1623" s="103">
        <f>IF(A1621="","",TEXT(batches!D272,"yyyy-mm-dd")&amp;" to "&amp;TEXT(batches!E272,"yyyy-mm-dd"))</f>
        <v/>
      </c>
      <c r="C1623" s="101" t="n"/>
      <c r="D1623" s="102" t="n"/>
      <c r="G1623" s="80" t="inlineStr">
        <is>
          <t>Dates</t>
        </is>
      </c>
      <c r="H1623" s="103">
        <f>IF(G1621="","",TEXT(batches!D273,"yyyy-mm-dd")&amp;" to "&amp;TEXT(batches!E273,"yyyy-mm-dd"))</f>
        <v/>
      </c>
      <c r="I1623" s="101" t="n"/>
      <c r="J1623" s="102" t="n"/>
    </row>
    <row r="1624" ht="15.75" customHeight="1" s="84">
      <c r="A1624" s="80" t="inlineStr">
        <is>
          <t>Duration</t>
        </is>
      </c>
      <c r="B1624" s="103">
        <f>IF(OR(batches!D272="",batches!E272=""),"",batches!E272-batches!D272+1&amp;" days")</f>
        <v/>
      </c>
      <c r="C1624" s="101" t="n"/>
      <c r="D1624" s="102" t="n"/>
      <c r="G1624" s="80" t="inlineStr">
        <is>
          <t>Duration</t>
        </is>
      </c>
      <c r="H1624" s="103">
        <f>IF(OR(batches!D273="",batches!E273=""),"",batches!E273-batches!D273+1&amp;" days")</f>
        <v/>
      </c>
      <c r="I1624" s="101" t="n"/>
      <c r="J1624" s="102" t="n"/>
    </row>
    <row r="1625" ht="15.75" customHeight="1" s="84">
      <c r="A1625" s="80" t="inlineStr">
        <is>
          <t>Timing</t>
        </is>
      </c>
      <c r="B1625" s="103">
        <f>IF(A1621="","",batches!F272)</f>
        <v/>
      </c>
      <c r="C1625" s="101" t="n"/>
      <c r="D1625" s="102" t="n"/>
      <c r="G1625" s="80" t="inlineStr">
        <is>
          <t>Timing</t>
        </is>
      </c>
      <c r="H1625" s="103">
        <f>IF(G1621="","",batches!F273)</f>
        <v/>
      </c>
      <c r="I1625" s="101" t="n"/>
      <c r="J1625" s="102" t="n"/>
    </row>
    <row r="1626" ht="15.75" customHeight="1" s="84">
      <c r="A1626" s="80" t="inlineStr">
        <is>
          <t>Capacity</t>
        </is>
      </c>
      <c r="B1626" s="103">
        <f>IF(A1621="","",batches!G272)</f>
        <v/>
      </c>
      <c r="C1626" s="101" t="n"/>
      <c r="D1626" s="102" t="n"/>
      <c r="G1626" s="80" t="inlineStr">
        <is>
          <t>Capacity</t>
        </is>
      </c>
      <c r="H1626" s="103">
        <f>IF(G1621="","",batches!G273)</f>
        <v/>
      </c>
      <c r="I1626" s="101" t="n"/>
      <c r="J1626" s="102" t="n"/>
    </row>
    <row r="1627" ht="15.75" customHeight="1" s="84">
      <c r="A1627" s="80" t="inlineStr">
        <is>
          <t>Enrolled</t>
        </is>
      </c>
      <c r="B1627" s="103">
        <f>IF(A1621="","",COUNTIF(admissions!$M:$M,batches!A272))</f>
        <v/>
      </c>
      <c r="C1627" s="101" t="n"/>
      <c r="D1627" s="102" t="n"/>
      <c r="G1627" s="80" t="inlineStr">
        <is>
          <t>Enrolled</t>
        </is>
      </c>
      <c r="H1627" s="103">
        <f>IF(G1621="","",COUNTIF(admissions!$M:$M,batches!A273))</f>
        <v/>
      </c>
      <c r="I1627" s="101" t="n"/>
      <c r="J1627" s="102" t="n"/>
    </row>
    <row r="1628" ht="15.75" customHeight="1" s="84">
      <c r="A1628" s="80" t="inlineStr">
        <is>
          <t>Available</t>
        </is>
      </c>
      <c r="B1628" s="103">
        <f>IF(OR(batches!A272="",batches!G272=""),"",batches!G272-COUNTIF(admissions!$M:$M,batches!A272))</f>
        <v/>
      </c>
      <c r="C1628" s="101" t="n"/>
      <c r="D1628" s="102" t="n"/>
      <c r="G1628" s="80" t="inlineStr">
        <is>
          <t>Available</t>
        </is>
      </c>
      <c r="H1628" s="103">
        <f>IF(OR(batches!A273="",batches!G273=""),"",batches!G273-COUNTIF(admissions!$M:$M,batches!A273))</f>
        <v/>
      </c>
      <c r="I1628" s="101" t="n"/>
      <c r="J1628" s="102" t="n"/>
    </row>
    <row r="1629" ht="15.75" customHeight="1" s="84">
      <c r="A1629" s="104" t="inlineStr">
        <is>
          <t>Student List</t>
        </is>
      </c>
      <c r="B1629" s="101" t="n"/>
      <c r="C1629" s="101" t="n"/>
      <c r="D1629" s="102" t="n"/>
      <c r="G1629" s="104" t="inlineStr">
        <is>
          <t>Student List</t>
        </is>
      </c>
      <c r="H1629" s="101" t="n"/>
      <c r="I1629" s="101" t="n"/>
      <c r="J1629" s="102" t="n"/>
    </row>
    <row r="1630" ht="15.75" customHeight="1" s="84">
      <c r="A1630" s="105">
        <f>IFERROR(__xludf.DUMMYFUNCTION("IF(batches!A272="""","""",TEXTJOIN(CHAR(10),TRUE,FILTER(admissions!$G$2:$G$78,admissions!$M$2:$M$78=batches!A272,"""")))"),"")</f>
        <v/>
      </c>
      <c r="B1630" s="101" t="n"/>
      <c r="C1630" s="101" t="n"/>
      <c r="D1630" s="102" t="n"/>
      <c r="G1630" s="105">
        <f>IFERROR(__xludf.DUMMYFUNCTION("IF(batches!A273="""","""",TEXTJOIN(CHAR(10),TRUE,FILTER(admissions!$G$2:$G$78,admissions!$M$2:$M$78=batches!A273,"""")))"),"")</f>
        <v/>
      </c>
      <c r="H1630" s="101" t="n"/>
      <c r="I1630" s="101" t="n"/>
      <c r="J1630" s="102" t="n"/>
    </row>
    <row r="1631" ht="15.75" customHeight="1" s="84"/>
    <row r="1632" ht="15.75" customHeight="1" s="84"/>
    <row r="1633" ht="15.75" customHeight="1" s="84">
      <c r="A1633" s="100">
        <f>IF(batches!A274="","",batches!A274)</f>
        <v/>
      </c>
      <c r="B1633" s="101" t="n"/>
      <c r="C1633" s="101" t="n"/>
      <c r="D1633" s="102" t="n"/>
      <c r="G1633" s="100">
        <f>IF(batches!A275="","",batches!A275)</f>
        <v/>
      </c>
      <c r="H1633" s="101" t="n"/>
      <c r="I1633" s="101" t="n"/>
      <c r="J1633" s="102" t="n"/>
    </row>
    <row r="1634" ht="15.75" customHeight="1" s="84">
      <c r="A1634" s="80" t="inlineStr">
        <is>
          <t>Level / Mode</t>
        </is>
      </c>
      <c r="B1634" s="103">
        <f>IF(A1633="","",batches!B274&amp;" / "&amp;batches!C274)</f>
        <v/>
      </c>
      <c r="C1634" s="101" t="n"/>
      <c r="D1634" s="102" t="n"/>
      <c r="G1634" s="80" t="inlineStr">
        <is>
          <t>Level / Mode</t>
        </is>
      </c>
      <c r="H1634" s="103">
        <f>IF(G1633="","",batches!B275&amp;" / "&amp;batches!C275)</f>
        <v/>
      </c>
      <c r="I1634" s="101" t="n"/>
      <c r="J1634" s="102" t="n"/>
    </row>
    <row r="1635" ht="15.75" customHeight="1" s="84">
      <c r="A1635" s="80" t="inlineStr">
        <is>
          <t>Dates</t>
        </is>
      </c>
      <c r="B1635" s="103">
        <f>IF(A1633="","",TEXT(batches!D274,"yyyy-mm-dd")&amp;" to "&amp;TEXT(batches!E274,"yyyy-mm-dd"))</f>
        <v/>
      </c>
      <c r="C1635" s="101" t="n"/>
      <c r="D1635" s="102" t="n"/>
      <c r="G1635" s="80" t="inlineStr">
        <is>
          <t>Dates</t>
        </is>
      </c>
      <c r="H1635" s="103">
        <f>IF(G1633="","",TEXT(batches!D275,"yyyy-mm-dd")&amp;" to "&amp;TEXT(batches!E275,"yyyy-mm-dd"))</f>
        <v/>
      </c>
      <c r="I1635" s="101" t="n"/>
      <c r="J1635" s="102" t="n"/>
    </row>
    <row r="1636" ht="15.75" customHeight="1" s="84">
      <c r="A1636" s="80" t="inlineStr">
        <is>
          <t>Duration</t>
        </is>
      </c>
      <c r="B1636" s="103">
        <f>IF(OR(batches!D274="",batches!E274=""),"",batches!E274-batches!D274+1&amp;" days")</f>
        <v/>
      </c>
      <c r="C1636" s="101" t="n"/>
      <c r="D1636" s="102" t="n"/>
      <c r="G1636" s="80" t="inlineStr">
        <is>
          <t>Duration</t>
        </is>
      </c>
      <c r="H1636" s="103">
        <f>IF(OR(batches!D275="",batches!E275=""),"",batches!E275-batches!D275+1&amp;" days")</f>
        <v/>
      </c>
      <c r="I1636" s="101" t="n"/>
      <c r="J1636" s="102" t="n"/>
    </row>
    <row r="1637" ht="15.75" customHeight="1" s="84">
      <c r="A1637" s="80" t="inlineStr">
        <is>
          <t>Timing</t>
        </is>
      </c>
      <c r="B1637" s="103">
        <f>IF(A1633="","",batches!F274)</f>
        <v/>
      </c>
      <c r="C1637" s="101" t="n"/>
      <c r="D1637" s="102" t="n"/>
      <c r="G1637" s="80" t="inlineStr">
        <is>
          <t>Timing</t>
        </is>
      </c>
      <c r="H1637" s="103">
        <f>IF(G1633="","",batches!F275)</f>
        <v/>
      </c>
      <c r="I1637" s="101" t="n"/>
      <c r="J1637" s="102" t="n"/>
    </row>
    <row r="1638" ht="15.75" customHeight="1" s="84">
      <c r="A1638" s="80" t="inlineStr">
        <is>
          <t>Capacity</t>
        </is>
      </c>
      <c r="B1638" s="103">
        <f>IF(A1633="","",batches!G274)</f>
        <v/>
      </c>
      <c r="C1638" s="101" t="n"/>
      <c r="D1638" s="102" t="n"/>
      <c r="G1638" s="80" t="inlineStr">
        <is>
          <t>Capacity</t>
        </is>
      </c>
      <c r="H1638" s="103">
        <f>IF(G1633="","",batches!G275)</f>
        <v/>
      </c>
      <c r="I1638" s="101" t="n"/>
      <c r="J1638" s="102" t="n"/>
    </row>
    <row r="1639" ht="15.75" customHeight="1" s="84">
      <c r="A1639" s="80" t="inlineStr">
        <is>
          <t>Enrolled</t>
        </is>
      </c>
      <c r="B1639" s="103">
        <f>IF(A1633="","",COUNTIF(admissions!$M:$M,batches!A274))</f>
        <v/>
      </c>
      <c r="C1639" s="101" t="n"/>
      <c r="D1639" s="102" t="n"/>
      <c r="G1639" s="80" t="inlineStr">
        <is>
          <t>Enrolled</t>
        </is>
      </c>
      <c r="H1639" s="103">
        <f>IF(G1633="","",COUNTIF(admissions!$M:$M,batches!A275))</f>
        <v/>
      </c>
      <c r="I1639" s="101" t="n"/>
      <c r="J1639" s="102" t="n"/>
    </row>
    <row r="1640" ht="15.75" customHeight="1" s="84">
      <c r="A1640" s="80" t="inlineStr">
        <is>
          <t>Available</t>
        </is>
      </c>
      <c r="B1640" s="103">
        <f>IF(OR(batches!A274="",batches!G274=""),"",batches!G274-COUNTIF(admissions!$M:$M,batches!A274))</f>
        <v/>
      </c>
      <c r="C1640" s="101" t="n"/>
      <c r="D1640" s="102" t="n"/>
      <c r="G1640" s="80" t="inlineStr">
        <is>
          <t>Available</t>
        </is>
      </c>
      <c r="H1640" s="103">
        <f>IF(OR(batches!A275="",batches!G275=""),"",batches!G275-COUNTIF(admissions!$M:$M,batches!A275))</f>
        <v/>
      </c>
      <c r="I1640" s="101" t="n"/>
      <c r="J1640" s="102" t="n"/>
    </row>
    <row r="1641" ht="15.75" customHeight="1" s="84">
      <c r="A1641" s="104" t="inlineStr">
        <is>
          <t>Student List</t>
        </is>
      </c>
      <c r="B1641" s="101" t="n"/>
      <c r="C1641" s="101" t="n"/>
      <c r="D1641" s="102" t="n"/>
      <c r="G1641" s="104" t="inlineStr">
        <is>
          <t>Student List</t>
        </is>
      </c>
      <c r="H1641" s="101" t="n"/>
      <c r="I1641" s="101" t="n"/>
      <c r="J1641" s="102" t="n"/>
    </row>
    <row r="1642" ht="15.75" customHeight="1" s="84">
      <c r="A1642" s="105">
        <f>IFERROR(__xludf.DUMMYFUNCTION("IF(batches!A274="""","""",TEXTJOIN(CHAR(10),TRUE,FILTER(admissions!$G$2:$G$78,admissions!$M$2:$M$78=batches!A274,"""")))"),"")</f>
        <v/>
      </c>
      <c r="B1642" s="101" t="n"/>
      <c r="C1642" s="101" t="n"/>
      <c r="D1642" s="102" t="n"/>
      <c r="G1642" s="105">
        <f>IFERROR(__xludf.DUMMYFUNCTION("IF(batches!A275="""","""",TEXTJOIN(CHAR(10),TRUE,FILTER(admissions!$G$2:$G$78,admissions!$M$2:$M$78=batches!A275,"""")))"),"")</f>
        <v/>
      </c>
      <c r="H1642" s="101" t="n"/>
      <c r="I1642" s="101" t="n"/>
      <c r="J1642" s="102" t="n"/>
    </row>
    <row r="1643" ht="15.75" customHeight="1" s="84"/>
    <row r="1644" ht="15.75" customHeight="1" s="84"/>
    <row r="1645" ht="15.75" customHeight="1" s="84">
      <c r="A1645" s="100">
        <f>IF(batches!A276="","",batches!A276)</f>
        <v/>
      </c>
      <c r="B1645" s="101" t="n"/>
      <c r="C1645" s="101" t="n"/>
      <c r="D1645" s="102" t="n"/>
      <c r="G1645" s="100">
        <f>IF(batches!A277="","",batches!A277)</f>
        <v/>
      </c>
      <c r="H1645" s="101" t="n"/>
      <c r="I1645" s="101" t="n"/>
      <c r="J1645" s="102" t="n"/>
    </row>
    <row r="1646" ht="15.75" customHeight="1" s="84">
      <c r="A1646" s="80" t="inlineStr">
        <is>
          <t>Level / Mode</t>
        </is>
      </c>
      <c r="B1646" s="103">
        <f>IF(A1645="","",batches!B276&amp;" / "&amp;batches!C276)</f>
        <v/>
      </c>
      <c r="C1646" s="101" t="n"/>
      <c r="D1646" s="102" t="n"/>
      <c r="G1646" s="80" t="inlineStr">
        <is>
          <t>Level / Mode</t>
        </is>
      </c>
      <c r="H1646" s="103">
        <f>IF(G1645="","",batches!B277&amp;" / "&amp;batches!C277)</f>
        <v/>
      </c>
      <c r="I1646" s="101" t="n"/>
      <c r="J1646" s="102" t="n"/>
    </row>
    <row r="1647" ht="15.75" customHeight="1" s="84">
      <c r="A1647" s="80" t="inlineStr">
        <is>
          <t>Dates</t>
        </is>
      </c>
      <c r="B1647" s="103">
        <f>IF(A1645="","",TEXT(batches!D276,"yyyy-mm-dd")&amp;" to "&amp;TEXT(batches!E276,"yyyy-mm-dd"))</f>
        <v/>
      </c>
      <c r="C1647" s="101" t="n"/>
      <c r="D1647" s="102" t="n"/>
      <c r="G1647" s="80" t="inlineStr">
        <is>
          <t>Dates</t>
        </is>
      </c>
      <c r="H1647" s="103">
        <f>IF(G1645="","",TEXT(batches!D277,"yyyy-mm-dd")&amp;" to "&amp;TEXT(batches!E277,"yyyy-mm-dd"))</f>
        <v/>
      </c>
      <c r="I1647" s="101" t="n"/>
      <c r="J1647" s="102" t="n"/>
    </row>
    <row r="1648" ht="15.75" customHeight="1" s="84">
      <c r="A1648" s="80" t="inlineStr">
        <is>
          <t>Duration</t>
        </is>
      </c>
      <c r="B1648" s="103">
        <f>IF(OR(batches!D276="",batches!E276=""),"",batches!E276-batches!D276+1&amp;" days")</f>
        <v/>
      </c>
      <c r="C1648" s="101" t="n"/>
      <c r="D1648" s="102" t="n"/>
      <c r="G1648" s="80" t="inlineStr">
        <is>
          <t>Duration</t>
        </is>
      </c>
      <c r="H1648" s="103">
        <f>IF(OR(batches!D277="",batches!E277=""),"",batches!E277-batches!D277+1&amp;" days")</f>
        <v/>
      </c>
      <c r="I1648" s="101" t="n"/>
      <c r="J1648" s="102" t="n"/>
    </row>
    <row r="1649" ht="15.75" customHeight="1" s="84">
      <c r="A1649" s="80" t="inlineStr">
        <is>
          <t>Timing</t>
        </is>
      </c>
      <c r="B1649" s="103">
        <f>IF(A1645="","",batches!F276)</f>
        <v/>
      </c>
      <c r="C1649" s="101" t="n"/>
      <c r="D1649" s="102" t="n"/>
      <c r="G1649" s="80" t="inlineStr">
        <is>
          <t>Timing</t>
        </is>
      </c>
      <c r="H1649" s="103">
        <f>IF(G1645="","",batches!F277)</f>
        <v/>
      </c>
      <c r="I1649" s="101" t="n"/>
      <c r="J1649" s="102" t="n"/>
    </row>
    <row r="1650" ht="15.75" customHeight="1" s="84">
      <c r="A1650" s="80" t="inlineStr">
        <is>
          <t>Capacity</t>
        </is>
      </c>
      <c r="B1650" s="103">
        <f>IF(A1645="","",batches!G276)</f>
        <v/>
      </c>
      <c r="C1650" s="101" t="n"/>
      <c r="D1650" s="102" t="n"/>
      <c r="G1650" s="80" t="inlineStr">
        <is>
          <t>Capacity</t>
        </is>
      </c>
      <c r="H1650" s="103">
        <f>IF(G1645="","",batches!G277)</f>
        <v/>
      </c>
      <c r="I1650" s="101" t="n"/>
      <c r="J1650" s="102" t="n"/>
    </row>
    <row r="1651" ht="15.75" customHeight="1" s="84">
      <c r="A1651" s="80" t="inlineStr">
        <is>
          <t>Enrolled</t>
        </is>
      </c>
      <c r="B1651" s="103">
        <f>IF(A1645="","",COUNTIF(admissions!$M:$M,batches!A276))</f>
        <v/>
      </c>
      <c r="C1651" s="101" t="n"/>
      <c r="D1651" s="102" t="n"/>
      <c r="G1651" s="80" t="inlineStr">
        <is>
          <t>Enrolled</t>
        </is>
      </c>
      <c r="H1651" s="103">
        <f>IF(G1645="","",COUNTIF(admissions!$M:$M,batches!A277))</f>
        <v/>
      </c>
      <c r="I1651" s="101" t="n"/>
      <c r="J1651" s="102" t="n"/>
    </row>
    <row r="1652" ht="15.75" customHeight="1" s="84">
      <c r="A1652" s="80" t="inlineStr">
        <is>
          <t>Available</t>
        </is>
      </c>
      <c r="B1652" s="103">
        <f>IF(OR(batches!A276="",batches!G276=""),"",batches!G276-COUNTIF(admissions!$M:$M,batches!A276))</f>
        <v/>
      </c>
      <c r="C1652" s="101" t="n"/>
      <c r="D1652" s="102" t="n"/>
      <c r="G1652" s="80" t="inlineStr">
        <is>
          <t>Available</t>
        </is>
      </c>
      <c r="H1652" s="103">
        <f>IF(OR(batches!A277="",batches!G277=""),"",batches!G277-COUNTIF(admissions!$M:$M,batches!A277))</f>
        <v/>
      </c>
      <c r="I1652" s="101" t="n"/>
      <c r="J1652" s="102" t="n"/>
    </row>
    <row r="1653" ht="15.75" customHeight="1" s="84">
      <c r="A1653" s="104" t="inlineStr">
        <is>
          <t>Student List</t>
        </is>
      </c>
      <c r="B1653" s="101" t="n"/>
      <c r="C1653" s="101" t="n"/>
      <c r="D1653" s="102" t="n"/>
      <c r="G1653" s="104" t="inlineStr">
        <is>
          <t>Student List</t>
        </is>
      </c>
      <c r="H1653" s="101" t="n"/>
      <c r="I1653" s="101" t="n"/>
      <c r="J1653" s="102" t="n"/>
    </row>
    <row r="1654" ht="15.75" customHeight="1" s="84">
      <c r="A1654" s="105">
        <f>IFERROR(__xludf.DUMMYFUNCTION("IF(batches!A276="""","""",TEXTJOIN(CHAR(10),TRUE,FILTER(admissions!$G$2:$G$78,admissions!$M$2:$M$78=batches!A276,"""")))"),"")</f>
        <v/>
      </c>
      <c r="B1654" s="101" t="n"/>
      <c r="C1654" s="101" t="n"/>
      <c r="D1654" s="102" t="n"/>
      <c r="G1654" s="105">
        <f>IFERROR(__xludf.DUMMYFUNCTION("IF(batches!A277="""","""",TEXTJOIN(CHAR(10),TRUE,FILTER(admissions!$G$2:$G$78,admissions!$M$2:$M$78=batches!A277,"""")))"),"")</f>
        <v/>
      </c>
      <c r="H1654" s="101" t="n"/>
      <c r="I1654" s="101" t="n"/>
      <c r="J1654" s="102" t="n"/>
    </row>
    <row r="1655" ht="15.75" customHeight="1" s="84"/>
    <row r="1656" ht="15.75" customHeight="1" s="84"/>
    <row r="1657" ht="15.75" customHeight="1" s="84">
      <c r="A1657" s="100">
        <f>IF(batches!A278="","",batches!A278)</f>
        <v/>
      </c>
      <c r="B1657" s="101" t="n"/>
      <c r="C1657" s="101" t="n"/>
      <c r="D1657" s="102" t="n"/>
      <c r="G1657" s="100">
        <f>IF(batches!A279="","",batches!A279)</f>
        <v/>
      </c>
      <c r="H1657" s="101" t="n"/>
      <c r="I1657" s="101" t="n"/>
      <c r="J1657" s="102" t="n"/>
    </row>
    <row r="1658" ht="15.75" customHeight="1" s="84">
      <c r="A1658" s="80" t="inlineStr">
        <is>
          <t>Level / Mode</t>
        </is>
      </c>
      <c r="B1658" s="103">
        <f>IF(A1657="","",batches!B278&amp;" / "&amp;batches!C278)</f>
        <v/>
      </c>
      <c r="C1658" s="101" t="n"/>
      <c r="D1658" s="102" t="n"/>
      <c r="G1658" s="80" t="inlineStr">
        <is>
          <t>Level / Mode</t>
        </is>
      </c>
      <c r="H1658" s="103">
        <f>IF(G1657="","",batches!B279&amp;" / "&amp;batches!C279)</f>
        <v/>
      </c>
      <c r="I1658" s="101" t="n"/>
      <c r="J1658" s="102" t="n"/>
    </row>
    <row r="1659" ht="15.75" customHeight="1" s="84">
      <c r="A1659" s="80" t="inlineStr">
        <is>
          <t>Dates</t>
        </is>
      </c>
      <c r="B1659" s="103">
        <f>IF(A1657="","",TEXT(batches!D278,"yyyy-mm-dd")&amp;" to "&amp;TEXT(batches!E278,"yyyy-mm-dd"))</f>
        <v/>
      </c>
      <c r="C1659" s="101" t="n"/>
      <c r="D1659" s="102" t="n"/>
      <c r="G1659" s="80" t="inlineStr">
        <is>
          <t>Dates</t>
        </is>
      </c>
      <c r="H1659" s="103">
        <f>IF(G1657="","",TEXT(batches!D279,"yyyy-mm-dd")&amp;" to "&amp;TEXT(batches!E279,"yyyy-mm-dd"))</f>
        <v/>
      </c>
      <c r="I1659" s="101" t="n"/>
      <c r="J1659" s="102" t="n"/>
    </row>
    <row r="1660" ht="15.75" customHeight="1" s="84">
      <c r="A1660" s="80" t="inlineStr">
        <is>
          <t>Duration</t>
        </is>
      </c>
      <c r="B1660" s="103">
        <f>IF(OR(batches!D278="",batches!E278=""),"",batches!E278-batches!D278+1&amp;" days")</f>
        <v/>
      </c>
      <c r="C1660" s="101" t="n"/>
      <c r="D1660" s="102" t="n"/>
      <c r="G1660" s="80" t="inlineStr">
        <is>
          <t>Duration</t>
        </is>
      </c>
      <c r="H1660" s="103">
        <f>IF(OR(batches!D279="",batches!E279=""),"",batches!E279-batches!D279+1&amp;" days")</f>
        <v/>
      </c>
      <c r="I1660" s="101" t="n"/>
      <c r="J1660" s="102" t="n"/>
    </row>
    <row r="1661" ht="15.75" customHeight="1" s="84">
      <c r="A1661" s="80" t="inlineStr">
        <is>
          <t>Timing</t>
        </is>
      </c>
      <c r="B1661" s="103">
        <f>IF(A1657="","",batches!F278)</f>
        <v/>
      </c>
      <c r="C1661" s="101" t="n"/>
      <c r="D1661" s="102" t="n"/>
      <c r="G1661" s="80" t="inlineStr">
        <is>
          <t>Timing</t>
        </is>
      </c>
      <c r="H1661" s="103">
        <f>IF(G1657="","",batches!F279)</f>
        <v/>
      </c>
      <c r="I1661" s="101" t="n"/>
      <c r="J1661" s="102" t="n"/>
    </row>
    <row r="1662" ht="15.75" customHeight="1" s="84">
      <c r="A1662" s="80" t="inlineStr">
        <is>
          <t>Capacity</t>
        </is>
      </c>
      <c r="B1662" s="103">
        <f>IF(A1657="","",batches!G278)</f>
        <v/>
      </c>
      <c r="C1662" s="101" t="n"/>
      <c r="D1662" s="102" t="n"/>
      <c r="G1662" s="80" t="inlineStr">
        <is>
          <t>Capacity</t>
        </is>
      </c>
      <c r="H1662" s="103">
        <f>IF(G1657="","",batches!G279)</f>
        <v/>
      </c>
      <c r="I1662" s="101" t="n"/>
      <c r="J1662" s="102" t="n"/>
    </row>
    <row r="1663" ht="15.75" customHeight="1" s="84">
      <c r="A1663" s="80" t="inlineStr">
        <is>
          <t>Enrolled</t>
        </is>
      </c>
      <c r="B1663" s="103">
        <f>IF(A1657="","",COUNTIF(admissions!$M:$M,batches!A278))</f>
        <v/>
      </c>
      <c r="C1663" s="101" t="n"/>
      <c r="D1663" s="102" t="n"/>
      <c r="G1663" s="80" t="inlineStr">
        <is>
          <t>Enrolled</t>
        </is>
      </c>
      <c r="H1663" s="103">
        <f>IF(G1657="","",COUNTIF(admissions!$M:$M,batches!A279))</f>
        <v/>
      </c>
      <c r="I1663" s="101" t="n"/>
      <c r="J1663" s="102" t="n"/>
    </row>
    <row r="1664" ht="15.75" customHeight="1" s="84">
      <c r="A1664" s="80" t="inlineStr">
        <is>
          <t>Available</t>
        </is>
      </c>
      <c r="B1664" s="103">
        <f>IF(OR(batches!A278="",batches!G278=""),"",batches!G278-COUNTIF(admissions!$M:$M,batches!A278))</f>
        <v/>
      </c>
      <c r="C1664" s="101" t="n"/>
      <c r="D1664" s="102" t="n"/>
      <c r="G1664" s="80" t="inlineStr">
        <is>
          <t>Available</t>
        </is>
      </c>
      <c r="H1664" s="103">
        <f>IF(OR(batches!A279="",batches!G279=""),"",batches!G279-COUNTIF(admissions!$M:$M,batches!A279))</f>
        <v/>
      </c>
      <c r="I1664" s="101" t="n"/>
      <c r="J1664" s="102" t="n"/>
    </row>
    <row r="1665" ht="15.75" customHeight="1" s="84">
      <c r="A1665" s="104" t="inlineStr">
        <is>
          <t>Student List</t>
        </is>
      </c>
      <c r="B1665" s="101" t="n"/>
      <c r="C1665" s="101" t="n"/>
      <c r="D1665" s="102" t="n"/>
      <c r="G1665" s="104" t="inlineStr">
        <is>
          <t>Student List</t>
        </is>
      </c>
      <c r="H1665" s="101" t="n"/>
      <c r="I1665" s="101" t="n"/>
      <c r="J1665" s="102" t="n"/>
    </row>
    <row r="1666" ht="15.75" customHeight="1" s="84">
      <c r="A1666" s="105">
        <f>IFERROR(__xludf.DUMMYFUNCTION("IF(batches!A278="""","""",TEXTJOIN(CHAR(10),TRUE,FILTER(admissions!$G$2:$G$78,admissions!$M$2:$M$78=batches!A278,"""")))"),"")</f>
        <v/>
      </c>
      <c r="B1666" s="101" t="n"/>
      <c r="C1666" s="101" t="n"/>
      <c r="D1666" s="102" t="n"/>
      <c r="G1666" s="105">
        <f>IFERROR(__xludf.DUMMYFUNCTION("IF(batches!A279="""","""",TEXTJOIN(CHAR(10),TRUE,FILTER(admissions!$G$2:$G$78,admissions!$M$2:$M$78=batches!A279,"""")))"),"")</f>
        <v/>
      </c>
      <c r="H1666" s="101" t="n"/>
      <c r="I1666" s="101" t="n"/>
      <c r="J1666" s="102" t="n"/>
    </row>
    <row r="1667" ht="15.75" customHeight="1" s="84"/>
    <row r="1668" ht="15.75" customHeight="1" s="84"/>
    <row r="1669" ht="15.75" customHeight="1" s="84">
      <c r="A1669" s="100">
        <f>IF(batches!A280="","",batches!A280)</f>
        <v/>
      </c>
      <c r="B1669" s="101" t="n"/>
      <c r="C1669" s="101" t="n"/>
      <c r="D1669" s="102" t="n"/>
      <c r="G1669" s="100">
        <f>IF(batches!A281="","",batches!A281)</f>
        <v/>
      </c>
      <c r="H1669" s="101" t="n"/>
      <c r="I1669" s="101" t="n"/>
      <c r="J1669" s="102" t="n"/>
    </row>
    <row r="1670" ht="15.75" customHeight="1" s="84">
      <c r="A1670" s="80" t="inlineStr">
        <is>
          <t>Level / Mode</t>
        </is>
      </c>
      <c r="B1670" s="103">
        <f>IF(A1669="","",batches!B280&amp;" / "&amp;batches!C280)</f>
        <v/>
      </c>
      <c r="C1670" s="101" t="n"/>
      <c r="D1670" s="102" t="n"/>
      <c r="G1670" s="80" t="inlineStr">
        <is>
          <t>Level / Mode</t>
        </is>
      </c>
      <c r="H1670" s="103">
        <f>IF(G1669="","",batches!B281&amp;" / "&amp;batches!C281)</f>
        <v/>
      </c>
      <c r="I1670" s="101" t="n"/>
      <c r="J1670" s="102" t="n"/>
    </row>
    <row r="1671" ht="15.75" customHeight="1" s="84">
      <c r="A1671" s="80" t="inlineStr">
        <is>
          <t>Dates</t>
        </is>
      </c>
      <c r="B1671" s="103">
        <f>IF(A1669="","",TEXT(batches!D280,"yyyy-mm-dd")&amp;" to "&amp;TEXT(batches!E280,"yyyy-mm-dd"))</f>
        <v/>
      </c>
      <c r="C1671" s="101" t="n"/>
      <c r="D1671" s="102" t="n"/>
      <c r="G1671" s="80" t="inlineStr">
        <is>
          <t>Dates</t>
        </is>
      </c>
      <c r="H1671" s="103">
        <f>IF(G1669="","",TEXT(batches!D281,"yyyy-mm-dd")&amp;" to "&amp;TEXT(batches!E281,"yyyy-mm-dd"))</f>
        <v/>
      </c>
      <c r="I1671" s="101" t="n"/>
      <c r="J1671" s="102" t="n"/>
    </row>
    <row r="1672" ht="15.75" customHeight="1" s="84">
      <c r="A1672" s="80" t="inlineStr">
        <is>
          <t>Duration</t>
        </is>
      </c>
      <c r="B1672" s="103">
        <f>IF(OR(batches!D280="",batches!E280=""),"",batches!E280-batches!D280+1&amp;" days")</f>
        <v/>
      </c>
      <c r="C1672" s="101" t="n"/>
      <c r="D1672" s="102" t="n"/>
      <c r="G1672" s="80" t="inlineStr">
        <is>
          <t>Duration</t>
        </is>
      </c>
      <c r="H1672" s="103">
        <f>IF(OR(batches!D281="",batches!E281=""),"",batches!E281-batches!D281+1&amp;" days")</f>
        <v/>
      </c>
      <c r="I1672" s="101" t="n"/>
      <c r="J1672" s="102" t="n"/>
    </row>
    <row r="1673" ht="15.75" customHeight="1" s="84">
      <c r="A1673" s="80" t="inlineStr">
        <is>
          <t>Timing</t>
        </is>
      </c>
      <c r="B1673" s="103">
        <f>IF(A1669="","",batches!F280)</f>
        <v/>
      </c>
      <c r="C1673" s="101" t="n"/>
      <c r="D1673" s="102" t="n"/>
      <c r="G1673" s="80" t="inlineStr">
        <is>
          <t>Timing</t>
        </is>
      </c>
      <c r="H1673" s="103">
        <f>IF(G1669="","",batches!F281)</f>
        <v/>
      </c>
      <c r="I1673" s="101" t="n"/>
      <c r="J1673" s="102" t="n"/>
    </row>
    <row r="1674" ht="15.75" customHeight="1" s="84">
      <c r="A1674" s="80" t="inlineStr">
        <is>
          <t>Capacity</t>
        </is>
      </c>
      <c r="B1674" s="103">
        <f>IF(A1669="","",batches!G280)</f>
        <v/>
      </c>
      <c r="C1674" s="101" t="n"/>
      <c r="D1674" s="102" t="n"/>
      <c r="G1674" s="80" t="inlineStr">
        <is>
          <t>Capacity</t>
        </is>
      </c>
      <c r="H1674" s="103">
        <f>IF(G1669="","",batches!G281)</f>
        <v/>
      </c>
      <c r="I1674" s="101" t="n"/>
      <c r="J1674" s="102" t="n"/>
    </row>
    <row r="1675" ht="15.75" customHeight="1" s="84">
      <c r="A1675" s="80" t="inlineStr">
        <is>
          <t>Enrolled</t>
        </is>
      </c>
      <c r="B1675" s="103">
        <f>IF(A1669="","",COUNTIF(admissions!$M:$M,batches!A280))</f>
        <v/>
      </c>
      <c r="C1675" s="101" t="n"/>
      <c r="D1675" s="102" t="n"/>
      <c r="G1675" s="80" t="inlineStr">
        <is>
          <t>Enrolled</t>
        </is>
      </c>
      <c r="H1675" s="103">
        <f>IF(G1669="","",COUNTIF(admissions!$M:$M,batches!A281))</f>
        <v/>
      </c>
      <c r="I1675" s="101" t="n"/>
      <c r="J1675" s="102" t="n"/>
    </row>
    <row r="1676" ht="15.75" customHeight="1" s="84">
      <c r="A1676" s="80" t="inlineStr">
        <is>
          <t>Available</t>
        </is>
      </c>
      <c r="B1676" s="103">
        <f>IF(OR(batches!A280="",batches!G280=""),"",batches!G280-COUNTIF(admissions!$M:$M,batches!A280))</f>
        <v/>
      </c>
      <c r="C1676" s="101" t="n"/>
      <c r="D1676" s="102" t="n"/>
      <c r="G1676" s="80" t="inlineStr">
        <is>
          <t>Available</t>
        </is>
      </c>
      <c r="H1676" s="103">
        <f>IF(OR(batches!A281="",batches!G281=""),"",batches!G281-COUNTIF(admissions!$M:$M,batches!A281))</f>
        <v/>
      </c>
      <c r="I1676" s="101" t="n"/>
      <c r="J1676" s="102" t="n"/>
    </row>
    <row r="1677" ht="15.75" customHeight="1" s="84">
      <c r="A1677" s="104" t="inlineStr">
        <is>
          <t>Student List</t>
        </is>
      </c>
      <c r="B1677" s="101" t="n"/>
      <c r="C1677" s="101" t="n"/>
      <c r="D1677" s="102" t="n"/>
      <c r="G1677" s="104" t="inlineStr">
        <is>
          <t>Student List</t>
        </is>
      </c>
      <c r="H1677" s="101" t="n"/>
      <c r="I1677" s="101" t="n"/>
      <c r="J1677" s="102" t="n"/>
    </row>
    <row r="1678" ht="15.75" customHeight="1" s="84">
      <c r="A1678" s="105">
        <f>IFERROR(__xludf.DUMMYFUNCTION("IF(batches!A280="""","""",TEXTJOIN(CHAR(10),TRUE,FILTER(admissions!$G$2:$G$78,admissions!$M$2:$M$78=batches!A280,"""")))"),"")</f>
        <v/>
      </c>
      <c r="B1678" s="101" t="n"/>
      <c r="C1678" s="101" t="n"/>
      <c r="D1678" s="102" t="n"/>
      <c r="G1678" s="105">
        <f>IFERROR(__xludf.DUMMYFUNCTION("IF(batches!A281="""","""",TEXTJOIN(CHAR(10),TRUE,FILTER(admissions!$G$2:$G$78,admissions!$M$2:$M$78=batches!A281,"""")))"),"")</f>
        <v/>
      </c>
      <c r="H1678" s="101" t="n"/>
      <c r="I1678" s="101" t="n"/>
      <c r="J1678" s="102" t="n"/>
    </row>
    <row r="1679" ht="15.75" customHeight="1" s="84"/>
    <row r="1680" ht="15.75" customHeight="1" s="84"/>
    <row r="1681" ht="15.75" customHeight="1" s="84">
      <c r="A1681" s="100">
        <f>IF(batches!A282="","",batches!A282)</f>
        <v/>
      </c>
      <c r="B1681" s="101" t="n"/>
      <c r="C1681" s="101" t="n"/>
      <c r="D1681" s="102" t="n"/>
      <c r="G1681" s="100">
        <f>IF(batches!A283="","",batches!A283)</f>
        <v/>
      </c>
      <c r="H1681" s="101" t="n"/>
      <c r="I1681" s="101" t="n"/>
      <c r="J1681" s="102" t="n"/>
    </row>
    <row r="1682" ht="15.75" customHeight="1" s="84">
      <c r="A1682" s="80" t="inlineStr">
        <is>
          <t>Level / Mode</t>
        </is>
      </c>
      <c r="B1682" s="103">
        <f>IF(A1681="","",batches!B282&amp;" / "&amp;batches!C282)</f>
        <v/>
      </c>
      <c r="C1682" s="101" t="n"/>
      <c r="D1682" s="102" t="n"/>
      <c r="G1682" s="80" t="inlineStr">
        <is>
          <t>Level / Mode</t>
        </is>
      </c>
      <c r="H1682" s="103">
        <f>IF(G1681="","",batches!B283&amp;" / "&amp;batches!C283)</f>
        <v/>
      </c>
      <c r="I1682" s="101" t="n"/>
      <c r="J1682" s="102" t="n"/>
    </row>
    <row r="1683" ht="15.75" customHeight="1" s="84">
      <c r="A1683" s="80" t="inlineStr">
        <is>
          <t>Dates</t>
        </is>
      </c>
      <c r="B1683" s="103">
        <f>IF(A1681="","",TEXT(batches!D282,"yyyy-mm-dd")&amp;" to "&amp;TEXT(batches!E282,"yyyy-mm-dd"))</f>
        <v/>
      </c>
      <c r="C1683" s="101" t="n"/>
      <c r="D1683" s="102" t="n"/>
      <c r="G1683" s="80" t="inlineStr">
        <is>
          <t>Dates</t>
        </is>
      </c>
      <c r="H1683" s="103">
        <f>IF(G1681="","",TEXT(batches!D283,"yyyy-mm-dd")&amp;" to "&amp;TEXT(batches!E283,"yyyy-mm-dd"))</f>
        <v/>
      </c>
      <c r="I1683" s="101" t="n"/>
      <c r="J1683" s="102" t="n"/>
    </row>
    <row r="1684" ht="15.75" customHeight="1" s="84">
      <c r="A1684" s="80" t="inlineStr">
        <is>
          <t>Duration</t>
        </is>
      </c>
      <c r="B1684" s="103">
        <f>IF(OR(batches!D282="",batches!E282=""),"",batches!E282-batches!D282+1&amp;" days")</f>
        <v/>
      </c>
      <c r="C1684" s="101" t="n"/>
      <c r="D1684" s="102" t="n"/>
      <c r="G1684" s="80" t="inlineStr">
        <is>
          <t>Duration</t>
        </is>
      </c>
      <c r="H1684" s="103">
        <f>IF(OR(batches!D283="",batches!E283=""),"",batches!E283-batches!D283+1&amp;" days")</f>
        <v/>
      </c>
      <c r="I1684" s="101" t="n"/>
      <c r="J1684" s="102" t="n"/>
    </row>
    <row r="1685" ht="15.75" customHeight="1" s="84">
      <c r="A1685" s="80" t="inlineStr">
        <is>
          <t>Timing</t>
        </is>
      </c>
      <c r="B1685" s="103">
        <f>IF(A1681="","",batches!F282)</f>
        <v/>
      </c>
      <c r="C1685" s="101" t="n"/>
      <c r="D1685" s="102" t="n"/>
      <c r="G1685" s="80" t="inlineStr">
        <is>
          <t>Timing</t>
        </is>
      </c>
      <c r="H1685" s="103">
        <f>IF(G1681="","",batches!F283)</f>
        <v/>
      </c>
      <c r="I1685" s="101" t="n"/>
      <c r="J1685" s="102" t="n"/>
    </row>
    <row r="1686" ht="15.75" customHeight="1" s="84">
      <c r="A1686" s="80" t="inlineStr">
        <is>
          <t>Capacity</t>
        </is>
      </c>
      <c r="B1686" s="103">
        <f>IF(A1681="","",batches!G282)</f>
        <v/>
      </c>
      <c r="C1686" s="101" t="n"/>
      <c r="D1686" s="102" t="n"/>
      <c r="G1686" s="80" t="inlineStr">
        <is>
          <t>Capacity</t>
        </is>
      </c>
      <c r="H1686" s="103">
        <f>IF(G1681="","",batches!G283)</f>
        <v/>
      </c>
      <c r="I1686" s="101" t="n"/>
      <c r="J1686" s="102" t="n"/>
    </row>
    <row r="1687" ht="15.75" customHeight="1" s="84">
      <c r="A1687" s="80" t="inlineStr">
        <is>
          <t>Enrolled</t>
        </is>
      </c>
      <c r="B1687" s="103">
        <f>IF(A1681="","",COUNTIF(admissions!$M:$M,batches!A282))</f>
        <v/>
      </c>
      <c r="C1687" s="101" t="n"/>
      <c r="D1687" s="102" t="n"/>
      <c r="G1687" s="80" t="inlineStr">
        <is>
          <t>Enrolled</t>
        </is>
      </c>
      <c r="H1687" s="103">
        <f>IF(G1681="","",COUNTIF(admissions!$M:$M,batches!A283))</f>
        <v/>
      </c>
      <c r="I1687" s="101" t="n"/>
      <c r="J1687" s="102" t="n"/>
    </row>
    <row r="1688" ht="15.75" customHeight="1" s="84">
      <c r="A1688" s="80" t="inlineStr">
        <is>
          <t>Available</t>
        </is>
      </c>
      <c r="B1688" s="103">
        <f>IF(OR(batches!A282="",batches!G282=""),"",batches!G282-COUNTIF(admissions!$M:$M,batches!A282))</f>
        <v/>
      </c>
      <c r="C1688" s="101" t="n"/>
      <c r="D1688" s="102" t="n"/>
      <c r="G1688" s="80" t="inlineStr">
        <is>
          <t>Available</t>
        </is>
      </c>
      <c r="H1688" s="103">
        <f>IF(OR(batches!A283="",batches!G283=""),"",batches!G283-COUNTIF(admissions!$M:$M,batches!A283))</f>
        <v/>
      </c>
      <c r="I1688" s="101" t="n"/>
      <c r="J1688" s="102" t="n"/>
    </row>
    <row r="1689" ht="15.75" customHeight="1" s="84">
      <c r="A1689" s="104" t="inlineStr">
        <is>
          <t>Student List</t>
        </is>
      </c>
      <c r="B1689" s="101" t="n"/>
      <c r="C1689" s="101" t="n"/>
      <c r="D1689" s="102" t="n"/>
      <c r="G1689" s="104" t="inlineStr">
        <is>
          <t>Student List</t>
        </is>
      </c>
      <c r="H1689" s="101" t="n"/>
      <c r="I1689" s="101" t="n"/>
      <c r="J1689" s="102" t="n"/>
    </row>
    <row r="1690" ht="15.75" customHeight="1" s="84">
      <c r="A1690" s="105">
        <f>IFERROR(__xludf.DUMMYFUNCTION("IF(batches!A282="""","""",TEXTJOIN(CHAR(10),TRUE,FILTER(admissions!$G$2:$G$78,admissions!$M$2:$M$78=batches!A282,"""")))"),"")</f>
        <v/>
      </c>
      <c r="B1690" s="101" t="n"/>
      <c r="C1690" s="101" t="n"/>
      <c r="D1690" s="102" t="n"/>
      <c r="G1690" s="105">
        <f>IFERROR(__xludf.DUMMYFUNCTION("IF(batches!A283="""","""",TEXTJOIN(CHAR(10),TRUE,FILTER(admissions!$G$2:$G$78,admissions!$M$2:$M$78=batches!A283,"""")))"),"")</f>
        <v/>
      </c>
      <c r="H1690" s="101" t="n"/>
      <c r="I1690" s="101" t="n"/>
      <c r="J1690" s="102" t="n"/>
    </row>
    <row r="1691" ht="15.75" customHeight="1" s="84"/>
    <row r="1692" ht="15.75" customHeight="1" s="84"/>
    <row r="1693" ht="15.75" customHeight="1" s="84">
      <c r="A1693" s="100">
        <f>IF(batches!A284="","",batches!A284)</f>
        <v/>
      </c>
      <c r="B1693" s="101" t="n"/>
      <c r="C1693" s="101" t="n"/>
      <c r="D1693" s="102" t="n"/>
      <c r="G1693" s="100">
        <f>IF(batches!A285="","",batches!A285)</f>
        <v/>
      </c>
      <c r="H1693" s="101" t="n"/>
      <c r="I1693" s="101" t="n"/>
      <c r="J1693" s="102" t="n"/>
    </row>
    <row r="1694" ht="15.75" customHeight="1" s="84">
      <c r="A1694" s="80" t="inlineStr">
        <is>
          <t>Level / Mode</t>
        </is>
      </c>
      <c r="B1694" s="103">
        <f>IF(A1693="","",batches!B284&amp;" / "&amp;batches!C284)</f>
        <v/>
      </c>
      <c r="C1694" s="101" t="n"/>
      <c r="D1694" s="102" t="n"/>
      <c r="G1694" s="80" t="inlineStr">
        <is>
          <t>Level / Mode</t>
        </is>
      </c>
      <c r="H1694" s="103">
        <f>IF(G1693="","",batches!B285&amp;" / "&amp;batches!C285)</f>
        <v/>
      </c>
      <c r="I1694" s="101" t="n"/>
      <c r="J1694" s="102" t="n"/>
    </row>
    <row r="1695" ht="15.75" customHeight="1" s="84">
      <c r="A1695" s="80" t="inlineStr">
        <is>
          <t>Dates</t>
        </is>
      </c>
      <c r="B1695" s="103">
        <f>IF(A1693="","",TEXT(batches!D284,"yyyy-mm-dd")&amp;" to "&amp;TEXT(batches!E284,"yyyy-mm-dd"))</f>
        <v/>
      </c>
      <c r="C1695" s="101" t="n"/>
      <c r="D1695" s="102" t="n"/>
      <c r="G1695" s="80" t="inlineStr">
        <is>
          <t>Dates</t>
        </is>
      </c>
      <c r="H1695" s="103">
        <f>IF(G1693="","",TEXT(batches!D285,"yyyy-mm-dd")&amp;" to "&amp;TEXT(batches!E285,"yyyy-mm-dd"))</f>
        <v/>
      </c>
      <c r="I1695" s="101" t="n"/>
      <c r="J1695" s="102" t="n"/>
    </row>
    <row r="1696" ht="15.75" customHeight="1" s="84">
      <c r="A1696" s="80" t="inlineStr">
        <is>
          <t>Duration</t>
        </is>
      </c>
      <c r="B1696" s="103">
        <f>IF(OR(batches!D284="",batches!E284=""),"",batches!E284-batches!D284+1&amp;" days")</f>
        <v/>
      </c>
      <c r="C1696" s="101" t="n"/>
      <c r="D1696" s="102" t="n"/>
      <c r="G1696" s="80" t="inlineStr">
        <is>
          <t>Duration</t>
        </is>
      </c>
      <c r="H1696" s="103">
        <f>IF(OR(batches!D285="",batches!E285=""),"",batches!E285-batches!D285+1&amp;" days")</f>
        <v/>
      </c>
      <c r="I1696" s="101" t="n"/>
      <c r="J1696" s="102" t="n"/>
    </row>
    <row r="1697" ht="15.75" customHeight="1" s="84">
      <c r="A1697" s="80" t="inlineStr">
        <is>
          <t>Timing</t>
        </is>
      </c>
      <c r="B1697" s="103">
        <f>IF(A1693="","",batches!F284)</f>
        <v/>
      </c>
      <c r="C1697" s="101" t="n"/>
      <c r="D1697" s="102" t="n"/>
      <c r="G1697" s="80" t="inlineStr">
        <is>
          <t>Timing</t>
        </is>
      </c>
      <c r="H1697" s="103">
        <f>IF(G1693="","",batches!F285)</f>
        <v/>
      </c>
      <c r="I1697" s="101" t="n"/>
      <c r="J1697" s="102" t="n"/>
    </row>
    <row r="1698" ht="15.75" customHeight="1" s="84">
      <c r="A1698" s="80" t="inlineStr">
        <is>
          <t>Capacity</t>
        </is>
      </c>
      <c r="B1698" s="103">
        <f>IF(A1693="","",batches!G284)</f>
        <v/>
      </c>
      <c r="C1698" s="101" t="n"/>
      <c r="D1698" s="102" t="n"/>
      <c r="G1698" s="80" t="inlineStr">
        <is>
          <t>Capacity</t>
        </is>
      </c>
      <c r="H1698" s="103">
        <f>IF(G1693="","",batches!G285)</f>
        <v/>
      </c>
      <c r="I1698" s="101" t="n"/>
      <c r="J1698" s="102" t="n"/>
    </row>
    <row r="1699" ht="15.75" customHeight="1" s="84">
      <c r="A1699" s="80" t="inlineStr">
        <is>
          <t>Enrolled</t>
        </is>
      </c>
      <c r="B1699" s="103">
        <f>IF(A1693="","",COUNTIF(admissions!$M:$M,batches!A284))</f>
        <v/>
      </c>
      <c r="C1699" s="101" t="n"/>
      <c r="D1699" s="102" t="n"/>
      <c r="G1699" s="80" t="inlineStr">
        <is>
          <t>Enrolled</t>
        </is>
      </c>
      <c r="H1699" s="103">
        <f>IF(G1693="","",COUNTIF(admissions!$M:$M,batches!A285))</f>
        <v/>
      </c>
      <c r="I1699" s="101" t="n"/>
      <c r="J1699" s="102" t="n"/>
    </row>
    <row r="1700" ht="15.75" customHeight="1" s="84">
      <c r="A1700" s="80" t="inlineStr">
        <is>
          <t>Available</t>
        </is>
      </c>
      <c r="B1700" s="103">
        <f>IF(OR(batches!A284="",batches!G284=""),"",batches!G284-COUNTIF(admissions!$M:$M,batches!A284))</f>
        <v/>
      </c>
      <c r="C1700" s="101" t="n"/>
      <c r="D1700" s="102" t="n"/>
      <c r="G1700" s="80" t="inlineStr">
        <is>
          <t>Available</t>
        </is>
      </c>
      <c r="H1700" s="103">
        <f>IF(OR(batches!A285="",batches!G285=""),"",batches!G285-COUNTIF(admissions!$M:$M,batches!A285))</f>
        <v/>
      </c>
      <c r="I1700" s="101" t="n"/>
      <c r="J1700" s="102" t="n"/>
    </row>
    <row r="1701" ht="15.75" customHeight="1" s="84">
      <c r="A1701" s="104" t="inlineStr">
        <is>
          <t>Student List</t>
        </is>
      </c>
      <c r="B1701" s="101" t="n"/>
      <c r="C1701" s="101" t="n"/>
      <c r="D1701" s="102" t="n"/>
      <c r="G1701" s="104" t="inlineStr">
        <is>
          <t>Student List</t>
        </is>
      </c>
      <c r="H1701" s="101" t="n"/>
      <c r="I1701" s="101" t="n"/>
      <c r="J1701" s="102" t="n"/>
    </row>
    <row r="1702" ht="15.75" customHeight="1" s="84">
      <c r="A1702" s="105">
        <f>IFERROR(__xludf.DUMMYFUNCTION("IF(batches!A284="""","""",TEXTJOIN(CHAR(10),TRUE,FILTER(admissions!$G$2:$G$78,admissions!$M$2:$M$78=batches!A284,"""")))"),"")</f>
        <v/>
      </c>
      <c r="B1702" s="101" t="n"/>
      <c r="C1702" s="101" t="n"/>
      <c r="D1702" s="102" t="n"/>
      <c r="G1702" s="105">
        <f>IFERROR(__xludf.DUMMYFUNCTION("IF(batches!A285="""","""",TEXTJOIN(CHAR(10),TRUE,FILTER(admissions!$G$2:$G$78,admissions!$M$2:$M$78=batches!A285,"""")))"),"")</f>
        <v/>
      </c>
      <c r="H1702" s="101" t="n"/>
      <c r="I1702" s="101" t="n"/>
      <c r="J1702" s="102" t="n"/>
    </row>
    <row r="1703" ht="15.75" customHeight="1" s="84"/>
    <row r="1704" ht="15.75" customHeight="1" s="84"/>
    <row r="1705" ht="15.75" customHeight="1" s="84">
      <c r="A1705" s="100">
        <f>IF(batches!A286="","",batches!A286)</f>
        <v/>
      </c>
      <c r="B1705" s="101" t="n"/>
      <c r="C1705" s="101" t="n"/>
      <c r="D1705" s="102" t="n"/>
      <c r="G1705" s="100">
        <f>IF(batches!A287="","",batches!A287)</f>
        <v/>
      </c>
      <c r="H1705" s="101" t="n"/>
      <c r="I1705" s="101" t="n"/>
      <c r="J1705" s="102" t="n"/>
    </row>
    <row r="1706" ht="15.75" customHeight="1" s="84">
      <c r="A1706" s="80" t="inlineStr">
        <is>
          <t>Level / Mode</t>
        </is>
      </c>
      <c r="B1706" s="103">
        <f>IF(A1705="","",batches!B286&amp;" / "&amp;batches!C286)</f>
        <v/>
      </c>
      <c r="C1706" s="101" t="n"/>
      <c r="D1706" s="102" t="n"/>
      <c r="G1706" s="80" t="inlineStr">
        <is>
          <t>Level / Mode</t>
        </is>
      </c>
      <c r="H1706" s="103">
        <f>IF(G1705="","",batches!B287&amp;" / "&amp;batches!C287)</f>
        <v/>
      </c>
      <c r="I1706" s="101" t="n"/>
      <c r="J1706" s="102" t="n"/>
    </row>
    <row r="1707" ht="15.75" customHeight="1" s="84">
      <c r="A1707" s="80" t="inlineStr">
        <is>
          <t>Dates</t>
        </is>
      </c>
      <c r="B1707" s="103">
        <f>IF(A1705="","",TEXT(batches!D286,"yyyy-mm-dd")&amp;" to "&amp;TEXT(batches!E286,"yyyy-mm-dd"))</f>
        <v/>
      </c>
      <c r="C1707" s="101" t="n"/>
      <c r="D1707" s="102" t="n"/>
      <c r="G1707" s="80" t="inlineStr">
        <is>
          <t>Dates</t>
        </is>
      </c>
      <c r="H1707" s="103">
        <f>IF(G1705="","",TEXT(batches!D287,"yyyy-mm-dd")&amp;" to "&amp;TEXT(batches!E287,"yyyy-mm-dd"))</f>
        <v/>
      </c>
      <c r="I1707" s="101" t="n"/>
      <c r="J1707" s="102" t="n"/>
    </row>
    <row r="1708" ht="15.75" customHeight="1" s="84">
      <c r="A1708" s="80" t="inlineStr">
        <is>
          <t>Duration</t>
        </is>
      </c>
      <c r="B1708" s="103">
        <f>IF(OR(batches!D286="",batches!E286=""),"",batches!E286-batches!D286+1&amp;" days")</f>
        <v/>
      </c>
      <c r="C1708" s="101" t="n"/>
      <c r="D1708" s="102" t="n"/>
      <c r="G1708" s="80" t="inlineStr">
        <is>
          <t>Duration</t>
        </is>
      </c>
      <c r="H1708" s="103">
        <f>IF(OR(batches!D287="",batches!E287=""),"",batches!E287-batches!D287+1&amp;" days")</f>
        <v/>
      </c>
      <c r="I1708" s="101" t="n"/>
      <c r="J1708" s="102" t="n"/>
    </row>
    <row r="1709" ht="15.75" customHeight="1" s="84">
      <c r="A1709" s="80" t="inlineStr">
        <is>
          <t>Timing</t>
        </is>
      </c>
      <c r="B1709" s="103">
        <f>IF(A1705="","",batches!F286)</f>
        <v/>
      </c>
      <c r="C1709" s="101" t="n"/>
      <c r="D1709" s="102" t="n"/>
      <c r="G1709" s="80" t="inlineStr">
        <is>
          <t>Timing</t>
        </is>
      </c>
      <c r="H1709" s="103">
        <f>IF(G1705="","",batches!F287)</f>
        <v/>
      </c>
      <c r="I1709" s="101" t="n"/>
      <c r="J1709" s="102" t="n"/>
    </row>
    <row r="1710" ht="15.75" customHeight="1" s="84">
      <c r="A1710" s="80" t="inlineStr">
        <is>
          <t>Capacity</t>
        </is>
      </c>
      <c r="B1710" s="103">
        <f>IF(A1705="","",batches!G286)</f>
        <v/>
      </c>
      <c r="C1710" s="101" t="n"/>
      <c r="D1710" s="102" t="n"/>
      <c r="G1710" s="80" t="inlineStr">
        <is>
          <t>Capacity</t>
        </is>
      </c>
      <c r="H1710" s="103">
        <f>IF(G1705="","",batches!G287)</f>
        <v/>
      </c>
      <c r="I1710" s="101" t="n"/>
      <c r="J1710" s="102" t="n"/>
    </row>
    <row r="1711" ht="15.75" customHeight="1" s="84">
      <c r="A1711" s="80" t="inlineStr">
        <is>
          <t>Enrolled</t>
        </is>
      </c>
      <c r="B1711" s="103">
        <f>IF(A1705="","",COUNTIF(admissions!$M:$M,batches!A286))</f>
        <v/>
      </c>
      <c r="C1711" s="101" t="n"/>
      <c r="D1711" s="102" t="n"/>
      <c r="G1711" s="80" t="inlineStr">
        <is>
          <t>Enrolled</t>
        </is>
      </c>
      <c r="H1711" s="103">
        <f>IF(G1705="","",COUNTIF(admissions!$M:$M,batches!A287))</f>
        <v/>
      </c>
      <c r="I1711" s="101" t="n"/>
      <c r="J1711" s="102" t="n"/>
    </row>
    <row r="1712" ht="15.75" customHeight="1" s="84">
      <c r="A1712" s="80" t="inlineStr">
        <is>
          <t>Available</t>
        </is>
      </c>
      <c r="B1712" s="103">
        <f>IF(OR(batches!A286="",batches!G286=""),"",batches!G286-COUNTIF(admissions!$M:$M,batches!A286))</f>
        <v/>
      </c>
      <c r="C1712" s="101" t="n"/>
      <c r="D1712" s="102" t="n"/>
      <c r="G1712" s="80" t="inlineStr">
        <is>
          <t>Available</t>
        </is>
      </c>
      <c r="H1712" s="103">
        <f>IF(OR(batches!A287="",batches!G287=""),"",batches!G287-COUNTIF(admissions!$M:$M,batches!A287))</f>
        <v/>
      </c>
      <c r="I1712" s="101" t="n"/>
      <c r="J1712" s="102" t="n"/>
    </row>
    <row r="1713" ht="15.75" customHeight="1" s="84">
      <c r="A1713" s="104" t="inlineStr">
        <is>
          <t>Student List</t>
        </is>
      </c>
      <c r="B1713" s="101" t="n"/>
      <c r="C1713" s="101" t="n"/>
      <c r="D1713" s="102" t="n"/>
      <c r="G1713" s="104" t="inlineStr">
        <is>
          <t>Student List</t>
        </is>
      </c>
      <c r="H1713" s="101" t="n"/>
      <c r="I1713" s="101" t="n"/>
      <c r="J1713" s="102" t="n"/>
    </row>
    <row r="1714" ht="15.75" customHeight="1" s="84">
      <c r="A1714" s="105">
        <f>IFERROR(__xludf.DUMMYFUNCTION("IF(batches!A286="""","""",TEXTJOIN(CHAR(10),TRUE,FILTER(admissions!$G$2:$G$78,admissions!$M$2:$M$78=batches!A286,"""")))"),"")</f>
        <v/>
      </c>
      <c r="B1714" s="101" t="n"/>
      <c r="C1714" s="101" t="n"/>
      <c r="D1714" s="102" t="n"/>
      <c r="G1714" s="105">
        <f>IFERROR(__xludf.DUMMYFUNCTION("IF(batches!A287="""","""",TEXTJOIN(CHAR(10),TRUE,FILTER(admissions!$G$2:$G$78,admissions!$M$2:$M$78=batches!A287,"""")))"),"")</f>
        <v/>
      </c>
      <c r="H1714" s="101" t="n"/>
      <c r="I1714" s="101" t="n"/>
      <c r="J1714" s="102" t="n"/>
    </row>
    <row r="1715" ht="15.75" customHeight="1" s="84"/>
    <row r="1716" ht="15.75" customHeight="1" s="84"/>
    <row r="1717" ht="15.75" customHeight="1" s="84">
      <c r="A1717" s="100">
        <f>IF(batches!A288="","",batches!A288)</f>
        <v/>
      </c>
      <c r="B1717" s="101" t="n"/>
      <c r="C1717" s="101" t="n"/>
      <c r="D1717" s="102" t="n"/>
      <c r="G1717" s="100">
        <f>IF(batches!A289="","",batches!A289)</f>
        <v/>
      </c>
      <c r="H1717" s="101" t="n"/>
      <c r="I1717" s="101" t="n"/>
      <c r="J1717" s="102" t="n"/>
    </row>
    <row r="1718" ht="15.75" customHeight="1" s="84">
      <c r="A1718" s="80" t="inlineStr">
        <is>
          <t>Level / Mode</t>
        </is>
      </c>
      <c r="B1718" s="103">
        <f>IF(A1717="","",batches!B288&amp;" / "&amp;batches!C288)</f>
        <v/>
      </c>
      <c r="C1718" s="101" t="n"/>
      <c r="D1718" s="102" t="n"/>
      <c r="G1718" s="80" t="inlineStr">
        <is>
          <t>Level / Mode</t>
        </is>
      </c>
      <c r="H1718" s="103">
        <f>IF(G1717="","",batches!B289&amp;" / "&amp;batches!C289)</f>
        <v/>
      </c>
      <c r="I1718" s="101" t="n"/>
      <c r="J1718" s="102" t="n"/>
    </row>
    <row r="1719" ht="15.75" customHeight="1" s="84">
      <c r="A1719" s="80" t="inlineStr">
        <is>
          <t>Dates</t>
        </is>
      </c>
      <c r="B1719" s="103">
        <f>IF(A1717="","",TEXT(batches!D288,"yyyy-mm-dd")&amp;" to "&amp;TEXT(batches!E288,"yyyy-mm-dd"))</f>
        <v/>
      </c>
      <c r="C1719" s="101" t="n"/>
      <c r="D1719" s="102" t="n"/>
      <c r="G1719" s="80" t="inlineStr">
        <is>
          <t>Dates</t>
        </is>
      </c>
      <c r="H1719" s="103">
        <f>IF(G1717="","",TEXT(batches!D289,"yyyy-mm-dd")&amp;" to "&amp;TEXT(batches!E289,"yyyy-mm-dd"))</f>
        <v/>
      </c>
      <c r="I1719" s="101" t="n"/>
      <c r="J1719" s="102" t="n"/>
    </row>
    <row r="1720" ht="15.75" customHeight="1" s="84">
      <c r="A1720" s="80" t="inlineStr">
        <is>
          <t>Duration</t>
        </is>
      </c>
      <c r="B1720" s="103">
        <f>IF(OR(batches!D288="",batches!E288=""),"",batches!E288-batches!D288+1&amp;" days")</f>
        <v/>
      </c>
      <c r="C1720" s="101" t="n"/>
      <c r="D1720" s="102" t="n"/>
      <c r="G1720" s="80" t="inlineStr">
        <is>
          <t>Duration</t>
        </is>
      </c>
      <c r="H1720" s="103">
        <f>IF(OR(batches!D289="",batches!E289=""),"",batches!E289-batches!D289+1&amp;" days")</f>
        <v/>
      </c>
      <c r="I1720" s="101" t="n"/>
      <c r="J1720" s="102" t="n"/>
    </row>
    <row r="1721" ht="15.75" customHeight="1" s="84">
      <c r="A1721" s="80" t="inlineStr">
        <is>
          <t>Timing</t>
        </is>
      </c>
      <c r="B1721" s="103">
        <f>IF(A1717="","",batches!F288)</f>
        <v/>
      </c>
      <c r="C1721" s="101" t="n"/>
      <c r="D1721" s="102" t="n"/>
      <c r="G1721" s="80" t="inlineStr">
        <is>
          <t>Timing</t>
        </is>
      </c>
      <c r="H1721" s="103">
        <f>IF(G1717="","",batches!F289)</f>
        <v/>
      </c>
      <c r="I1721" s="101" t="n"/>
      <c r="J1721" s="102" t="n"/>
    </row>
    <row r="1722" ht="15.75" customHeight="1" s="84">
      <c r="A1722" s="80" t="inlineStr">
        <is>
          <t>Capacity</t>
        </is>
      </c>
      <c r="B1722" s="103">
        <f>IF(A1717="","",batches!G288)</f>
        <v/>
      </c>
      <c r="C1722" s="101" t="n"/>
      <c r="D1722" s="102" t="n"/>
      <c r="G1722" s="80" t="inlineStr">
        <is>
          <t>Capacity</t>
        </is>
      </c>
      <c r="H1722" s="103">
        <f>IF(G1717="","",batches!G289)</f>
        <v/>
      </c>
      <c r="I1722" s="101" t="n"/>
      <c r="J1722" s="102" t="n"/>
    </row>
    <row r="1723" ht="15.75" customHeight="1" s="84">
      <c r="A1723" s="80" t="inlineStr">
        <is>
          <t>Enrolled</t>
        </is>
      </c>
      <c r="B1723" s="103">
        <f>IF(A1717="","",COUNTIF(admissions!$M:$M,batches!A288))</f>
        <v/>
      </c>
      <c r="C1723" s="101" t="n"/>
      <c r="D1723" s="102" t="n"/>
      <c r="G1723" s="80" t="inlineStr">
        <is>
          <t>Enrolled</t>
        </is>
      </c>
      <c r="H1723" s="103">
        <f>IF(G1717="","",COUNTIF(admissions!$M:$M,batches!A289))</f>
        <v/>
      </c>
      <c r="I1723" s="101" t="n"/>
      <c r="J1723" s="102" t="n"/>
    </row>
    <row r="1724" ht="15.75" customHeight="1" s="84">
      <c r="A1724" s="80" t="inlineStr">
        <is>
          <t>Available</t>
        </is>
      </c>
      <c r="B1724" s="103">
        <f>IF(OR(batches!A288="",batches!G288=""),"",batches!G288-COUNTIF(admissions!$M:$M,batches!A288))</f>
        <v/>
      </c>
      <c r="C1724" s="101" t="n"/>
      <c r="D1724" s="102" t="n"/>
      <c r="G1724" s="80" t="inlineStr">
        <is>
          <t>Available</t>
        </is>
      </c>
      <c r="H1724" s="103">
        <f>IF(OR(batches!A289="",batches!G289=""),"",batches!G289-COUNTIF(admissions!$M:$M,batches!A289))</f>
        <v/>
      </c>
      <c r="I1724" s="101" t="n"/>
      <c r="J1724" s="102" t="n"/>
    </row>
    <row r="1725" ht="15.75" customHeight="1" s="84">
      <c r="A1725" s="104" t="inlineStr">
        <is>
          <t>Student List</t>
        </is>
      </c>
      <c r="B1725" s="101" t="n"/>
      <c r="C1725" s="101" t="n"/>
      <c r="D1725" s="102" t="n"/>
      <c r="G1725" s="104" t="inlineStr">
        <is>
          <t>Student List</t>
        </is>
      </c>
      <c r="H1725" s="101" t="n"/>
      <c r="I1725" s="101" t="n"/>
      <c r="J1725" s="102" t="n"/>
    </row>
    <row r="1726" ht="15.75" customHeight="1" s="84">
      <c r="A1726" s="105">
        <f>IFERROR(__xludf.DUMMYFUNCTION("IF(batches!A288="""","""",TEXTJOIN(CHAR(10),TRUE,FILTER(admissions!$G$2:$G$78,admissions!$M$2:$M$78=batches!A288,"""")))"),"")</f>
        <v/>
      </c>
      <c r="B1726" s="101" t="n"/>
      <c r="C1726" s="101" t="n"/>
      <c r="D1726" s="102" t="n"/>
      <c r="G1726" s="105">
        <f>IFERROR(__xludf.DUMMYFUNCTION("IF(batches!A289="""","""",TEXTJOIN(CHAR(10),TRUE,FILTER(admissions!$G$2:$G$78,admissions!$M$2:$M$78=batches!A289,"""")))"),"")</f>
        <v/>
      </c>
      <c r="H1726" s="101" t="n"/>
      <c r="I1726" s="101" t="n"/>
      <c r="J1726" s="102" t="n"/>
    </row>
    <row r="1727" ht="15.75" customHeight="1" s="84"/>
    <row r="1728" ht="15.75" customHeight="1" s="84"/>
    <row r="1729" ht="15.75" customHeight="1" s="84">
      <c r="A1729" s="100">
        <f>IF(batches!A290="","",batches!A290)</f>
        <v/>
      </c>
      <c r="B1729" s="101" t="n"/>
      <c r="C1729" s="101" t="n"/>
      <c r="D1729" s="102" t="n"/>
      <c r="G1729" s="100">
        <f>IF(batches!A291="","",batches!A291)</f>
        <v/>
      </c>
      <c r="H1729" s="101" t="n"/>
      <c r="I1729" s="101" t="n"/>
      <c r="J1729" s="102" t="n"/>
    </row>
    <row r="1730" ht="15.75" customHeight="1" s="84">
      <c r="A1730" s="80" t="inlineStr">
        <is>
          <t>Level / Mode</t>
        </is>
      </c>
      <c r="B1730" s="103">
        <f>IF(A1729="","",batches!B290&amp;" / "&amp;batches!C290)</f>
        <v/>
      </c>
      <c r="C1730" s="101" t="n"/>
      <c r="D1730" s="102" t="n"/>
      <c r="G1730" s="80" t="inlineStr">
        <is>
          <t>Level / Mode</t>
        </is>
      </c>
      <c r="H1730" s="103">
        <f>IF(G1729="","",batches!B291&amp;" / "&amp;batches!C291)</f>
        <v/>
      </c>
      <c r="I1730" s="101" t="n"/>
      <c r="J1730" s="102" t="n"/>
    </row>
    <row r="1731" ht="15.75" customHeight="1" s="84">
      <c r="A1731" s="80" t="inlineStr">
        <is>
          <t>Dates</t>
        </is>
      </c>
      <c r="B1731" s="103">
        <f>IF(A1729="","",TEXT(batches!D290,"yyyy-mm-dd")&amp;" to "&amp;TEXT(batches!E290,"yyyy-mm-dd"))</f>
        <v/>
      </c>
      <c r="C1731" s="101" t="n"/>
      <c r="D1731" s="102" t="n"/>
      <c r="G1731" s="80" t="inlineStr">
        <is>
          <t>Dates</t>
        </is>
      </c>
      <c r="H1731" s="103">
        <f>IF(G1729="","",TEXT(batches!D291,"yyyy-mm-dd")&amp;" to "&amp;TEXT(batches!E291,"yyyy-mm-dd"))</f>
        <v/>
      </c>
      <c r="I1731" s="101" t="n"/>
      <c r="J1731" s="102" t="n"/>
    </row>
    <row r="1732" ht="15.75" customHeight="1" s="84">
      <c r="A1732" s="80" t="inlineStr">
        <is>
          <t>Duration</t>
        </is>
      </c>
      <c r="B1732" s="103">
        <f>IF(OR(batches!D290="",batches!E290=""),"",batches!E290-batches!D290+1&amp;" days")</f>
        <v/>
      </c>
      <c r="C1732" s="101" t="n"/>
      <c r="D1732" s="102" t="n"/>
      <c r="G1732" s="80" t="inlineStr">
        <is>
          <t>Duration</t>
        </is>
      </c>
      <c r="H1732" s="103">
        <f>IF(OR(batches!D291="",batches!E291=""),"",batches!E291-batches!D291+1&amp;" days")</f>
        <v/>
      </c>
      <c r="I1732" s="101" t="n"/>
      <c r="J1732" s="102" t="n"/>
    </row>
    <row r="1733" ht="15.75" customHeight="1" s="84">
      <c r="A1733" s="80" t="inlineStr">
        <is>
          <t>Timing</t>
        </is>
      </c>
      <c r="B1733" s="103">
        <f>IF(A1729="","",batches!F290)</f>
        <v/>
      </c>
      <c r="C1733" s="101" t="n"/>
      <c r="D1733" s="102" t="n"/>
      <c r="G1733" s="80" t="inlineStr">
        <is>
          <t>Timing</t>
        </is>
      </c>
      <c r="H1733" s="103">
        <f>IF(G1729="","",batches!F291)</f>
        <v/>
      </c>
      <c r="I1733" s="101" t="n"/>
      <c r="J1733" s="102" t="n"/>
    </row>
    <row r="1734" ht="15.75" customHeight="1" s="84">
      <c r="A1734" s="80" t="inlineStr">
        <is>
          <t>Capacity</t>
        </is>
      </c>
      <c r="B1734" s="103">
        <f>IF(A1729="","",batches!G290)</f>
        <v/>
      </c>
      <c r="C1734" s="101" t="n"/>
      <c r="D1734" s="102" t="n"/>
      <c r="G1734" s="80" t="inlineStr">
        <is>
          <t>Capacity</t>
        </is>
      </c>
      <c r="H1734" s="103">
        <f>IF(G1729="","",batches!G291)</f>
        <v/>
      </c>
      <c r="I1734" s="101" t="n"/>
      <c r="J1734" s="102" t="n"/>
    </row>
    <row r="1735" ht="15.75" customHeight="1" s="84">
      <c r="A1735" s="80" t="inlineStr">
        <is>
          <t>Enrolled</t>
        </is>
      </c>
      <c r="B1735" s="103">
        <f>IF(A1729="","",COUNTIF(admissions!$M:$M,batches!A290))</f>
        <v/>
      </c>
      <c r="C1735" s="101" t="n"/>
      <c r="D1735" s="102" t="n"/>
      <c r="G1735" s="80" t="inlineStr">
        <is>
          <t>Enrolled</t>
        </is>
      </c>
      <c r="H1735" s="103">
        <f>IF(G1729="","",COUNTIF(admissions!$M:$M,batches!A291))</f>
        <v/>
      </c>
      <c r="I1735" s="101" t="n"/>
      <c r="J1735" s="102" t="n"/>
    </row>
    <row r="1736" ht="15.75" customHeight="1" s="84">
      <c r="A1736" s="80" t="inlineStr">
        <is>
          <t>Available</t>
        </is>
      </c>
      <c r="B1736" s="103">
        <f>IF(OR(batches!A290="",batches!G290=""),"",batches!G290-COUNTIF(admissions!$M:$M,batches!A290))</f>
        <v/>
      </c>
      <c r="C1736" s="101" t="n"/>
      <c r="D1736" s="102" t="n"/>
      <c r="G1736" s="80" t="inlineStr">
        <is>
          <t>Available</t>
        </is>
      </c>
      <c r="H1736" s="103">
        <f>IF(OR(batches!A291="",batches!G291=""),"",batches!G291-COUNTIF(admissions!$M:$M,batches!A291))</f>
        <v/>
      </c>
      <c r="I1736" s="101" t="n"/>
      <c r="J1736" s="102" t="n"/>
    </row>
    <row r="1737" ht="15.75" customHeight="1" s="84">
      <c r="A1737" s="104" t="inlineStr">
        <is>
          <t>Student List</t>
        </is>
      </c>
      <c r="B1737" s="101" t="n"/>
      <c r="C1737" s="101" t="n"/>
      <c r="D1737" s="102" t="n"/>
      <c r="G1737" s="104" t="inlineStr">
        <is>
          <t>Student List</t>
        </is>
      </c>
      <c r="H1737" s="101" t="n"/>
      <c r="I1737" s="101" t="n"/>
      <c r="J1737" s="102" t="n"/>
    </row>
    <row r="1738" ht="15.75" customHeight="1" s="84">
      <c r="A1738" s="105">
        <f>IFERROR(__xludf.DUMMYFUNCTION("IF(batches!A290="""","""",TEXTJOIN(CHAR(10),TRUE,FILTER(admissions!$G$2:$G$78,admissions!$M$2:$M$78=batches!A290,"""")))"),"")</f>
        <v/>
      </c>
      <c r="B1738" s="101" t="n"/>
      <c r="C1738" s="101" t="n"/>
      <c r="D1738" s="102" t="n"/>
      <c r="G1738" s="105">
        <f>IFERROR(__xludf.DUMMYFUNCTION("IF(batches!A291="""","""",TEXTJOIN(CHAR(10),TRUE,FILTER(admissions!$G$2:$G$78,admissions!$M$2:$M$78=batches!A291,"""")))"),"")</f>
        <v/>
      </c>
      <c r="H1738" s="101" t="n"/>
      <c r="I1738" s="101" t="n"/>
      <c r="J1738" s="102" t="n"/>
    </row>
    <row r="1739" ht="15.75" customHeight="1" s="84"/>
    <row r="1740" ht="15.75" customHeight="1" s="84"/>
    <row r="1741" ht="15.75" customHeight="1" s="84">
      <c r="A1741" s="100">
        <f>IF(batches!A292="","",batches!A292)</f>
        <v/>
      </c>
      <c r="B1741" s="101" t="n"/>
      <c r="C1741" s="101" t="n"/>
      <c r="D1741" s="102" t="n"/>
      <c r="G1741" s="100">
        <f>IF(batches!A293="","",batches!A293)</f>
        <v/>
      </c>
      <c r="H1741" s="101" t="n"/>
      <c r="I1741" s="101" t="n"/>
      <c r="J1741" s="102" t="n"/>
    </row>
    <row r="1742" ht="15.75" customHeight="1" s="84">
      <c r="A1742" s="80" t="inlineStr">
        <is>
          <t>Level / Mode</t>
        </is>
      </c>
      <c r="B1742" s="103">
        <f>IF(A1741="","",batches!B292&amp;" / "&amp;batches!C292)</f>
        <v/>
      </c>
      <c r="C1742" s="101" t="n"/>
      <c r="D1742" s="102" t="n"/>
      <c r="G1742" s="80" t="inlineStr">
        <is>
          <t>Level / Mode</t>
        </is>
      </c>
      <c r="H1742" s="103">
        <f>IF(G1741="","",batches!B293&amp;" / "&amp;batches!C293)</f>
        <v/>
      </c>
      <c r="I1742" s="101" t="n"/>
      <c r="J1742" s="102" t="n"/>
    </row>
    <row r="1743" ht="15.75" customHeight="1" s="84">
      <c r="A1743" s="80" t="inlineStr">
        <is>
          <t>Dates</t>
        </is>
      </c>
      <c r="B1743" s="103">
        <f>IF(A1741="","",TEXT(batches!D292,"yyyy-mm-dd")&amp;" to "&amp;TEXT(batches!E292,"yyyy-mm-dd"))</f>
        <v/>
      </c>
      <c r="C1743" s="101" t="n"/>
      <c r="D1743" s="102" t="n"/>
      <c r="G1743" s="80" t="inlineStr">
        <is>
          <t>Dates</t>
        </is>
      </c>
      <c r="H1743" s="103">
        <f>IF(G1741="","",TEXT(batches!D293,"yyyy-mm-dd")&amp;" to "&amp;TEXT(batches!E293,"yyyy-mm-dd"))</f>
        <v/>
      </c>
      <c r="I1743" s="101" t="n"/>
      <c r="J1743" s="102" t="n"/>
    </row>
    <row r="1744" ht="15.75" customHeight="1" s="84">
      <c r="A1744" s="80" t="inlineStr">
        <is>
          <t>Duration</t>
        </is>
      </c>
      <c r="B1744" s="103">
        <f>IF(OR(batches!D292="",batches!E292=""),"",batches!E292-batches!D292+1&amp;" days")</f>
        <v/>
      </c>
      <c r="C1744" s="101" t="n"/>
      <c r="D1744" s="102" t="n"/>
      <c r="G1744" s="80" t="inlineStr">
        <is>
          <t>Duration</t>
        </is>
      </c>
      <c r="H1744" s="103">
        <f>IF(OR(batches!D293="",batches!E293=""),"",batches!E293-batches!D293+1&amp;" days")</f>
        <v/>
      </c>
      <c r="I1744" s="101" t="n"/>
      <c r="J1744" s="102" t="n"/>
    </row>
    <row r="1745" ht="15.75" customHeight="1" s="84">
      <c r="A1745" s="80" t="inlineStr">
        <is>
          <t>Timing</t>
        </is>
      </c>
      <c r="B1745" s="103">
        <f>IF(A1741="","",batches!F292)</f>
        <v/>
      </c>
      <c r="C1745" s="101" t="n"/>
      <c r="D1745" s="102" t="n"/>
      <c r="G1745" s="80" t="inlineStr">
        <is>
          <t>Timing</t>
        </is>
      </c>
      <c r="H1745" s="103">
        <f>IF(G1741="","",batches!F293)</f>
        <v/>
      </c>
      <c r="I1745" s="101" t="n"/>
      <c r="J1745" s="102" t="n"/>
    </row>
    <row r="1746" ht="15.75" customHeight="1" s="84">
      <c r="A1746" s="80" t="inlineStr">
        <is>
          <t>Capacity</t>
        </is>
      </c>
      <c r="B1746" s="103">
        <f>IF(A1741="","",batches!G292)</f>
        <v/>
      </c>
      <c r="C1746" s="101" t="n"/>
      <c r="D1746" s="102" t="n"/>
      <c r="G1746" s="80" t="inlineStr">
        <is>
          <t>Capacity</t>
        </is>
      </c>
      <c r="H1746" s="103">
        <f>IF(G1741="","",batches!G293)</f>
        <v/>
      </c>
      <c r="I1746" s="101" t="n"/>
      <c r="J1746" s="102" t="n"/>
    </row>
    <row r="1747" ht="15.75" customHeight="1" s="84">
      <c r="A1747" s="80" t="inlineStr">
        <is>
          <t>Enrolled</t>
        </is>
      </c>
      <c r="B1747" s="103">
        <f>IF(A1741="","",COUNTIF(admissions!$M:$M,batches!A292))</f>
        <v/>
      </c>
      <c r="C1747" s="101" t="n"/>
      <c r="D1747" s="102" t="n"/>
      <c r="G1747" s="80" t="inlineStr">
        <is>
          <t>Enrolled</t>
        </is>
      </c>
      <c r="H1747" s="103">
        <f>IF(G1741="","",COUNTIF(admissions!$M:$M,batches!A293))</f>
        <v/>
      </c>
      <c r="I1747" s="101" t="n"/>
      <c r="J1747" s="102" t="n"/>
    </row>
    <row r="1748" ht="15.75" customHeight="1" s="84">
      <c r="A1748" s="80" t="inlineStr">
        <is>
          <t>Available</t>
        </is>
      </c>
      <c r="B1748" s="103">
        <f>IF(OR(batches!A292="",batches!G292=""),"",batches!G292-COUNTIF(admissions!$M:$M,batches!A292))</f>
        <v/>
      </c>
      <c r="C1748" s="101" t="n"/>
      <c r="D1748" s="102" t="n"/>
      <c r="G1748" s="80" t="inlineStr">
        <is>
          <t>Available</t>
        </is>
      </c>
      <c r="H1748" s="103">
        <f>IF(OR(batches!A293="",batches!G293=""),"",batches!G293-COUNTIF(admissions!$M:$M,batches!A293))</f>
        <v/>
      </c>
      <c r="I1748" s="101" t="n"/>
      <c r="J1748" s="102" t="n"/>
    </row>
    <row r="1749" ht="15.75" customHeight="1" s="84">
      <c r="A1749" s="104" t="inlineStr">
        <is>
          <t>Student List</t>
        </is>
      </c>
      <c r="B1749" s="101" t="n"/>
      <c r="C1749" s="101" t="n"/>
      <c r="D1749" s="102" t="n"/>
      <c r="G1749" s="104" t="inlineStr">
        <is>
          <t>Student List</t>
        </is>
      </c>
      <c r="H1749" s="101" t="n"/>
      <c r="I1749" s="101" t="n"/>
      <c r="J1749" s="102" t="n"/>
    </row>
    <row r="1750" ht="15.75" customHeight="1" s="84">
      <c r="A1750" s="105">
        <f>IFERROR(__xludf.DUMMYFUNCTION("IF(batches!A292="""","""",TEXTJOIN(CHAR(10),TRUE,FILTER(admissions!$G$2:$G$78,admissions!$M$2:$M$78=batches!A292,"""")))"),"")</f>
        <v/>
      </c>
      <c r="B1750" s="101" t="n"/>
      <c r="C1750" s="101" t="n"/>
      <c r="D1750" s="102" t="n"/>
      <c r="G1750" s="105">
        <f>IFERROR(__xludf.DUMMYFUNCTION("IF(batches!A293="""","""",TEXTJOIN(CHAR(10),TRUE,FILTER(admissions!$G$2:$G$78,admissions!$M$2:$M$78=batches!A293,"""")))"),"")</f>
        <v/>
      </c>
      <c r="H1750" s="101" t="n"/>
      <c r="I1750" s="101" t="n"/>
      <c r="J1750" s="102" t="n"/>
    </row>
    <row r="1751" ht="15.75" customHeight="1" s="84"/>
    <row r="1752" ht="15.75" customHeight="1" s="84"/>
    <row r="1753" ht="15.75" customHeight="1" s="84">
      <c r="A1753" s="100">
        <f>IF(batches!A294="","",batches!A294)</f>
        <v/>
      </c>
      <c r="B1753" s="101" t="n"/>
      <c r="C1753" s="101" t="n"/>
      <c r="D1753" s="102" t="n"/>
      <c r="G1753" s="100">
        <f>IF(batches!A295="","",batches!A295)</f>
        <v/>
      </c>
      <c r="H1753" s="101" t="n"/>
      <c r="I1753" s="101" t="n"/>
      <c r="J1753" s="102" t="n"/>
    </row>
    <row r="1754" ht="15.75" customHeight="1" s="84">
      <c r="A1754" s="80" t="inlineStr">
        <is>
          <t>Level / Mode</t>
        </is>
      </c>
      <c r="B1754" s="103">
        <f>IF(A1753="","",batches!B294&amp;" / "&amp;batches!C294)</f>
        <v/>
      </c>
      <c r="C1754" s="101" t="n"/>
      <c r="D1754" s="102" t="n"/>
      <c r="G1754" s="80" t="inlineStr">
        <is>
          <t>Level / Mode</t>
        </is>
      </c>
      <c r="H1754" s="103">
        <f>IF(G1753="","",batches!B295&amp;" / "&amp;batches!C295)</f>
        <v/>
      </c>
      <c r="I1754" s="101" t="n"/>
      <c r="J1754" s="102" t="n"/>
    </row>
    <row r="1755" ht="15.75" customHeight="1" s="84">
      <c r="A1755" s="80" t="inlineStr">
        <is>
          <t>Dates</t>
        </is>
      </c>
      <c r="B1755" s="103">
        <f>IF(A1753="","",TEXT(batches!D294,"yyyy-mm-dd")&amp;" to "&amp;TEXT(batches!E294,"yyyy-mm-dd"))</f>
        <v/>
      </c>
      <c r="C1755" s="101" t="n"/>
      <c r="D1755" s="102" t="n"/>
      <c r="G1755" s="80" t="inlineStr">
        <is>
          <t>Dates</t>
        </is>
      </c>
      <c r="H1755" s="103">
        <f>IF(G1753="","",TEXT(batches!D295,"yyyy-mm-dd")&amp;" to "&amp;TEXT(batches!E295,"yyyy-mm-dd"))</f>
        <v/>
      </c>
      <c r="I1755" s="101" t="n"/>
      <c r="J1755" s="102" t="n"/>
    </row>
    <row r="1756" ht="15.75" customHeight="1" s="84">
      <c r="A1756" s="80" t="inlineStr">
        <is>
          <t>Duration</t>
        </is>
      </c>
      <c r="B1756" s="103">
        <f>IF(OR(batches!D294="",batches!E294=""),"",batches!E294-batches!D294+1&amp;" days")</f>
        <v/>
      </c>
      <c r="C1756" s="101" t="n"/>
      <c r="D1756" s="102" t="n"/>
      <c r="G1756" s="80" t="inlineStr">
        <is>
          <t>Duration</t>
        </is>
      </c>
      <c r="H1756" s="103">
        <f>IF(OR(batches!D295="",batches!E295=""),"",batches!E295-batches!D295+1&amp;" days")</f>
        <v/>
      </c>
      <c r="I1756" s="101" t="n"/>
      <c r="J1756" s="102" t="n"/>
    </row>
    <row r="1757" ht="15.75" customHeight="1" s="84">
      <c r="A1757" s="80" t="inlineStr">
        <is>
          <t>Timing</t>
        </is>
      </c>
      <c r="B1757" s="103">
        <f>IF(A1753="","",batches!F294)</f>
        <v/>
      </c>
      <c r="C1757" s="101" t="n"/>
      <c r="D1757" s="102" t="n"/>
      <c r="G1757" s="80" t="inlineStr">
        <is>
          <t>Timing</t>
        </is>
      </c>
      <c r="H1757" s="103">
        <f>IF(G1753="","",batches!F295)</f>
        <v/>
      </c>
      <c r="I1757" s="101" t="n"/>
      <c r="J1757" s="102" t="n"/>
    </row>
    <row r="1758" ht="15.75" customHeight="1" s="84">
      <c r="A1758" s="80" t="inlineStr">
        <is>
          <t>Capacity</t>
        </is>
      </c>
      <c r="B1758" s="103">
        <f>IF(A1753="","",batches!G294)</f>
        <v/>
      </c>
      <c r="C1758" s="101" t="n"/>
      <c r="D1758" s="102" t="n"/>
      <c r="G1758" s="80" t="inlineStr">
        <is>
          <t>Capacity</t>
        </is>
      </c>
      <c r="H1758" s="103">
        <f>IF(G1753="","",batches!G295)</f>
        <v/>
      </c>
      <c r="I1758" s="101" t="n"/>
      <c r="J1758" s="102" t="n"/>
    </row>
    <row r="1759" ht="15.75" customHeight="1" s="84">
      <c r="A1759" s="80" t="inlineStr">
        <is>
          <t>Enrolled</t>
        </is>
      </c>
      <c r="B1759" s="103">
        <f>IF(A1753="","",COUNTIF(admissions!$M:$M,batches!A294))</f>
        <v/>
      </c>
      <c r="C1759" s="101" t="n"/>
      <c r="D1759" s="102" t="n"/>
      <c r="G1759" s="80" t="inlineStr">
        <is>
          <t>Enrolled</t>
        </is>
      </c>
      <c r="H1759" s="103">
        <f>IF(G1753="","",COUNTIF(admissions!$M:$M,batches!A295))</f>
        <v/>
      </c>
      <c r="I1759" s="101" t="n"/>
      <c r="J1759" s="102" t="n"/>
    </row>
    <row r="1760" ht="15.75" customHeight="1" s="84">
      <c r="A1760" s="80" t="inlineStr">
        <is>
          <t>Available</t>
        </is>
      </c>
      <c r="B1760" s="103">
        <f>IF(OR(batches!A294="",batches!G294=""),"",batches!G294-COUNTIF(admissions!$M:$M,batches!A294))</f>
        <v/>
      </c>
      <c r="C1760" s="101" t="n"/>
      <c r="D1760" s="102" t="n"/>
      <c r="G1760" s="80" t="inlineStr">
        <is>
          <t>Available</t>
        </is>
      </c>
      <c r="H1760" s="103">
        <f>IF(OR(batches!A295="",batches!G295=""),"",batches!G295-COUNTIF(admissions!$M:$M,batches!A295))</f>
        <v/>
      </c>
      <c r="I1760" s="101" t="n"/>
      <c r="J1760" s="102" t="n"/>
    </row>
    <row r="1761" ht="15.75" customHeight="1" s="84">
      <c r="A1761" s="104" t="inlineStr">
        <is>
          <t>Student List</t>
        </is>
      </c>
      <c r="B1761" s="101" t="n"/>
      <c r="C1761" s="101" t="n"/>
      <c r="D1761" s="102" t="n"/>
      <c r="G1761" s="104" t="inlineStr">
        <is>
          <t>Student List</t>
        </is>
      </c>
      <c r="H1761" s="101" t="n"/>
      <c r="I1761" s="101" t="n"/>
      <c r="J1761" s="102" t="n"/>
    </row>
    <row r="1762" ht="15.75" customHeight="1" s="84">
      <c r="A1762" s="105">
        <f>IFERROR(__xludf.DUMMYFUNCTION("IF(batches!A294="""","""",TEXTJOIN(CHAR(10),TRUE,FILTER(admissions!$G$2:$G$78,admissions!$M$2:$M$78=batches!A294,"""")))"),"")</f>
        <v/>
      </c>
      <c r="B1762" s="101" t="n"/>
      <c r="C1762" s="101" t="n"/>
      <c r="D1762" s="102" t="n"/>
      <c r="G1762" s="105">
        <f>IFERROR(__xludf.DUMMYFUNCTION("IF(batches!A295="""","""",TEXTJOIN(CHAR(10),TRUE,FILTER(admissions!$G$2:$G$78,admissions!$M$2:$M$78=batches!A295,"""")))"),"")</f>
        <v/>
      </c>
      <c r="H1762" s="101" t="n"/>
      <c r="I1762" s="101" t="n"/>
      <c r="J1762" s="102" t="n"/>
    </row>
    <row r="1763" ht="15.75" customHeight="1" s="84"/>
    <row r="1764" ht="15.75" customHeight="1" s="84"/>
    <row r="1765" ht="15.75" customHeight="1" s="84">
      <c r="A1765" s="100">
        <f>IF(batches!A296="","",batches!A296)</f>
        <v/>
      </c>
      <c r="B1765" s="101" t="n"/>
      <c r="C1765" s="101" t="n"/>
      <c r="D1765" s="102" t="n"/>
      <c r="G1765" s="100">
        <f>IF(batches!A297="","",batches!A297)</f>
        <v/>
      </c>
      <c r="H1765" s="101" t="n"/>
      <c r="I1765" s="101" t="n"/>
      <c r="J1765" s="102" t="n"/>
    </row>
    <row r="1766" ht="15.75" customHeight="1" s="84">
      <c r="A1766" s="80" t="inlineStr">
        <is>
          <t>Level / Mode</t>
        </is>
      </c>
      <c r="B1766" s="103">
        <f>IF(A1765="","",batches!B296&amp;" / "&amp;batches!C296)</f>
        <v/>
      </c>
      <c r="C1766" s="101" t="n"/>
      <c r="D1766" s="102" t="n"/>
      <c r="G1766" s="80" t="inlineStr">
        <is>
          <t>Level / Mode</t>
        </is>
      </c>
      <c r="H1766" s="103">
        <f>IF(G1765="","",batches!B297&amp;" / "&amp;batches!C297)</f>
        <v/>
      </c>
      <c r="I1766" s="101" t="n"/>
      <c r="J1766" s="102" t="n"/>
    </row>
    <row r="1767" ht="15.75" customHeight="1" s="84">
      <c r="A1767" s="80" t="inlineStr">
        <is>
          <t>Dates</t>
        </is>
      </c>
      <c r="B1767" s="103">
        <f>IF(A1765="","",TEXT(batches!D296,"yyyy-mm-dd")&amp;" to "&amp;TEXT(batches!E296,"yyyy-mm-dd"))</f>
        <v/>
      </c>
      <c r="C1767" s="101" t="n"/>
      <c r="D1767" s="102" t="n"/>
      <c r="G1767" s="80" t="inlineStr">
        <is>
          <t>Dates</t>
        </is>
      </c>
      <c r="H1767" s="103">
        <f>IF(G1765="","",TEXT(batches!D297,"yyyy-mm-dd")&amp;" to "&amp;TEXT(batches!E297,"yyyy-mm-dd"))</f>
        <v/>
      </c>
      <c r="I1767" s="101" t="n"/>
      <c r="J1767" s="102" t="n"/>
    </row>
    <row r="1768" ht="15.75" customHeight="1" s="84">
      <c r="A1768" s="80" t="inlineStr">
        <is>
          <t>Duration</t>
        </is>
      </c>
      <c r="B1768" s="103">
        <f>IF(OR(batches!D296="",batches!E296=""),"",batches!E296-batches!D296+1&amp;" days")</f>
        <v/>
      </c>
      <c r="C1768" s="101" t="n"/>
      <c r="D1768" s="102" t="n"/>
      <c r="G1768" s="80" t="inlineStr">
        <is>
          <t>Duration</t>
        </is>
      </c>
      <c r="H1768" s="103">
        <f>IF(OR(batches!D297="",batches!E297=""),"",batches!E297-batches!D297+1&amp;" days")</f>
        <v/>
      </c>
      <c r="I1768" s="101" t="n"/>
      <c r="J1768" s="102" t="n"/>
    </row>
    <row r="1769" ht="15.75" customHeight="1" s="84">
      <c r="A1769" s="80" t="inlineStr">
        <is>
          <t>Timing</t>
        </is>
      </c>
      <c r="B1769" s="103">
        <f>IF(A1765="","",batches!F296)</f>
        <v/>
      </c>
      <c r="C1769" s="101" t="n"/>
      <c r="D1769" s="102" t="n"/>
      <c r="G1769" s="80" t="inlineStr">
        <is>
          <t>Timing</t>
        </is>
      </c>
      <c r="H1769" s="103">
        <f>IF(G1765="","",batches!F297)</f>
        <v/>
      </c>
      <c r="I1769" s="101" t="n"/>
      <c r="J1769" s="102" t="n"/>
    </row>
    <row r="1770" ht="15.75" customHeight="1" s="84">
      <c r="A1770" s="80" t="inlineStr">
        <is>
          <t>Capacity</t>
        </is>
      </c>
      <c r="B1770" s="103">
        <f>IF(A1765="","",batches!G296)</f>
        <v/>
      </c>
      <c r="C1770" s="101" t="n"/>
      <c r="D1770" s="102" t="n"/>
      <c r="G1770" s="80" t="inlineStr">
        <is>
          <t>Capacity</t>
        </is>
      </c>
      <c r="H1770" s="103">
        <f>IF(G1765="","",batches!G297)</f>
        <v/>
      </c>
      <c r="I1770" s="101" t="n"/>
      <c r="J1770" s="102" t="n"/>
    </row>
    <row r="1771" ht="15.75" customHeight="1" s="84">
      <c r="A1771" s="80" t="inlineStr">
        <is>
          <t>Enrolled</t>
        </is>
      </c>
      <c r="B1771" s="103">
        <f>IF(A1765="","",COUNTIF(admissions!$M:$M,batches!A296))</f>
        <v/>
      </c>
      <c r="C1771" s="101" t="n"/>
      <c r="D1771" s="102" t="n"/>
      <c r="G1771" s="80" t="inlineStr">
        <is>
          <t>Enrolled</t>
        </is>
      </c>
      <c r="H1771" s="103">
        <f>IF(G1765="","",COUNTIF(admissions!$M:$M,batches!A297))</f>
        <v/>
      </c>
      <c r="I1771" s="101" t="n"/>
      <c r="J1771" s="102" t="n"/>
    </row>
    <row r="1772" ht="15.75" customHeight="1" s="84">
      <c r="A1772" s="80" t="inlineStr">
        <is>
          <t>Available</t>
        </is>
      </c>
      <c r="B1772" s="103">
        <f>IF(OR(batches!A296="",batches!G296=""),"",batches!G296-COUNTIF(admissions!$M:$M,batches!A296))</f>
        <v/>
      </c>
      <c r="C1772" s="101" t="n"/>
      <c r="D1772" s="102" t="n"/>
      <c r="G1772" s="80" t="inlineStr">
        <is>
          <t>Available</t>
        </is>
      </c>
      <c r="H1772" s="103">
        <f>IF(OR(batches!A297="",batches!G297=""),"",batches!G297-COUNTIF(admissions!$M:$M,batches!A297))</f>
        <v/>
      </c>
      <c r="I1772" s="101" t="n"/>
      <c r="J1772" s="102" t="n"/>
    </row>
    <row r="1773" ht="15.75" customHeight="1" s="84">
      <c r="A1773" s="104" t="inlineStr">
        <is>
          <t>Student List</t>
        </is>
      </c>
      <c r="B1773" s="101" t="n"/>
      <c r="C1773" s="101" t="n"/>
      <c r="D1773" s="102" t="n"/>
      <c r="G1773" s="104" t="inlineStr">
        <is>
          <t>Student List</t>
        </is>
      </c>
      <c r="H1773" s="101" t="n"/>
      <c r="I1773" s="101" t="n"/>
      <c r="J1773" s="102" t="n"/>
    </row>
    <row r="1774" ht="15.75" customHeight="1" s="84">
      <c r="A1774" s="105">
        <f>IFERROR(__xludf.DUMMYFUNCTION("IF(batches!A296="""","""",TEXTJOIN(CHAR(10),TRUE,FILTER(admissions!$G$2:$G$78,admissions!$M$2:$M$78=batches!A296,"""")))"),"")</f>
        <v/>
      </c>
      <c r="B1774" s="101" t="n"/>
      <c r="C1774" s="101" t="n"/>
      <c r="D1774" s="102" t="n"/>
      <c r="G1774" s="105">
        <f>IFERROR(__xludf.DUMMYFUNCTION("IF(batches!A297="""","""",TEXTJOIN(CHAR(10),TRUE,FILTER(admissions!$G$2:$G$78,admissions!$M$2:$M$78=batches!A297,"""")))"),"")</f>
        <v/>
      </c>
      <c r="H1774" s="101" t="n"/>
      <c r="I1774" s="101" t="n"/>
      <c r="J1774" s="102" t="n"/>
    </row>
    <row r="1775" ht="15.75" customHeight="1" s="84"/>
    <row r="1776" ht="15.75" customHeight="1" s="84"/>
    <row r="1777" ht="15.75" customHeight="1" s="84">
      <c r="A1777" s="100">
        <f>IF(batches!A298="","",batches!A298)</f>
        <v/>
      </c>
      <c r="B1777" s="101" t="n"/>
      <c r="C1777" s="101" t="n"/>
      <c r="D1777" s="102" t="n"/>
      <c r="G1777" s="100">
        <f>IF(batches!A299="","",batches!A299)</f>
        <v/>
      </c>
      <c r="H1777" s="101" t="n"/>
      <c r="I1777" s="101" t="n"/>
      <c r="J1777" s="102" t="n"/>
    </row>
    <row r="1778" ht="15.75" customHeight="1" s="84">
      <c r="A1778" s="80" t="inlineStr">
        <is>
          <t>Level / Mode</t>
        </is>
      </c>
      <c r="B1778" s="103">
        <f>IF(A1777="","",batches!B298&amp;" / "&amp;batches!C298)</f>
        <v/>
      </c>
      <c r="C1778" s="101" t="n"/>
      <c r="D1778" s="102" t="n"/>
      <c r="G1778" s="80" t="inlineStr">
        <is>
          <t>Level / Mode</t>
        </is>
      </c>
      <c r="H1778" s="103">
        <f>IF(G1777="","",batches!B299&amp;" / "&amp;batches!C299)</f>
        <v/>
      </c>
      <c r="I1778" s="101" t="n"/>
      <c r="J1778" s="102" t="n"/>
    </row>
    <row r="1779" ht="15.75" customHeight="1" s="84">
      <c r="A1779" s="80" t="inlineStr">
        <is>
          <t>Dates</t>
        </is>
      </c>
      <c r="B1779" s="103">
        <f>IF(A1777="","",TEXT(batches!D298,"yyyy-mm-dd")&amp;" to "&amp;TEXT(batches!E298,"yyyy-mm-dd"))</f>
        <v/>
      </c>
      <c r="C1779" s="101" t="n"/>
      <c r="D1779" s="102" t="n"/>
      <c r="G1779" s="80" t="inlineStr">
        <is>
          <t>Dates</t>
        </is>
      </c>
      <c r="H1779" s="103">
        <f>IF(G1777="","",TEXT(batches!D299,"yyyy-mm-dd")&amp;" to "&amp;TEXT(batches!E299,"yyyy-mm-dd"))</f>
        <v/>
      </c>
      <c r="I1779" s="101" t="n"/>
      <c r="J1779" s="102" t="n"/>
    </row>
    <row r="1780" ht="15.75" customHeight="1" s="84">
      <c r="A1780" s="80" t="inlineStr">
        <is>
          <t>Duration</t>
        </is>
      </c>
      <c r="B1780" s="103">
        <f>IF(OR(batches!D298="",batches!E298=""),"",batches!E298-batches!D298+1&amp;" days")</f>
        <v/>
      </c>
      <c r="C1780" s="101" t="n"/>
      <c r="D1780" s="102" t="n"/>
      <c r="G1780" s="80" t="inlineStr">
        <is>
          <t>Duration</t>
        </is>
      </c>
      <c r="H1780" s="103">
        <f>IF(OR(batches!D299="",batches!E299=""),"",batches!E299-batches!D299+1&amp;" days")</f>
        <v/>
      </c>
      <c r="I1780" s="101" t="n"/>
      <c r="J1780" s="102" t="n"/>
    </row>
    <row r="1781" ht="15.75" customHeight="1" s="84">
      <c r="A1781" s="80" t="inlineStr">
        <is>
          <t>Timing</t>
        </is>
      </c>
      <c r="B1781" s="103">
        <f>IF(A1777="","",batches!F298)</f>
        <v/>
      </c>
      <c r="C1781" s="101" t="n"/>
      <c r="D1781" s="102" t="n"/>
      <c r="G1781" s="80" t="inlineStr">
        <is>
          <t>Timing</t>
        </is>
      </c>
      <c r="H1781" s="103">
        <f>IF(G1777="","",batches!F299)</f>
        <v/>
      </c>
      <c r="I1781" s="101" t="n"/>
      <c r="J1781" s="102" t="n"/>
    </row>
    <row r="1782" ht="15.75" customHeight="1" s="84">
      <c r="A1782" s="80" t="inlineStr">
        <is>
          <t>Capacity</t>
        </is>
      </c>
      <c r="B1782" s="103">
        <f>IF(A1777="","",batches!G298)</f>
        <v/>
      </c>
      <c r="C1782" s="101" t="n"/>
      <c r="D1782" s="102" t="n"/>
      <c r="G1782" s="80" t="inlineStr">
        <is>
          <t>Capacity</t>
        </is>
      </c>
      <c r="H1782" s="103">
        <f>IF(G1777="","",batches!G299)</f>
        <v/>
      </c>
      <c r="I1782" s="101" t="n"/>
      <c r="J1782" s="102" t="n"/>
    </row>
    <row r="1783" ht="15.75" customHeight="1" s="84">
      <c r="A1783" s="80" t="inlineStr">
        <is>
          <t>Enrolled</t>
        </is>
      </c>
      <c r="B1783" s="103">
        <f>IF(A1777="","",COUNTIF(admissions!$M:$M,batches!A298))</f>
        <v/>
      </c>
      <c r="C1783" s="101" t="n"/>
      <c r="D1783" s="102" t="n"/>
      <c r="G1783" s="80" t="inlineStr">
        <is>
          <t>Enrolled</t>
        </is>
      </c>
      <c r="H1783" s="103">
        <f>IF(G1777="","",COUNTIF(admissions!$M:$M,batches!A299))</f>
        <v/>
      </c>
      <c r="I1783" s="101" t="n"/>
      <c r="J1783" s="102" t="n"/>
    </row>
    <row r="1784" ht="15.75" customHeight="1" s="84">
      <c r="A1784" s="80" t="inlineStr">
        <is>
          <t>Available</t>
        </is>
      </c>
      <c r="B1784" s="103">
        <f>IF(OR(batches!A298="",batches!G298=""),"",batches!G298-COUNTIF(admissions!$M:$M,batches!A298))</f>
        <v/>
      </c>
      <c r="C1784" s="101" t="n"/>
      <c r="D1784" s="102" t="n"/>
      <c r="G1784" s="80" t="inlineStr">
        <is>
          <t>Available</t>
        </is>
      </c>
      <c r="H1784" s="103">
        <f>IF(OR(batches!A299="",batches!G299=""),"",batches!G299-COUNTIF(admissions!$M:$M,batches!A299))</f>
        <v/>
      </c>
      <c r="I1784" s="101" t="n"/>
      <c r="J1784" s="102" t="n"/>
    </row>
    <row r="1785" ht="15.75" customHeight="1" s="84">
      <c r="A1785" s="104" t="inlineStr">
        <is>
          <t>Student List</t>
        </is>
      </c>
      <c r="B1785" s="101" t="n"/>
      <c r="C1785" s="101" t="n"/>
      <c r="D1785" s="102" t="n"/>
      <c r="G1785" s="104" t="inlineStr">
        <is>
          <t>Student List</t>
        </is>
      </c>
      <c r="H1785" s="101" t="n"/>
      <c r="I1785" s="101" t="n"/>
      <c r="J1785" s="102" t="n"/>
    </row>
    <row r="1786" ht="15.75" customHeight="1" s="84">
      <c r="A1786" s="105">
        <f>IFERROR(__xludf.DUMMYFUNCTION("IF(batches!A298="""","""",TEXTJOIN(CHAR(10),TRUE,FILTER(admissions!$G$2:$G$78,admissions!$M$2:$M$78=batches!A298,"""")))"),"")</f>
        <v/>
      </c>
      <c r="B1786" s="101" t="n"/>
      <c r="C1786" s="101" t="n"/>
      <c r="D1786" s="102" t="n"/>
      <c r="G1786" s="105">
        <f>IFERROR(__xludf.DUMMYFUNCTION("IF(batches!A299="""","""",TEXTJOIN(CHAR(10),TRUE,FILTER(admissions!$G$2:$G$78,admissions!$M$2:$M$78=batches!A299,"""")))"),"")</f>
        <v/>
      </c>
      <c r="H1786" s="101" t="n"/>
      <c r="I1786" s="101" t="n"/>
      <c r="J1786" s="102" t="n"/>
    </row>
    <row r="1787" ht="15.75" customHeight="1" s="84"/>
    <row r="1788" ht="15.75" customHeight="1" s="84"/>
    <row r="1789" ht="15.75" customHeight="1" s="84">
      <c r="A1789" s="100">
        <f>IF(batches!A300="","",batches!A300)</f>
        <v/>
      </c>
      <c r="B1789" s="101" t="n"/>
      <c r="C1789" s="101" t="n"/>
      <c r="D1789" s="102" t="n"/>
      <c r="G1789" s="100">
        <f>IF(batches!A301="","",batches!A301)</f>
        <v/>
      </c>
      <c r="H1789" s="101" t="n"/>
      <c r="I1789" s="101" t="n"/>
      <c r="J1789" s="102" t="n"/>
    </row>
    <row r="1790" ht="15.75" customHeight="1" s="84">
      <c r="A1790" s="80" t="inlineStr">
        <is>
          <t>Level / Mode</t>
        </is>
      </c>
      <c r="B1790" s="103">
        <f>IF(A1789="","",batches!B300&amp;" / "&amp;batches!C300)</f>
        <v/>
      </c>
      <c r="C1790" s="101" t="n"/>
      <c r="D1790" s="102" t="n"/>
      <c r="G1790" s="80" t="inlineStr">
        <is>
          <t>Level / Mode</t>
        </is>
      </c>
      <c r="H1790" s="103">
        <f>IF(G1789="","",batches!B301&amp;" / "&amp;batches!C301)</f>
        <v/>
      </c>
      <c r="I1790" s="101" t="n"/>
      <c r="J1790" s="102" t="n"/>
    </row>
    <row r="1791" ht="15.75" customHeight="1" s="84">
      <c r="A1791" s="80" t="inlineStr">
        <is>
          <t>Dates</t>
        </is>
      </c>
      <c r="B1791" s="103">
        <f>IF(A1789="","",TEXT(batches!D300,"yyyy-mm-dd")&amp;" to "&amp;TEXT(batches!E300,"yyyy-mm-dd"))</f>
        <v/>
      </c>
      <c r="C1791" s="101" t="n"/>
      <c r="D1791" s="102" t="n"/>
      <c r="G1791" s="80" t="inlineStr">
        <is>
          <t>Dates</t>
        </is>
      </c>
      <c r="H1791" s="103">
        <f>IF(G1789="","",TEXT(batches!D301,"yyyy-mm-dd")&amp;" to "&amp;TEXT(batches!E301,"yyyy-mm-dd"))</f>
        <v/>
      </c>
      <c r="I1791" s="101" t="n"/>
      <c r="J1791" s="102" t="n"/>
    </row>
    <row r="1792" ht="15.75" customHeight="1" s="84">
      <c r="A1792" s="80" t="inlineStr">
        <is>
          <t>Duration</t>
        </is>
      </c>
      <c r="B1792" s="103">
        <f>IF(OR(batches!D300="",batches!E300=""),"",batches!E300-batches!D300+1&amp;" days")</f>
        <v/>
      </c>
      <c r="C1792" s="101" t="n"/>
      <c r="D1792" s="102" t="n"/>
      <c r="G1792" s="80" t="inlineStr">
        <is>
          <t>Duration</t>
        </is>
      </c>
      <c r="H1792" s="103">
        <f>IF(OR(batches!D301="",batches!E301=""),"",batches!E301-batches!D301+1&amp;" days")</f>
        <v/>
      </c>
      <c r="I1792" s="101" t="n"/>
      <c r="J1792" s="102" t="n"/>
    </row>
    <row r="1793" ht="15.75" customHeight="1" s="84">
      <c r="A1793" s="80" t="inlineStr">
        <is>
          <t>Timing</t>
        </is>
      </c>
      <c r="B1793" s="103">
        <f>IF(A1789="","",batches!F300)</f>
        <v/>
      </c>
      <c r="C1793" s="101" t="n"/>
      <c r="D1793" s="102" t="n"/>
      <c r="G1793" s="80" t="inlineStr">
        <is>
          <t>Timing</t>
        </is>
      </c>
      <c r="H1793" s="103">
        <f>IF(G1789="","",batches!F301)</f>
        <v/>
      </c>
      <c r="I1793" s="101" t="n"/>
      <c r="J1793" s="102" t="n"/>
    </row>
    <row r="1794" ht="15.75" customHeight="1" s="84">
      <c r="A1794" s="80" t="inlineStr">
        <is>
          <t>Capacity</t>
        </is>
      </c>
      <c r="B1794" s="103">
        <f>IF(A1789="","",batches!G300)</f>
        <v/>
      </c>
      <c r="C1794" s="101" t="n"/>
      <c r="D1794" s="102" t="n"/>
      <c r="G1794" s="80" t="inlineStr">
        <is>
          <t>Capacity</t>
        </is>
      </c>
      <c r="H1794" s="103">
        <f>IF(G1789="","",batches!G301)</f>
        <v/>
      </c>
      <c r="I1794" s="101" t="n"/>
      <c r="J1794" s="102" t="n"/>
    </row>
    <row r="1795" ht="15.75" customHeight="1" s="84">
      <c r="A1795" s="80" t="inlineStr">
        <is>
          <t>Enrolled</t>
        </is>
      </c>
      <c r="B1795" s="103">
        <f>IF(A1789="","",COUNTIF(admissions!$M:$M,batches!A300))</f>
        <v/>
      </c>
      <c r="C1795" s="101" t="n"/>
      <c r="D1795" s="102" t="n"/>
      <c r="G1795" s="80" t="inlineStr">
        <is>
          <t>Enrolled</t>
        </is>
      </c>
      <c r="H1795" s="103">
        <f>IF(G1789="","",COUNTIF(admissions!$M:$M,batches!A301))</f>
        <v/>
      </c>
      <c r="I1795" s="101" t="n"/>
      <c r="J1795" s="102" t="n"/>
    </row>
    <row r="1796" ht="15.75" customHeight="1" s="84">
      <c r="A1796" s="80" t="inlineStr">
        <is>
          <t>Available</t>
        </is>
      </c>
      <c r="B1796" s="103">
        <f>IF(OR(batches!A300="",batches!G300=""),"",batches!G300-COUNTIF(admissions!$M:$M,batches!A300))</f>
        <v/>
      </c>
      <c r="C1796" s="101" t="n"/>
      <c r="D1796" s="102" t="n"/>
      <c r="G1796" s="80" t="inlineStr">
        <is>
          <t>Available</t>
        </is>
      </c>
      <c r="H1796" s="103">
        <f>IF(OR(batches!A301="",batches!G301=""),"",batches!G301-COUNTIF(admissions!$M:$M,batches!A301))</f>
        <v/>
      </c>
      <c r="I1796" s="101" t="n"/>
      <c r="J1796" s="102" t="n"/>
    </row>
    <row r="1797" ht="15.75" customHeight="1" s="84">
      <c r="A1797" s="104" t="inlineStr">
        <is>
          <t>Student List</t>
        </is>
      </c>
      <c r="B1797" s="101" t="n"/>
      <c r="C1797" s="101" t="n"/>
      <c r="D1797" s="102" t="n"/>
      <c r="G1797" s="104" t="inlineStr">
        <is>
          <t>Student List</t>
        </is>
      </c>
      <c r="H1797" s="101" t="n"/>
      <c r="I1797" s="101" t="n"/>
      <c r="J1797" s="102" t="n"/>
    </row>
    <row r="1798" ht="15.75" customHeight="1" s="84">
      <c r="A1798" s="105">
        <f>IFERROR(__xludf.DUMMYFUNCTION("IF(batches!A300="""","""",TEXTJOIN(CHAR(10),TRUE,FILTER(admissions!$G$2:$G$78,admissions!$M$2:$M$78=batches!A300,"""")))"),"")</f>
        <v/>
      </c>
      <c r="B1798" s="101" t="n"/>
      <c r="C1798" s="101" t="n"/>
      <c r="D1798" s="102" t="n"/>
      <c r="G1798" s="105">
        <f>IFERROR(__xludf.DUMMYFUNCTION("IF(batches!A301="""","""",TEXTJOIN(CHAR(10),TRUE,FILTER(admissions!$G$2:$G$78,admissions!$M$2:$M$78=batches!A301,"""")))"),"")</f>
        <v/>
      </c>
      <c r="H1798" s="101" t="n"/>
      <c r="I1798" s="101" t="n"/>
      <c r="J1798" s="102" t="n"/>
    </row>
    <row r="1799" ht="15.75" customHeight="1" s="84"/>
    <row r="1800" ht="15.75" customHeight="1" s="84"/>
    <row r="1801" ht="15.75" customHeight="1" s="84">
      <c r="A1801" s="100">
        <f>IF(batches!A302="","",batches!A302)</f>
        <v/>
      </c>
      <c r="B1801" s="101" t="n"/>
      <c r="C1801" s="101" t="n"/>
      <c r="D1801" s="102" t="n"/>
      <c r="G1801" s="100">
        <f>IF(batches!A303="","",batches!A303)</f>
        <v/>
      </c>
      <c r="H1801" s="101" t="n"/>
      <c r="I1801" s="101" t="n"/>
      <c r="J1801" s="102" t="n"/>
    </row>
    <row r="1802" ht="15.75" customHeight="1" s="84">
      <c r="A1802" s="80" t="inlineStr">
        <is>
          <t>Level / Mode</t>
        </is>
      </c>
      <c r="B1802" s="103">
        <f>IF(A1801="","",batches!B302&amp;" / "&amp;batches!C302)</f>
        <v/>
      </c>
      <c r="C1802" s="101" t="n"/>
      <c r="D1802" s="102" t="n"/>
      <c r="G1802" s="80" t="inlineStr">
        <is>
          <t>Level / Mode</t>
        </is>
      </c>
      <c r="H1802" s="103">
        <f>IF(G1801="","",batches!B303&amp;" / "&amp;batches!C303)</f>
        <v/>
      </c>
      <c r="I1802" s="101" t="n"/>
      <c r="J1802" s="102" t="n"/>
    </row>
    <row r="1803" ht="15.75" customHeight="1" s="84">
      <c r="A1803" s="80" t="inlineStr">
        <is>
          <t>Dates</t>
        </is>
      </c>
      <c r="B1803" s="103">
        <f>IF(A1801="","",TEXT(batches!D302,"yyyy-mm-dd")&amp;" to "&amp;TEXT(batches!E302,"yyyy-mm-dd"))</f>
        <v/>
      </c>
      <c r="C1803" s="101" t="n"/>
      <c r="D1803" s="102" t="n"/>
      <c r="G1803" s="80" t="inlineStr">
        <is>
          <t>Dates</t>
        </is>
      </c>
      <c r="H1803" s="103">
        <f>IF(G1801="","",TEXT(batches!D303,"yyyy-mm-dd")&amp;" to "&amp;TEXT(batches!E303,"yyyy-mm-dd"))</f>
        <v/>
      </c>
      <c r="I1803" s="101" t="n"/>
      <c r="J1803" s="102" t="n"/>
    </row>
    <row r="1804" ht="15.75" customHeight="1" s="84">
      <c r="A1804" s="80" t="inlineStr">
        <is>
          <t>Duration</t>
        </is>
      </c>
      <c r="B1804" s="103">
        <f>IF(OR(batches!D302="",batches!E302=""),"",batches!E302-batches!D302+1&amp;" days")</f>
        <v/>
      </c>
      <c r="C1804" s="101" t="n"/>
      <c r="D1804" s="102" t="n"/>
      <c r="G1804" s="80" t="inlineStr">
        <is>
          <t>Duration</t>
        </is>
      </c>
      <c r="H1804" s="103">
        <f>IF(OR(batches!D303="",batches!E303=""),"",batches!E303-batches!D303+1&amp;" days")</f>
        <v/>
      </c>
      <c r="I1804" s="101" t="n"/>
      <c r="J1804" s="102" t="n"/>
    </row>
    <row r="1805" ht="15.75" customHeight="1" s="84">
      <c r="A1805" s="80" t="inlineStr">
        <is>
          <t>Timing</t>
        </is>
      </c>
      <c r="B1805" s="103">
        <f>IF(A1801="","",batches!F302)</f>
        <v/>
      </c>
      <c r="C1805" s="101" t="n"/>
      <c r="D1805" s="102" t="n"/>
      <c r="G1805" s="80" t="inlineStr">
        <is>
          <t>Timing</t>
        </is>
      </c>
      <c r="H1805" s="103">
        <f>IF(G1801="","",batches!F303)</f>
        <v/>
      </c>
      <c r="I1805" s="101" t="n"/>
      <c r="J1805" s="102" t="n"/>
    </row>
    <row r="1806" ht="15.75" customHeight="1" s="84">
      <c r="A1806" s="80" t="inlineStr">
        <is>
          <t>Capacity</t>
        </is>
      </c>
      <c r="B1806" s="103">
        <f>IF(A1801="","",batches!G302)</f>
        <v/>
      </c>
      <c r="C1806" s="101" t="n"/>
      <c r="D1806" s="102" t="n"/>
      <c r="G1806" s="80" t="inlineStr">
        <is>
          <t>Capacity</t>
        </is>
      </c>
      <c r="H1806" s="103">
        <f>IF(G1801="","",batches!G303)</f>
        <v/>
      </c>
      <c r="I1806" s="101" t="n"/>
      <c r="J1806" s="102" t="n"/>
    </row>
    <row r="1807" ht="15.75" customHeight="1" s="84">
      <c r="A1807" s="80" t="inlineStr">
        <is>
          <t>Enrolled</t>
        </is>
      </c>
      <c r="B1807" s="103">
        <f>IF(A1801="","",COUNTIF(admissions!$M:$M,batches!A302))</f>
        <v/>
      </c>
      <c r="C1807" s="101" t="n"/>
      <c r="D1807" s="102" t="n"/>
      <c r="G1807" s="80" t="inlineStr">
        <is>
          <t>Enrolled</t>
        </is>
      </c>
      <c r="H1807" s="103">
        <f>IF(G1801="","",COUNTIF(admissions!$M:$M,batches!A303))</f>
        <v/>
      </c>
      <c r="I1807" s="101" t="n"/>
      <c r="J1807" s="102" t="n"/>
    </row>
    <row r="1808" ht="15.75" customHeight="1" s="84">
      <c r="A1808" s="80" t="inlineStr">
        <is>
          <t>Available</t>
        </is>
      </c>
      <c r="B1808" s="103">
        <f>IF(OR(batches!A302="",batches!G302=""),"",batches!G302-COUNTIF(admissions!$M:$M,batches!A302))</f>
        <v/>
      </c>
      <c r="C1808" s="101" t="n"/>
      <c r="D1808" s="102" t="n"/>
      <c r="G1808" s="80" t="inlineStr">
        <is>
          <t>Available</t>
        </is>
      </c>
      <c r="H1808" s="103">
        <f>IF(OR(batches!A303="",batches!G303=""),"",batches!G303-COUNTIF(admissions!$M:$M,batches!A303))</f>
        <v/>
      </c>
      <c r="I1808" s="101" t="n"/>
      <c r="J1808" s="102" t="n"/>
    </row>
    <row r="1809" ht="15.75" customHeight="1" s="84">
      <c r="A1809" s="104" t="inlineStr">
        <is>
          <t>Student List</t>
        </is>
      </c>
      <c r="B1809" s="101" t="n"/>
      <c r="C1809" s="101" t="n"/>
      <c r="D1809" s="102" t="n"/>
      <c r="G1809" s="104" t="inlineStr">
        <is>
          <t>Student List</t>
        </is>
      </c>
      <c r="H1809" s="101" t="n"/>
      <c r="I1809" s="101" t="n"/>
      <c r="J1809" s="102" t="n"/>
    </row>
    <row r="1810" ht="15.75" customHeight="1" s="84">
      <c r="A1810" s="105">
        <f>IFERROR(__xludf.DUMMYFUNCTION("IF(batches!A302="""","""",TEXTJOIN(CHAR(10),TRUE,FILTER(admissions!$G$2:$G$78,admissions!$M$2:$M$78=batches!A302,"""")))"),"")</f>
        <v/>
      </c>
      <c r="B1810" s="101" t="n"/>
      <c r="C1810" s="101" t="n"/>
      <c r="D1810" s="102" t="n"/>
      <c r="G1810" s="105">
        <f>IFERROR(__xludf.DUMMYFUNCTION("IF(batches!A303="""","""",TEXTJOIN(CHAR(10),TRUE,FILTER(admissions!$G$2:$G$78,admissions!$M$2:$M$78=batches!A303,"""")))"),"")</f>
        <v/>
      </c>
      <c r="H1810" s="101" t="n"/>
      <c r="I1810" s="101" t="n"/>
      <c r="J1810" s="102" t="n"/>
    </row>
    <row r="1811" ht="15.75" customHeight="1" s="84"/>
    <row r="1812" ht="15.75" customHeight="1" s="84"/>
    <row r="1813" ht="15.75" customHeight="1" s="84">
      <c r="A1813" s="100">
        <f>IF(batches!A304="","",batches!A304)</f>
        <v/>
      </c>
      <c r="B1813" s="101" t="n"/>
      <c r="C1813" s="101" t="n"/>
      <c r="D1813" s="102" t="n"/>
      <c r="G1813" s="100">
        <f>IF(batches!A305="","",batches!A305)</f>
        <v/>
      </c>
      <c r="H1813" s="101" t="n"/>
      <c r="I1813" s="101" t="n"/>
      <c r="J1813" s="102" t="n"/>
    </row>
    <row r="1814" ht="15.75" customHeight="1" s="84">
      <c r="A1814" s="80" t="inlineStr">
        <is>
          <t>Level / Mode</t>
        </is>
      </c>
      <c r="B1814" s="103">
        <f>IF(A1813="","",batches!B304&amp;" / "&amp;batches!C304)</f>
        <v/>
      </c>
      <c r="C1814" s="101" t="n"/>
      <c r="D1814" s="102" t="n"/>
      <c r="G1814" s="80" t="inlineStr">
        <is>
          <t>Level / Mode</t>
        </is>
      </c>
      <c r="H1814" s="103">
        <f>IF(G1813="","",batches!B305&amp;" / "&amp;batches!C305)</f>
        <v/>
      </c>
      <c r="I1814" s="101" t="n"/>
      <c r="J1814" s="102" t="n"/>
    </row>
    <row r="1815" ht="15.75" customHeight="1" s="84">
      <c r="A1815" s="80" t="inlineStr">
        <is>
          <t>Dates</t>
        </is>
      </c>
      <c r="B1815" s="103">
        <f>IF(A1813="","",TEXT(batches!D304,"yyyy-mm-dd")&amp;" to "&amp;TEXT(batches!E304,"yyyy-mm-dd"))</f>
        <v/>
      </c>
      <c r="C1815" s="101" t="n"/>
      <c r="D1815" s="102" t="n"/>
      <c r="G1815" s="80" t="inlineStr">
        <is>
          <t>Dates</t>
        </is>
      </c>
      <c r="H1815" s="103">
        <f>IF(G1813="","",TEXT(batches!D305,"yyyy-mm-dd")&amp;" to "&amp;TEXT(batches!E305,"yyyy-mm-dd"))</f>
        <v/>
      </c>
      <c r="I1815" s="101" t="n"/>
      <c r="J1815" s="102" t="n"/>
    </row>
    <row r="1816" ht="15.75" customHeight="1" s="84">
      <c r="A1816" s="80" t="inlineStr">
        <is>
          <t>Duration</t>
        </is>
      </c>
      <c r="B1816" s="103">
        <f>IF(OR(batches!D304="",batches!E304=""),"",batches!E304-batches!D304+1&amp;" days")</f>
        <v/>
      </c>
      <c r="C1816" s="101" t="n"/>
      <c r="D1816" s="102" t="n"/>
      <c r="G1816" s="80" t="inlineStr">
        <is>
          <t>Duration</t>
        </is>
      </c>
      <c r="H1816" s="103">
        <f>IF(OR(batches!D305="",batches!E305=""),"",batches!E305-batches!D305+1&amp;" days")</f>
        <v/>
      </c>
      <c r="I1816" s="101" t="n"/>
      <c r="J1816" s="102" t="n"/>
    </row>
    <row r="1817" ht="15.75" customHeight="1" s="84">
      <c r="A1817" s="80" t="inlineStr">
        <is>
          <t>Timing</t>
        </is>
      </c>
      <c r="B1817" s="103">
        <f>IF(A1813="","",batches!F304)</f>
        <v/>
      </c>
      <c r="C1817" s="101" t="n"/>
      <c r="D1817" s="102" t="n"/>
      <c r="G1817" s="80" t="inlineStr">
        <is>
          <t>Timing</t>
        </is>
      </c>
      <c r="H1817" s="103">
        <f>IF(G1813="","",batches!F305)</f>
        <v/>
      </c>
      <c r="I1817" s="101" t="n"/>
      <c r="J1817" s="102" t="n"/>
    </row>
    <row r="1818" ht="15.75" customHeight="1" s="84">
      <c r="A1818" s="80" t="inlineStr">
        <is>
          <t>Capacity</t>
        </is>
      </c>
      <c r="B1818" s="103">
        <f>IF(A1813="","",batches!G304)</f>
        <v/>
      </c>
      <c r="C1818" s="101" t="n"/>
      <c r="D1818" s="102" t="n"/>
      <c r="G1818" s="80" t="inlineStr">
        <is>
          <t>Capacity</t>
        </is>
      </c>
      <c r="H1818" s="103">
        <f>IF(G1813="","",batches!G305)</f>
        <v/>
      </c>
      <c r="I1818" s="101" t="n"/>
      <c r="J1818" s="102" t="n"/>
    </row>
    <row r="1819" ht="15.75" customHeight="1" s="84">
      <c r="A1819" s="80" t="inlineStr">
        <is>
          <t>Enrolled</t>
        </is>
      </c>
      <c r="B1819" s="103">
        <f>IF(A1813="","",COUNTIF(admissions!$M:$M,batches!A304))</f>
        <v/>
      </c>
      <c r="C1819" s="101" t="n"/>
      <c r="D1819" s="102" t="n"/>
      <c r="G1819" s="80" t="inlineStr">
        <is>
          <t>Enrolled</t>
        </is>
      </c>
      <c r="H1819" s="103">
        <f>IF(G1813="","",COUNTIF(admissions!$M:$M,batches!A305))</f>
        <v/>
      </c>
      <c r="I1819" s="101" t="n"/>
      <c r="J1819" s="102" t="n"/>
    </row>
    <row r="1820" ht="15.75" customHeight="1" s="84">
      <c r="A1820" s="80" t="inlineStr">
        <is>
          <t>Available</t>
        </is>
      </c>
      <c r="B1820" s="103">
        <f>IF(OR(batches!A304="",batches!G304=""),"",batches!G304-COUNTIF(admissions!$M:$M,batches!A304))</f>
        <v/>
      </c>
      <c r="C1820" s="101" t="n"/>
      <c r="D1820" s="102" t="n"/>
      <c r="G1820" s="80" t="inlineStr">
        <is>
          <t>Available</t>
        </is>
      </c>
      <c r="H1820" s="103">
        <f>IF(OR(batches!A305="",batches!G305=""),"",batches!G305-COUNTIF(admissions!$M:$M,batches!A305))</f>
        <v/>
      </c>
      <c r="I1820" s="101" t="n"/>
      <c r="J1820" s="102" t="n"/>
    </row>
    <row r="1821" ht="15.75" customHeight="1" s="84">
      <c r="A1821" s="104" t="inlineStr">
        <is>
          <t>Student List</t>
        </is>
      </c>
      <c r="B1821" s="101" t="n"/>
      <c r="C1821" s="101" t="n"/>
      <c r="D1821" s="102" t="n"/>
      <c r="G1821" s="104" t="inlineStr">
        <is>
          <t>Student List</t>
        </is>
      </c>
      <c r="H1821" s="101" t="n"/>
      <c r="I1821" s="101" t="n"/>
      <c r="J1821" s="102" t="n"/>
    </row>
    <row r="1822" ht="15.75" customHeight="1" s="84">
      <c r="A1822" s="105">
        <f>IFERROR(__xludf.DUMMYFUNCTION("IF(batches!A304="""","""",TEXTJOIN(CHAR(10),TRUE,FILTER(admissions!$G$2:$G$78,admissions!$M$2:$M$78=batches!A304,"""")))"),"")</f>
        <v/>
      </c>
      <c r="B1822" s="101" t="n"/>
      <c r="C1822" s="101" t="n"/>
      <c r="D1822" s="102" t="n"/>
      <c r="G1822" s="105">
        <f>IFERROR(__xludf.DUMMYFUNCTION("IF(batches!A305="""","""",TEXTJOIN(CHAR(10),TRUE,FILTER(admissions!$G$2:$G$78,admissions!$M$2:$M$78=batches!A305,"""")))"),"")</f>
        <v/>
      </c>
      <c r="H1822" s="101" t="n"/>
      <c r="I1822" s="101" t="n"/>
      <c r="J1822" s="102" t="n"/>
    </row>
    <row r="1823" ht="15.75" customHeight="1" s="84"/>
    <row r="1824" ht="15.75" customHeight="1" s="84"/>
    <row r="1825" ht="15.75" customHeight="1" s="84">
      <c r="A1825" s="100">
        <f>IF(batches!A306="","",batches!A306)</f>
        <v/>
      </c>
      <c r="B1825" s="101" t="n"/>
      <c r="C1825" s="101" t="n"/>
      <c r="D1825" s="102" t="n"/>
      <c r="G1825" s="100">
        <f>IF(batches!A307="","",batches!A307)</f>
        <v/>
      </c>
      <c r="H1825" s="101" t="n"/>
      <c r="I1825" s="101" t="n"/>
      <c r="J1825" s="102" t="n"/>
    </row>
    <row r="1826" ht="15.75" customHeight="1" s="84">
      <c r="A1826" s="80" t="inlineStr">
        <is>
          <t>Level / Mode</t>
        </is>
      </c>
      <c r="B1826" s="103">
        <f>IF(A1825="","",batches!B306&amp;" / "&amp;batches!C306)</f>
        <v/>
      </c>
      <c r="C1826" s="101" t="n"/>
      <c r="D1826" s="102" t="n"/>
      <c r="G1826" s="80" t="inlineStr">
        <is>
          <t>Level / Mode</t>
        </is>
      </c>
      <c r="H1826" s="103">
        <f>IF(G1825="","",batches!B307&amp;" / "&amp;batches!C307)</f>
        <v/>
      </c>
      <c r="I1826" s="101" t="n"/>
      <c r="J1826" s="102" t="n"/>
    </row>
    <row r="1827" ht="15.75" customHeight="1" s="84">
      <c r="A1827" s="80" t="inlineStr">
        <is>
          <t>Dates</t>
        </is>
      </c>
      <c r="B1827" s="103">
        <f>IF(A1825="","",TEXT(batches!D306,"yyyy-mm-dd")&amp;" to "&amp;TEXT(batches!E306,"yyyy-mm-dd"))</f>
        <v/>
      </c>
      <c r="C1827" s="101" t="n"/>
      <c r="D1827" s="102" t="n"/>
      <c r="G1827" s="80" t="inlineStr">
        <is>
          <t>Dates</t>
        </is>
      </c>
      <c r="H1827" s="103">
        <f>IF(G1825="","",TEXT(batches!D307,"yyyy-mm-dd")&amp;" to "&amp;TEXT(batches!E307,"yyyy-mm-dd"))</f>
        <v/>
      </c>
      <c r="I1827" s="101" t="n"/>
      <c r="J1827" s="102" t="n"/>
    </row>
    <row r="1828" ht="15.75" customHeight="1" s="84">
      <c r="A1828" s="80" t="inlineStr">
        <is>
          <t>Duration</t>
        </is>
      </c>
      <c r="B1828" s="103">
        <f>IF(OR(batches!D306="",batches!E306=""),"",batches!E306-batches!D306+1&amp;" days")</f>
        <v/>
      </c>
      <c r="C1828" s="101" t="n"/>
      <c r="D1828" s="102" t="n"/>
      <c r="G1828" s="80" t="inlineStr">
        <is>
          <t>Duration</t>
        </is>
      </c>
      <c r="H1828" s="103">
        <f>IF(OR(batches!D307="",batches!E307=""),"",batches!E307-batches!D307+1&amp;" days")</f>
        <v/>
      </c>
      <c r="I1828" s="101" t="n"/>
      <c r="J1828" s="102" t="n"/>
    </row>
    <row r="1829" ht="15.75" customHeight="1" s="84">
      <c r="A1829" s="80" t="inlineStr">
        <is>
          <t>Timing</t>
        </is>
      </c>
      <c r="B1829" s="103">
        <f>IF(A1825="","",batches!F306)</f>
        <v/>
      </c>
      <c r="C1829" s="101" t="n"/>
      <c r="D1829" s="102" t="n"/>
      <c r="G1829" s="80" t="inlineStr">
        <is>
          <t>Timing</t>
        </is>
      </c>
      <c r="H1829" s="103">
        <f>IF(G1825="","",batches!F307)</f>
        <v/>
      </c>
      <c r="I1829" s="101" t="n"/>
      <c r="J1829" s="102" t="n"/>
    </row>
    <row r="1830" ht="15.75" customHeight="1" s="84">
      <c r="A1830" s="80" t="inlineStr">
        <is>
          <t>Capacity</t>
        </is>
      </c>
      <c r="B1830" s="103">
        <f>IF(A1825="","",batches!G306)</f>
        <v/>
      </c>
      <c r="C1830" s="101" t="n"/>
      <c r="D1830" s="102" t="n"/>
      <c r="G1830" s="80" t="inlineStr">
        <is>
          <t>Capacity</t>
        </is>
      </c>
      <c r="H1830" s="103">
        <f>IF(G1825="","",batches!G307)</f>
        <v/>
      </c>
      <c r="I1830" s="101" t="n"/>
      <c r="J1830" s="102" t="n"/>
    </row>
    <row r="1831" ht="15.75" customHeight="1" s="84">
      <c r="A1831" s="80" t="inlineStr">
        <is>
          <t>Enrolled</t>
        </is>
      </c>
      <c r="B1831" s="103">
        <f>IF(A1825="","",COUNTIF(admissions!$M:$M,batches!A306))</f>
        <v/>
      </c>
      <c r="C1831" s="101" t="n"/>
      <c r="D1831" s="102" t="n"/>
      <c r="G1831" s="80" t="inlineStr">
        <is>
          <t>Enrolled</t>
        </is>
      </c>
      <c r="H1831" s="103">
        <f>IF(G1825="","",COUNTIF(admissions!$M:$M,batches!A307))</f>
        <v/>
      </c>
      <c r="I1831" s="101" t="n"/>
      <c r="J1831" s="102" t="n"/>
    </row>
    <row r="1832" ht="15.75" customHeight="1" s="84">
      <c r="A1832" s="80" t="inlineStr">
        <is>
          <t>Available</t>
        </is>
      </c>
      <c r="B1832" s="103">
        <f>IF(OR(batches!A306="",batches!G306=""),"",batches!G306-COUNTIF(admissions!$M:$M,batches!A306))</f>
        <v/>
      </c>
      <c r="C1832" s="101" t="n"/>
      <c r="D1832" s="102" t="n"/>
      <c r="G1832" s="80" t="inlineStr">
        <is>
          <t>Available</t>
        </is>
      </c>
      <c r="H1832" s="103">
        <f>IF(OR(batches!A307="",batches!G307=""),"",batches!G307-COUNTIF(admissions!$M:$M,batches!A307))</f>
        <v/>
      </c>
      <c r="I1832" s="101" t="n"/>
      <c r="J1832" s="102" t="n"/>
    </row>
    <row r="1833" ht="15.75" customHeight="1" s="84">
      <c r="A1833" s="104" t="inlineStr">
        <is>
          <t>Student List</t>
        </is>
      </c>
      <c r="B1833" s="101" t="n"/>
      <c r="C1833" s="101" t="n"/>
      <c r="D1833" s="102" t="n"/>
      <c r="G1833" s="104" t="inlineStr">
        <is>
          <t>Student List</t>
        </is>
      </c>
      <c r="H1833" s="101" t="n"/>
      <c r="I1833" s="101" t="n"/>
      <c r="J1833" s="102" t="n"/>
    </row>
    <row r="1834" ht="15.75" customHeight="1" s="84">
      <c r="A1834" s="105">
        <f>IFERROR(__xludf.DUMMYFUNCTION("IF(batches!A306="""","""",TEXTJOIN(CHAR(10),TRUE,FILTER(admissions!$G$2:$G$78,admissions!$M$2:$M$78=batches!A306,"""")))"),"")</f>
        <v/>
      </c>
      <c r="B1834" s="101" t="n"/>
      <c r="C1834" s="101" t="n"/>
      <c r="D1834" s="102" t="n"/>
      <c r="G1834" s="105">
        <f>IFERROR(__xludf.DUMMYFUNCTION("IF(batches!A307="""","""",TEXTJOIN(CHAR(10),TRUE,FILTER(admissions!$G$2:$G$78,admissions!$M$2:$M$78=batches!A307,"""")))"),"")</f>
        <v/>
      </c>
      <c r="H1834" s="101" t="n"/>
      <c r="I1834" s="101" t="n"/>
      <c r="J1834" s="102" t="n"/>
    </row>
    <row r="1835" ht="15.75" customHeight="1" s="84"/>
    <row r="1836" ht="15.75" customHeight="1" s="84"/>
    <row r="1837" ht="15.75" customHeight="1" s="84">
      <c r="A1837" s="100">
        <f>IF(batches!A308="","",batches!A308)</f>
        <v/>
      </c>
      <c r="B1837" s="101" t="n"/>
      <c r="C1837" s="101" t="n"/>
      <c r="D1837" s="102" t="n"/>
      <c r="G1837" s="100">
        <f>IF(batches!A309="","",batches!A309)</f>
        <v/>
      </c>
      <c r="H1837" s="101" t="n"/>
      <c r="I1837" s="101" t="n"/>
      <c r="J1837" s="102" t="n"/>
    </row>
    <row r="1838" ht="15.75" customHeight="1" s="84">
      <c r="A1838" s="80" t="inlineStr">
        <is>
          <t>Level / Mode</t>
        </is>
      </c>
      <c r="B1838" s="103">
        <f>IF(A1837="","",batches!B308&amp;" / "&amp;batches!C308)</f>
        <v/>
      </c>
      <c r="C1838" s="101" t="n"/>
      <c r="D1838" s="102" t="n"/>
      <c r="G1838" s="80" t="inlineStr">
        <is>
          <t>Level / Mode</t>
        </is>
      </c>
      <c r="H1838" s="103">
        <f>IF(G1837="","",batches!B309&amp;" / "&amp;batches!C309)</f>
        <v/>
      </c>
      <c r="I1838" s="101" t="n"/>
      <c r="J1838" s="102" t="n"/>
    </row>
    <row r="1839" ht="15.75" customHeight="1" s="84">
      <c r="A1839" s="80" t="inlineStr">
        <is>
          <t>Dates</t>
        </is>
      </c>
      <c r="B1839" s="103">
        <f>IF(A1837="","",TEXT(batches!D308,"yyyy-mm-dd")&amp;" to "&amp;TEXT(batches!E308,"yyyy-mm-dd"))</f>
        <v/>
      </c>
      <c r="C1839" s="101" t="n"/>
      <c r="D1839" s="102" t="n"/>
      <c r="G1839" s="80" t="inlineStr">
        <is>
          <t>Dates</t>
        </is>
      </c>
      <c r="H1839" s="103">
        <f>IF(G1837="","",TEXT(batches!D309,"yyyy-mm-dd")&amp;" to "&amp;TEXT(batches!E309,"yyyy-mm-dd"))</f>
        <v/>
      </c>
      <c r="I1839" s="101" t="n"/>
      <c r="J1839" s="102" t="n"/>
    </row>
    <row r="1840" ht="15.75" customHeight="1" s="84">
      <c r="A1840" s="80" t="inlineStr">
        <is>
          <t>Duration</t>
        </is>
      </c>
      <c r="B1840" s="103">
        <f>IF(OR(batches!D308="",batches!E308=""),"",batches!E308-batches!D308+1&amp;" days")</f>
        <v/>
      </c>
      <c r="C1840" s="101" t="n"/>
      <c r="D1840" s="102" t="n"/>
      <c r="G1840" s="80" t="inlineStr">
        <is>
          <t>Duration</t>
        </is>
      </c>
      <c r="H1840" s="103">
        <f>IF(OR(batches!D309="",batches!E309=""),"",batches!E309-batches!D309+1&amp;" days")</f>
        <v/>
      </c>
      <c r="I1840" s="101" t="n"/>
      <c r="J1840" s="102" t="n"/>
    </row>
    <row r="1841" ht="15.75" customHeight="1" s="84">
      <c r="A1841" s="80" t="inlineStr">
        <is>
          <t>Timing</t>
        </is>
      </c>
      <c r="B1841" s="103">
        <f>IF(A1837="","",batches!F308)</f>
        <v/>
      </c>
      <c r="C1841" s="101" t="n"/>
      <c r="D1841" s="102" t="n"/>
      <c r="G1841" s="80" t="inlineStr">
        <is>
          <t>Timing</t>
        </is>
      </c>
      <c r="H1841" s="103">
        <f>IF(G1837="","",batches!F309)</f>
        <v/>
      </c>
      <c r="I1841" s="101" t="n"/>
      <c r="J1841" s="102" t="n"/>
    </row>
    <row r="1842" ht="15.75" customHeight="1" s="84">
      <c r="A1842" s="80" t="inlineStr">
        <is>
          <t>Capacity</t>
        </is>
      </c>
      <c r="B1842" s="103">
        <f>IF(A1837="","",batches!G308)</f>
        <v/>
      </c>
      <c r="C1842" s="101" t="n"/>
      <c r="D1842" s="102" t="n"/>
      <c r="G1842" s="80" t="inlineStr">
        <is>
          <t>Capacity</t>
        </is>
      </c>
      <c r="H1842" s="103">
        <f>IF(G1837="","",batches!G309)</f>
        <v/>
      </c>
      <c r="I1842" s="101" t="n"/>
      <c r="J1842" s="102" t="n"/>
    </row>
    <row r="1843" ht="15.75" customHeight="1" s="84">
      <c r="A1843" s="80" t="inlineStr">
        <is>
          <t>Enrolled</t>
        </is>
      </c>
      <c r="B1843" s="103">
        <f>IF(A1837="","",COUNTIF(admissions!$M:$M,batches!A308))</f>
        <v/>
      </c>
      <c r="C1843" s="101" t="n"/>
      <c r="D1843" s="102" t="n"/>
      <c r="G1843" s="80" t="inlineStr">
        <is>
          <t>Enrolled</t>
        </is>
      </c>
      <c r="H1843" s="103">
        <f>IF(G1837="","",COUNTIF(admissions!$M:$M,batches!A309))</f>
        <v/>
      </c>
      <c r="I1843" s="101" t="n"/>
      <c r="J1843" s="102" t="n"/>
    </row>
    <row r="1844" ht="15.75" customHeight="1" s="84">
      <c r="A1844" s="80" t="inlineStr">
        <is>
          <t>Available</t>
        </is>
      </c>
      <c r="B1844" s="103">
        <f>IF(OR(batches!A308="",batches!G308=""),"",batches!G308-COUNTIF(admissions!$M:$M,batches!A308))</f>
        <v/>
      </c>
      <c r="C1844" s="101" t="n"/>
      <c r="D1844" s="102" t="n"/>
      <c r="G1844" s="80" t="inlineStr">
        <is>
          <t>Available</t>
        </is>
      </c>
      <c r="H1844" s="103">
        <f>IF(OR(batches!A309="",batches!G309=""),"",batches!G309-COUNTIF(admissions!$M:$M,batches!A309))</f>
        <v/>
      </c>
      <c r="I1844" s="101" t="n"/>
      <c r="J1844" s="102" t="n"/>
    </row>
    <row r="1845" ht="15.75" customHeight="1" s="84">
      <c r="A1845" s="104" t="inlineStr">
        <is>
          <t>Student List</t>
        </is>
      </c>
      <c r="B1845" s="101" t="n"/>
      <c r="C1845" s="101" t="n"/>
      <c r="D1845" s="102" t="n"/>
      <c r="G1845" s="104" t="inlineStr">
        <is>
          <t>Student List</t>
        </is>
      </c>
      <c r="H1845" s="101" t="n"/>
      <c r="I1845" s="101" t="n"/>
      <c r="J1845" s="102" t="n"/>
    </row>
    <row r="1846" ht="15.75" customHeight="1" s="84">
      <c r="A1846" s="105">
        <f>IFERROR(__xludf.DUMMYFUNCTION("IF(batches!A308="""","""",TEXTJOIN(CHAR(10),TRUE,FILTER(admissions!$G$2:$G$78,admissions!$M$2:$M$78=batches!A308,"""")))"),"")</f>
        <v/>
      </c>
      <c r="B1846" s="101" t="n"/>
      <c r="C1846" s="101" t="n"/>
      <c r="D1846" s="102" t="n"/>
      <c r="G1846" s="105">
        <f>IFERROR(__xludf.DUMMYFUNCTION("IF(batches!A309="""","""",TEXTJOIN(CHAR(10),TRUE,FILTER(admissions!$G$2:$G$78,admissions!$M$2:$M$78=batches!A309,"""")))"),"")</f>
        <v/>
      </c>
      <c r="H1846" s="101" t="n"/>
      <c r="I1846" s="101" t="n"/>
      <c r="J1846" s="102" t="n"/>
    </row>
    <row r="1847" ht="15.75" customHeight="1" s="84"/>
    <row r="1848" ht="15.75" customHeight="1" s="84"/>
    <row r="1849" ht="15.75" customHeight="1" s="84">
      <c r="A1849" s="100">
        <f>IF(batches!A310="","",batches!A310)</f>
        <v/>
      </c>
      <c r="B1849" s="101" t="n"/>
      <c r="C1849" s="101" t="n"/>
      <c r="D1849" s="102" t="n"/>
      <c r="G1849" s="100">
        <f>IF(batches!A311="","",batches!A311)</f>
        <v/>
      </c>
      <c r="H1849" s="101" t="n"/>
      <c r="I1849" s="101" t="n"/>
      <c r="J1849" s="102" t="n"/>
    </row>
    <row r="1850" ht="15.75" customHeight="1" s="84">
      <c r="A1850" s="80" t="inlineStr">
        <is>
          <t>Level / Mode</t>
        </is>
      </c>
      <c r="B1850" s="103">
        <f>IF(A1849="","",batches!B310&amp;" / "&amp;batches!C310)</f>
        <v/>
      </c>
      <c r="C1850" s="101" t="n"/>
      <c r="D1850" s="102" t="n"/>
      <c r="G1850" s="80" t="inlineStr">
        <is>
          <t>Level / Mode</t>
        </is>
      </c>
      <c r="H1850" s="103">
        <f>IF(G1849="","",batches!B311&amp;" / "&amp;batches!C311)</f>
        <v/>
      </c>
      <c r="I1850" s="101" t="n"/>
      <c r="J1850" s="102" t="n"/>
    </row>
    <row r="1851" ht="15.75" customHeight="1" s="84">
      <c r="A1851" s="80" t="inlineStr">
        <is>
          <t>Dates</t>
        </is>
      </c>
      <c r="B1851" s="103">
        <f>IF(A1849="","",TEXT(batches!D310,"yyyy-mm-dd")&amp;" to "&amp;TEXT(batches!E310,"yyyy-mm-dd"))</f>
        <v/>
      </c>
      <c r="C1851" s="101" t="n"/>
      <c r="D1851" s="102" t="n"/>
      <c r="G1851" s="80" t="inlineStr">
        <is>
          <t>Dates</t>
        </is>
      </c>
      <c r="H1851" s="103">
        <f>IF(G1849="","",TEXT(batches!D311,"yyyy-mm-dd")&amp;" to "&amp;TEXT(batches!E311,"yyyy-mm-dd"))</f>
        <v/>
      </c>
      <c r="I1851" s="101" t="n"/>
      <c r="J1851" s="102" t="n"/>
    </row>
    <row r="1852" ht="15.75" customHeight="1" s="84">
      <c r="A1852" s="80" t="inlineStr">
        <is>
          <t>Duration</t>
        </is>
      </c>
      <c r="B1852" s="103">
        <f>IF(OR(batches!D310="",batches!E310=""),"",batches!E310-batches!D310+1&amp;" days")</f>
        <v/>
      </c>
      <c r="C1852" s="101" t="n"/>
      <c r="D1852" s="102" t="n"/>
      <c r="G1852" s="80" t="inlineStr">
        <is>
          <t>Duration</t>
        </is>
      </c>
      <c r="H1852" s="103">
        <f>IF(OR(batches!D311="",batches!E311=""),"",batches!E311-batches!D311+1&amp;" days")</f>
        <v/>
      </c>
      <c r="I1852" s="101" t="n"/>
      <c r="J1852" s="102" t="n"/>
    </row>
    <row r="1853" ht="15.75" customHeight="1" s="84">
      <c r="A1853" s="80" t="inlineStr">
        <is>
          <t>Timing</t>
        </is>
      </c>
      <c r="B1853" s="103">
        <f>IF(A1849="","",batches!F310)</f>
        <v/>
      </c>
      <c r="C1853" s="101" t="n"/>
      <c r="D1853" s="102" t="n"/>
      <c r="G1853" s="80" t="inlineStr">
        <is>
          <t>Timing</t>
        </is>
      </c>
      <c r="H1853" s="103">
        <f>IF(G1849="","",batches!F311)</f>
        <v/>
      </c>
      <c r="I1853" s="101" t="n"/>
      <c r="J1853" s="102" t="n"/>
    </row>
    <row r="1854" ht="15.75" customHeight="1" s="84">
      <c r="A1854" s="80" t="inlineStr">
        <is>
          <t>Capacity</t>
        </is>
      </c>
      <c r="B1854" s="103">
        <f>IF(A1849="","",batches!G310)</f>
        <v/>
      </c>
      <c r="C1854" s="101" t="n"/>
      <c r="D1854" s="102" t="n"/>
      <c r="G1854" s="80" t="inlineStr">
        <is>
          <t>Capacity</t>
        </is>
      </c>
      <c r="H1854" s="103">
        <f>IF(G1849="","",batches!G311)</f>
        <v/>
      </c>
      <c r="I1854" s="101" t="n"/>
      <c r="J1854" s="102" t="n"/>
    </row>
    <row r="1855" ht="15.75" customHeight="1" s="84">
      <c r="A1855" s="80" t="inlineStr">
        <is>
          <t>Enrolled</t>
        </is>
      </c>
      <c r="B1855" s="103">
        <f>IF(A1849="","",COUNTIF(admissions!$M:$M,batches!A310))</f>
        <v/>
      </c>
      <c r="C1855" s="101" t="n"/>
      <c r="D1855" s="102" t="n"/>
      <c r="G1855" s="80" t="inlineStr">
        <is>
          <t>Enrolled</t>
        </is>
      </c>
      <c r="H1855" s="103">
        <f>IF(G1849="","",COUNTIF(admissions!$M:$M,batches!A311))</f>
        <v/>
      </c>
      <c r="I1855" s="101" t="n"/>
      <c r="J1855" s="102" t="n"/>
    </row>
    <row r="1856" ht="15.75" customHeight="1" s="84">
      <c r="A1856" s="80" t="inlineStr">
        <is>
          <t>Available</t>
        </is>
      </c>
      <c r="B1856" s="103">
        <f>IF(OR(batches!A310="",batches!G310=""),"",batches!G310-COUNTIF(admissions!$M:$M,batches!A310))</f>
        <v/>
      </c>
      <c r="C1856" s="101" t="n"/>
      <c r="D1856" s="102" t="n"/>
      <c r="G1856" s="80" t="inlineStr">
        <is>
          <t>Available</t>
        </is>
      </c>
      <c r="H1856" s="103">
        <f>IF(OR(batches!A311="",batches!G311=""),"",batches!G311-COUNTIF(admissions!$M:$M,batches!A311))</f>
        <v/>
      </c>
      <c r="I1856" s="101" t="n"/>
      <c r="J1856" s="102" t="n"/>
    </row>
    <row r="1857" ht="15.75" customHeight="1" s="84">
      <c r="A1857" s="104" t="inlineStr">
        <is>
          <t>Student List</t>
        </is>
      </c>
      <c r="B1857" s="101" t="n"/>
      <c r="C1857" s="101" t="n"/>
      <c r="D1857" s="102" t="n"/>
      <c r="G1857" s="104" t="inlineStr">
        <is>
          <t>Student List</t>
        </is>
      </c>
      <c r="H1857" s="101" t="n"/>
      <c r="I1857" s="101" t="n"/>
      <c r="J1857" s="102" t="n"/>
    </row>
    <row r="1858" ht="15.75" customHeight="1" s="84">
      <c r="A1858" s="105">
        <f>IFERROR(__xludf.DUMMYFUNCTION("IF(batches!A310="""","""",TEXTJOIN(CHAR(10),TRUE,FILTER(admissions!$G$2:$G$78,admissions!$M$2:$M$78=batches!A310,"""")))"),"")</f>
        <v/>
      </c>
      <c r="B1858" s="101" t="n"/>
      <c r="C1858" s="101" t="n"/>
      <c r="D1858" s="102" t="n"/>
      <c r="G1858" s="105">
        <f>IFERROR(__xludf.DUMMYFUNCTION("IF(batches!A311="""","""",TEXTJOIN(CHAR(10),TRUE,FILTER(admissions!$G$2:$G$78,admissions!$M$2:$M$78=batches!A311,"""")))"),"")</f>
        <v/>
      </c>
      <c r="H1858" s="101" t="n"/>
      <c r="I1858" s="101" t="n"/>
      <c r="J1858" s="102" t="n"/>
    </row>
    <row r="1859" ht="15.75" customHeight="1" s="84"/>
    <row r="1860" ht="15.75" customHeight="1" s="84"/>
    <row r="1861" ht="15.75" customHeight="1" s="84">
      <c r="A1861" s="100">
        <f>IF(batches!A312="","",batches!A312)</f>
        <v/>
      </c>
      <c r="B1861" s="101" t="n"/>
      <c r="C1861" s="101" t="n"/>
      <c r="D1861" s="102" t="n"/>
      <c r="G1861" s="100">
        <f>IF(batches!A313="","",batches!A313)</f>
        <v/>
      </c>
      <c r="H1861" s="101" t="n"/>
      <c r="I1861" s="101" t="n"/>
      <c r="J1861" s="102" t="n"/>
    </row>
    <row r="1862" ht="15.75" customHeight="1" s="84">
      <c r="A1862" s="80" t="inlineStr">
        <is>
          <t>Level / Mode</t>
        </is>
      </c>
      <c r="B1862" s="103">
        <f>IF(A1861="","",batches!B312&amp;" / "&amp;batches!C312)</f>
        <v/>
      </c>
      <c r="C1862" s="101" t="n"/>
      <c r="D1862" s="102" t="n"/>
      <c r="G1862" s="80" t="inlineStr">
        <is>
          <t>Level / Mode</t>
        </is>
      </c>
      <c r="H1862" s="103">
        <f>IF(G1861="","",batches!B313&amp;" / "&amp;batches!C313)</f>
        <v/>
      </c>
      <c r="I1862" s="101" t="n"/>
      <c r="J1862" s="102" t="n"/>
    </row>
    <row r="1863" ht="15.75" customHeight="1" s="84">
      <c r="A1863" s="80" t="inlineStr">
        <is>
          <t>Dates</t>
        </is>
      </c>
      <c r="B1863" s="103">
        <f>IF(A1861="","",TEXT(batches!D312,"yyyy-mm-dd")&amp;" to "&amp;TEXT(batches!E312,"yyyy-mm-dd"))</f>
        <v/>
      </c>
      <c r="C1863" s="101" t="n"/>
      <c r="D1863" s="102" t="n"/>
      <c r="G1863" s="80" t="inlineStr">
        <is>
          <t>Dates</t>
        </is>
      </c>
      <c r="H1863" s="103">
        <f>IF(G1861="","",TEXT(batches!D313,"yyyy-mm-dd")&amp;" to "&amp;TEXT(batches!E313,"yyyy-mm-dd"))</f>
        <v/>
      </c>
      <c r="I1863" s="101" t="n"/>
      <c r="J1863" s="102" t="n"/>
    </row>
    <row r="1864" ht="15.75" customHeight="1" s="84">
      <c r="A1864" s="80" t="inlineStr">
        <is>
          <t>Duration</t>
        </is>
      </c>
      <c r="B1864" s="103">
        <f>IF(OR(batches!D312="",batches!E312=""),"",batches!E312-batches!D312+1&amp;" days")</f>
        <v/>
      </c>
      <c r="C1864" s="101" t="n"/>
      <c r="D1864" s="102" t="n"/>
      <c r="G1864" s="80" t="inlineStr">
        <is>
          <t>Duration</t>
        </is>
      </c>
      <c r="H1864" s="103">
        <f>IF(OR(batches!D313="",batches!E313=""),"",batches!E313-batches!D313+1&amp;" days")</f>
        <v/>
      </c>
      <c r="I1864" s="101" t="n"/>
      <c r="J1864" s="102" t="n"/>
    </row>
    <row r="1865" ht="15.75" customHeight="1" s="84">
      <c r="A1865" s="80" t="inlineStr">
        <is>
          <t>Timing</t>
        </is>
      </c>
      <c r="B1865" s="103">
        <f>IF(A1861="","",batches!F312)</f>
        <v/>
      </c>
      <c r="C1865" s="101" t="n"/>
      <c r="D1865" s="102" t="n"/>
      <c r="G1865" s="80" t="inlineStr">
        <is>
          <t>Timing</t>
        </is>
      </c>
      <c r="H1865" s="103">
        <f>IF(G1861="","",batches!F313)</f>
        <v/>
      </c>
      <c r="I1865" s="101" t="n"/>
      <c r="J1865" s="102" t="n"/>
    </row>
    <row r="1866" ht="15.75" customHeight="1" s="84">
      <c r="A1866" s="80" t="inlineStr">
        <is>
          <t>Capacity</t>
        </is>
      </c>
      <c r="B1866" s="103">
        <f>IF(A1861="","",batches!G312)</f>
        <v/>
      </c>
      <c r="C1866" s="101" t="n"/>
      <c r="D1866" s="102" t="n"/>
      <c r="G1866" s="80" t="inlineStr">
        <is>
          <t>Capacity</t>
        </is>
      </c>
      <c r="H1866" s="103">
        <f>IF(G1861="","",batches!G313)</f>
        <v/>
      </c>
      <c r="I1866" s="101" t="n"/>
      <c r="J1866" s="102" t="n"/>
    </row>
    <row r="1867" ht="15.75" customHeight="1" s="84">
      <c r="A1867" s="80" t="inlineStr">
        <is>
          <t>Enrolled</t>
        </is>
      </c>
      <c r="B1867" s="103">
        <f>IF(A1861="","",COUNTIF(admissions!$M:$M,batches!A312))</f>
        <v/>
      </c>
      <c r="C1867" s="101" t="n"/>
      <c r="D1867" s="102" t="n"/>
      <c r="G1867" s="80" t="inlineStr">
        <is>
          <t>Enrolled</t>
        </is>
      </c>
      <c r="H1867" s="103">
        <f>IF(G1861="","",COUNTIF(admissions!$M:$M,batches!A313))</f>
        <v/>
      </c>
      <c r="I1867" s="101" t="n"/>
      <c r="J1867" s="102" t="n"/>
    </row>
    <row r="1868" ht="15.75" customHeight="1" s="84">
      <c r="A1868" s="80" t="inlineStr">
        <is>
          <t>Available</t>
        </is>
      </c>
      <c r="B1868" s="103">
        <f>IF(OR(batches!A312="",batches!G312=""),"",batches!G312-COUNTIF(admissions!$M:$M,batches!A312))</f>
        <v/>
      </c>
      <c r="C1868" s="101" t="n"/>
      <c r="D1868" s="102" t="n"/>
      <c r="G1868" s="80" t="inlineStr">
        <is>
          <t>Available</t>
        </is>
      </c>
      <c r="H1868" s="103">
        <f>IF(OR(batches!A313="",batches!G313=""),"",batches!G313-COUNTIF(admissions!$M:$M,batches!A313))</f>
        <v/>
      </c>
      <c r="I1868" s="101" t="n"/>
      <c r="J1868" s="102" t="n"/>
    </row>
    <row r="1869" ht="15.75" customHeight="1" s="84">
      <c r="A1869" s="104" t="inlineStr">
        <is>
          <t>Student List</t>
        </is>
      </c>
      <c r="B1869" s="101" t="n"/>
      <c r="C1869" s="101" t="n"/>
      <c r="D1869" s="102" t="n"/>
      <c r="G1869" s="104" t="inlineStr">
        <is>
          <t>Student List</t>
        </is>
      </c>
      <c r="H1869" s="101" t="n"/>
      <c r="I1869" s="101" t="n"/>
      <c r="J1869" s="102" t="n"/>
    </row>
    <row r="1870" ht="15.75" customHeight="1" s="84">
      <c r="A1870" s="105">
        <f>IFERROR(__xludf.DUMMYFUNCTION("IF(batches!A312="""","""",TEXTJOIN(CHAR(10),TRUE,FILTER(admissions!$G$2:$G$78,admissions!$M$2:$M$78=batches!A312,"""")))"),"")</f>
        <v/>
      </c>
      <c r="B1870" s="101" t="n"/>
      <c r="C1870" s="101" t="n"/>
      <c r="D1870" s="102" t="n"/>
      <c r="G1870" s="105">
        <f>IFERROR(__xludf.DUMMYFUNCTION("IF(batches!A313="""","""",TEXTJOIN(CHAR(10),TRUE,FILTER(admissions!$G$2:$G$78,admissions!$M$2:$M$78=batches!A313,"""")))"),"")</f>
        <v/>
      </c>
      <c r="H1870" s="101" t="n"/>
      <c r="I1870" s="101" t="n"/>
      <c r="J1870" s="102" t="n"/>
    </row>
    <row r="1871" ht="15.75" customHeight="1" s="84"/>
    <row r="1872" ht="15.75" customHeight="1" s="84"/>
    <row r="1873" ht="15.75" customHeight="1" s="84">
      <c r="A1873" s="100">
        <f>IF(batches!A314="","",batches!A314)</f>
        <v/>
      </c>
      <c r="B1873" s="101" t="n"/>
      <c r="C1873" s="101" t="n"/>
      <c r="D1873" s="102" t="n"/>
      <c r="G1873" s="100">
        <f>IF(batches!A315="","",batches!A315)</f>
        <v/>
      </c>
      <c r="H1873" s="101" t="n"/>
      <c r="I1873" s="101" t="n"/>
      <c r="J1873" s="102" t="n"/>
    </row>
    <row r="1874" ht="15.75" customHeight="1" s="84">
      <c r="A1874" s="80" t="inlineStr">
        <is>
          <t>Level / Mode</t>
        </is>
      </c>
      <c r="B1874" s="103">
        <f>IF(A1873="","",batches!B314&amp;" / "&amp;batches!C314)</f>
        <v/>
      </c>
      <c r="C1874" s="101" t="n"/>
      <c r="D1874" s="102" t="n"/>
      <c r="G1874" s="80" t="inlineStr">
        <is>
          <t>Level / Mode</t>
        </is>
      </c>
      <c r="H1874" s="103">
        <f>IF(G1873="","",batches!B315&amp;" / "&amp;batches!C315)</f>
        <v/>
      </c>
      <c r="I1874" s="101" t="n"/>
      <c r="J1874" s="102" t="n"/>
    </row>
    <row r="1875" ht="15.75" customHeight="1" s="84">
      <c r="A1875" s="80" t="inlineStr">
        <is>
          <t>Dates</t>
        </is>
      </c>
      <c r="B1875" s="103">
        <f>IF(A1873="","",TEXT(batches!D314,"yyyy-mm-dd")&amp;" to "&amp;TEXT(batches!E314,"yyyy-mm-dd"))</f>
        <v/>
      </c>
      <c r="C1875" s="101" t="n"/>
      <c r="D1875" s="102" t="n"/>
      <c r="G1875" s="80" t="inlineStr">
        <is>
          <t>Dates</t>
        </is>
      </c>
      <c r="H1875" s="103">
        <f>IF(G1873="","",TEXT(batches!D315,"yyyy-mm-dd")&amp;" to "&amp;TEXT(batches!E315,"yyyy-mm-dd"))</f>
        <v/>
      </c>
      <c r="I1875" s="101" t="n"/>
      <c r="J1875" s="102" t="n"/>
    </row>
    <row r="1876" ht="15.75" customHeight="1" s="84">
      <c r="A1876" s="80" t="inlineStr">
        <is>
          <t>Duration</t>
        </is>
      </c>
      <c r="B1876" s="103">
        <f>IF(OR(batches!D314="",batches!E314=""),"",batches!E314-batches!D314+1&amp;" days")</f>
        <v/>
      </c>
      <c r="C1876" s="101" t="n"/>
      <c r="D1876" s="102" t="n"/>
      <c r="G1876" s="80" t="inlineStr">
        <is>
          <t>Duration</t>
        </is>
      </c>
      <c r="H1876" s="103">
        <f>IF(OR(batches!D315="",batches!E315=""),"",batches!E315-batches!D315+1&amp;" days")</f>
        <v/>
      </c>
      <c r="I1876" s="101" t="n"/>
      <c r="J1876" s="102" t="n"/>
    </row>
    <row r="1877" ht="15.75" customHeight="1" s="84">
      <c r="A1877" s="80" t="inlineStr">
        <is>
          <t>Timing</t>
        </is>
      </c>
      <c r="B1877" s="103">
        <f>IF(A1873="","",batches!F314)</f>
        <v/>
      </c>
      <c r="C1877" s="101" t="n"/>
      <c r="D1877" s="102" t="n"/>
      <c r="G1877" s="80" t="inlineStr">
        <is>
          <t>Timing</t>
        </is>
      </c>
      <c r="H1877" s="103">
        <f>IF(G1873="","",batches!F315)</f>
        <v/>
      </c>
      <c r="I1877" s="101" t="n"/>
      <c r="J1877" s="102" t="n"/>
    </row>
    <row r="1878" ht="15.75" customHeight="1" s="84">
      <c r="A1878" s="80" t="inlineStr">
        <is>
          <t>Capacity</t>
        </is>
      </c>
      <c r="B1878" s="103">
        <f>IF(A1873="","",batches!G314)</f>
        <v/>
      </c>
      <c r="C1878" s="101" t="n"/>
      <c r="D1878" s="102" t="n"/>
      <c r="G1878" s="80" t="inlineStr">
        <is>
          <t>Capacity</t>
        </is>
      </c>
      <c r="H1878" s="103">
        <f>IF(G1873="","",batches!G315)</f>
        <v/>
      </c>
      <c r="I1878" s="101" t="n"/>
      <c r="J1878" s="102" t="n"/>
    </row>
    <row r="1879" ht="15.75" customHeight="1" s="84">
      <c r="A1879" s="80" t="inlineStr">
        <is>
          <t>Enrolled</t>
        </is>
      </c>
      <c r="B1879" s="103">
        <f>IF(A1873="","",COUNTIF(admissions!$M:$M,batches!A314))</f>
        <v/>
      </c>
      <c r="C1879" s="101" t="n"/>
      <c r="D1879" s="102" t="n"/>
      <c r="G1879" s="80" t="inlineStr">
        <is>
          <t>Enrolled</t>
        </is>
      </c>
      <c r="H1879" s="103">
        <f>IF(G1873="","",COUNTIF(admissions!$M:$M,batches!A315))</f>
        <v/>
      </c>
      <c r="I1879" s="101" t="n"/>
      <c r="J1879" s="102" t="n"/>
    </row>
    <row r="1880" ht="15.75" customHeight="1" s="84">
      <c r="A1880" s="80" t="inlineStr">
        <is>
          <t>Available</t>
        </is>
      </c>
      <c r="B1880" s="103">
        <f>IF(OR(batches!A314="",batches!G314=""),"",batches!G314-COUNTIF(admissions!$M:$M,batches!A314))</f>
        <v/>
      </c>
      <c r="C1880" s="101" t="n"/>
      <c r="D1880" s="102" t="n"/>
      <c r="G1880" s="80" t="inlineStr">
        <is>
          <t>Available</t>
        </is>
      </c>
      <c r="H1880" s="103">
        <f>IF(OR(batches!A315="",batches!G315=""),"",batches!G315-COUNTIF(admissions!$M:$M,batches!A315))</f>
        <v/>
      </c>
      <c r="I1880" s="101" t="n"/>
      <c r="J1880" s="102" t="n"/>
    </row>
    <row r="1881" ht="15.75" customHeight="1" s="84">
      <c r="A1881" s="104" t="inlineStr">
        <is>
          <t>Student List</t>
        </is>
      </c>
      <c r="B1881" s="101" t="n"/>
      <c r="C1881" s="101" t="n"/>
      <c r="D1881" s="102" t="n"/>
      <c r="G1881" s="104" t="inlineStr">
        <is>
          <t>Student List</t>
        </is>
      </c>
      <c r="H1881" s="101" t="n"/>
      <c r="I1881" s="101" t="n"/>
      <c r="J1881" s="102" t="n"/>
    </row>
    <row r="1882" ht="15.75" customHeight="1" s="84">
      <c r="A1882" s="105">
        <f>IFERROR(__xludf.DUMMYFUNCTION("IF(batches!A314="""","""",TEXTJOIN(CHAR(10),TRUE,FILTER(admissions!$G$2:$G$78,admissions!$M$2:$M$78=batches!A314,"""")))"),"")</f>
        <v/>
      </c>
      <c r="B1882" s="101" t="n"/>
      <c r="C1882" s="101" t="n"/>
      <c r="D1882" s="102" t="n"/>
      <c r="G1882" s="105">
        <f>IFERROR(__xludf.DUMMYFUNCTION("IF(batches!A315="""","""",TEXTJOIN(CHAR(10),TRUE,FILTER(admissions!$G$2:$G$78,admissions!$M$2:$M$78=batches!A315,"""")))"),"")</f>
        <v/>
      </c>
      <c r="H1882" s="101" t="n"/>
      <c r="I1882" s="101" t="n"/>
      <c r="J1882" s="102" t="n"/>
    </row>
    <row r="1883" ht="15.75" customHeight="1" s="84"/>
    <row r="1884" ht="15.75" customHeight="1" s="84"/>
    <row r="1885" ht="15.75" customHeight="1" s="84">
      <c r="A1885" s="100">
        <f>IF(batches!A316="","",batches!A316)</f>
        <v/>
      </c>
      <c r="B1885" s="101" t="n"/>
      <c r="C1885" s="101" t="n"/>
      <c r="D1885" s="102" t="n"/>
      <c r="G1885" s="100">
        <f>IF(batches!A317="","",batches!A317)</f>
        <v/>
      </c>
      <c r="H1885" s="101" t="n"/>
      <c r="I1885" s="101" t="n"/>
      <c r="J1885" s="102" t="n"/>
    </row>
    <row r="1886" ht="15.75" customHeight="1" s="84">
      <c r="A1886" s="80" t="inlineStr">
        <is>
          <t>Level / Mode</t>
        </is>
      </c>
      <c r="B1886" s="103">
        <f>IF(A1885="","",batches!B316&amp;" / "&amp;batches!C316)</f>
        <v/>
      </c>
      <c r="C1886" s="101" t="n"/>
      <c r="D1886" s="102" t="n"/>
      <c r="G1886" s="80" t="inlineStr">
        <is>
          <t>Level / Mode</t>
        </is>
      </c>
      <c r="H1886" s="103">
        <f>IF(G1885="","",batches!B317&amp;" / "&amp;batches!C317)</f>
        <v/>
      </c>
      <c r="I1886" s="101" t="n"/>
      <c r="J1886" s="102" t="n"/>
    </row>
    <row r="1887" ht="15.75" customHeight="1" s="84">
      <c r="A1887" s="80" t="inlineStr">
        <is>
          <t>Dates</t>
        </is>
      </c>
      <c r="B1887" s="103">
        <f>IF(A1885="","",TEXT(batches!D316,"yyyy-mm-dd")&amp;" to "&amp;TEXT(batches!E316,"yyyy-mm-dd"))</f>
        <v/>
      </c>
      <c r="C1887" s="101" t="n"/>
      <c r="D1887" s="102" t="n"/>
      <c r="G1887" s="80" t="inlineStr">
        <is>
          <t>Dates</t>
        </is>
      </c>
      <c r="H1887" s="103">
        <f>IF(G1885="","",TEXT(batches!D317,"yyyy-mm-dd")&amp;" to "&amp;TEXT(batches!E317,"yyyy-mm-dd"))</f>
        <v/>
      </c>
      <c r="I1887" s="101" t="n"/>
      <c r="J1887" s="102" t="n"/>
    </row>
    <row r="1888" ht="15.75" customHeight="1" s="84">
      <c r="A1888" s="80" t="inlineStr">
        <is>
          <t>Duration</t>
        </is>
      </c>
      <c r="B1888" s="103">
        <f>IF(OR(batches!D316="",batches!E316=""),"",batches!E316-batches!D316+1&amp;" days")</f>
        <v/>
      </c>
      <c r="C1888" s="101" t="n"/>
      <c r="D1888" s="102" t="n"/>
      <c r="G1888" s="80" t="inlineStr">
        <is>
          <t>Duration</t>
        </is>
      </c>
      <c r="H1888" s="103">
        <f>IF(OR(batches!D317="",batches!E317=""),"",batches!E317-batches!D317+1&amp;" days")</f>
        <v/>
      </c>
      <c r="I1888" s="101" t="n"/>
      <c r="J1888" s="102" t="n"/>
    </row>
    <row r="1889" ht="15.75" customHeight="1" s="84">
      <c r="A1889" s="80" t="inlineStr">
        <is>
          <t>Timing</t>
        </is>
      </c>
      <c r="B1889" s="103">
        <f>IF(A1885="","",batches!F316)</f>
        <v/>
      </c>
      <c r="C1889" s="101" t="n"/>
      <c r="D1889" s="102" t="n"/>
      <c r="G1889" s="80" t="inlineStr">
        <is>
          <t>Timing</t>
        </is>
      </c>
      <c r="H1889" s="103">
        <f>IF(G1885="","",batches!F317)</f>
        <v/>
      </c>
      <c r="I1889" s="101" t="n"/>
      <c r="J1889" s="102" t="n"/>
    </row>
    <row r="1890" ht="15.75" customHeight="1" s="84">
      <c r="A1890" s="80" t="inlineStr">
        <is>
          <t>Capacity</t>
        </is>
      </c>
      <c r="B1890" s="103">
        <f>IF(A1885="","",batches!G316)</f>
        <v/>
      </c>
      <c r="C1890" s="101" t="n"/>
      <c r="D1890" s="102" t="n"/>
      <c r="G1890" s="80" t="inlineStr">
        <is>
          <t>Capacity</t>
        </is>
      </c>
      <c r="H1890" s="103">
        <f>IF(G1885="","",batches!G317)</f>
        <v/>
      </c>
      <c r="I1890" s="101" t="n"/>
      <c r="J1890" s="102" t="n"/>
    </row>
    <row r="1891" ht="15.75" customHeight="1" s="84">
      <c r="A1891" s="80" t="inlineStr">
        <is>
          <t>Enrolled</t>
        </is>
      </c>
      <c r="B1891" s="103">
        <f>IF(A1885="","",COUNTIF(admissions!$M:$M,batches!A316))</f>
        <v/>
      </c>
      <c r="C1891" s="101" t="n"/>
      <c r="D1891" s="102" t="n"/>
      <c r="G1891" s="80" t="inlineStr">
        <is>
          <t>Enrolled</t>
        </is>
      </c>
      <c r="H1891" s="103">
        <f>IF(G1885="","",COUNTIF(admissions!$M:$M,batches!A317))</f>
        <v/>
      </c>
      <c r="I1891" s="101" t="n"/>
      <c r="J1891" s="102" t="n"/>
    </row>
    <row r="1892" ht="15.75" customHeight="1" s="84">
      <c r="A1892" s="80" t="inlineStr">
        <is>
          <t>Available</t>
        </is>
      </c>
      <c r="B1892" s="103">
        <f>IF(OR(batches!A316="",batches!G316=""),"",batches!G316-COUNTIF(admissions!$M:$M,batches!A316))</f>
        <v/>
      </c>
      <c r="C1892" s="101" t="n"/>
      <c r="D1892" s="102" t="n"/>
      <c r="G1892" s="80" t="inlineStr">
        <is>
          <t>Available</t>
        </is>
      </c>
      <c r="H1892" s="103">
        <f>IF(OR(batches!A317="",batches!G317=""),"",batches!G317-COUNTIF(admissions!$M:$M,batches!A317))</f>
        <v/>
      </c>
      <c r="I1892" s="101" t="n"/>
      <c r="J1892" s="102" t="n"/>
    </row>
    <row r="1893" ht="15.75" customHeight="1" s="84">
      <c r="A1893" s="104" t="inlineStr">
        <is>
          <t>Student List</t>
        </is>
      </c>
      <c r="B1893" s="101" t="n"/>
      <c r="C1893" s="101" t="n"/>
      <c r="D1893" s="102" t="n"/>
      <c r="G1893" s="104" t="inlineStr">
        <is>
          <t>Student List</t>
        </is>
      </c>
      <c r="H1893" s="101" t="n"/>
      <c r="I1893" s="101" t="n"/>
      <c r="J1893" s="102" t="n"/>
    </row>
    <row r="1894" ht="15.75" customHeight="1" s="84">
      <c r="A1894" s="105">
        <f>IFERROR(__xludf.DUMMYFUNCTION("IF(batches!A316="""","""",TEXTJOIN(CHAR(10),TRUE,FILTER(admissions!$G$2:$G$78,admissions!$M$2:$M$78=batches!A316,"""")))"),"")</f>
        <v/>
      </c>
      <c r="B1894" s="101" t="n"/>
      <c r="C1894" s="101" t="n"/>
      <c r="D1894" s="102" t="n"/>
      <c r="G1894" s="105">
        <f>IFERROR(__xludf.DUMMYFUNCTION("IF(batches!A317="""","""",TEXTJOIN(CHAR(10),TRUE,FILTER(admissions!$G$2:$G$78,admissions!$M$2:$M$78=batches!A317,"""")))"),"")</f>
        <v/>
      </c>
      <c r="H1894" s="101" t="n"/>
      <c r="I1894" s="101" t="n"/>
      <c r="J1894" s="102" t="n"/>
    </row>
    <row r="1895" ht="15.75" customHeight="1" s="84"/>
    <row r="1896" ht="15.75" customHeight="1" s="84"/>
    <row r="1897" ht="15.75" customHeight="1" s="84">
      <c r="A1897" s="100">
        <f>IF(batches!A318="","",batches!A318)</f>
        <v/>
      </c>
      <c r="B1897" s="101" t="n"/>
      <c r="C1897" s="101" t="n"/>
      <c r="D1897" s="102" t="n"/>
      <c r="G1897" s="100">
        <f>IF(batches!A319="","",batches!A319)</f>
        <v/>
      </c>
      <c r="H1897" s="101" t="n"/>
      <c r="I1897" s="101" t="n"/>
      <c r="J1897" s="102" t="n"/>
    </row>
    <row r="1898" ht="15.75" customHeight="1" s="84">
      <c r="A1898" s="80" t="inlineStr">
        <is>
          <t>Level / Mode</t>
        </is>
      </c>
      <c r="B1898" s="103">
        <f>IF(A1897="","",batches!B318&amp;" / "&amp;batches!C318)</f>
        <v/>
      </c>
      <c r="C1898" s="101" t="n"/>
      <c r="D1898" s="102" t="n"/>
      <c r="G1898" s="80" t="inlineStr">
        <is>
          <t>Level / Mode</t>
        </is>
      </c>
      <c r="H1898" s="103">
        <f>IF(G1897="","",batches!B319&amp;" / "&amp;batches!C319)</f>
        <v/>
      </c>
      <c r="I1898" s="101" t="n"/>
      <c r="J1898" s="102" t="n"/>
    </row>
    <row r="1899" ht="15.75" customHeight="1" s="84">
      <c r="A1899" s="80" t="inlineStr">
        <is>
          <t>Dates</t>
        </is>
      </c>
      <c r="B1899" s="103">
        <f>IF(A1897="","",TEXT(batches!D318,"yyyy-mm-dd")&amp;" to "&amp;TEXT(batches!E318,"yyyy-mm-dd"))</f>
        <v/>
      </c>
      <c r="C1899" s="101" t="n"/>
      <c r="D1899" s="102" t="n"/>
      <c r="G1899" s="80" t="inlineStr">
        <is>
          <t>Dates</t>
        </is>
      </c>
      <c r="H1899" s="103">
        <f>IF(G1897="","",TEXT(batches!D319,"yyyy-mm-dd")&amp;" to "&amp;TEXT(batches!E319,"yyyy-mm-dd"))</f>
        <v/>
      </c>
      <c r="I1899" s="101" t="n"/>
      <c r="J1899" s="102" t="n"/>
    </row>
    <row r="1900" ht="15.75" customHeight="1" s="84">
      <c r="A1900" s="80" t="inlineStr">
        <is>
          <t>Duration</t>
        </is>
      </c>
      <c r="B1900" s="103">
        <f>IF(OR(batches!D318="",batches!E318=""),"",batches!E318-batches!D318+1&amp;" days")</f>
        <v/>
      </c>
      <c r="C1900" s="101" t="n"/>
      <c r="D1900" s="102" t="n"/>
      <c r="G1900" s="80" t="inlineStr">
        <is>
          <t>Duration</t>
        </is>
      </c>
      <c r="H1900" s="103">
        <f>IF(OR(batches!D319="",batches!E319=""),"",batches!E319-batches!D319+1&amp;" days")</f>
        <v/>
      </c>
      <c r="I1900" s="101" t="n"/>
      <c r="J1900" s="102" t="n"/>
    </row>
    <row r="1901" ht="15.75" customHeight="1" s="84">
      <c r="A1901" s="80" t="inlineStr">
        <is>
          <t>Timing</t>
        </is>
      </c>
      <c r="B1901" s="103">
        <f>IF(A1897="","",batches!F318)</f>
        <v/>
      </c>
      <c r="C1901" s="101" t="n"/>
      <c r="D1901" s="102" t="n"/>
      <c r="G1901" s="80" t="inlineStr">
        <is>
          <t>Timing</t>
        </is>
      </c>
      <c r="H1901" s="103">
        <f>IF(G1897="","",batches!F319)</f>
        <v/>
      </c>
      <c r="I1901" s="101" t="n"/>
      <c r="J1901" s="102" t="n"/>
    </row>
    <row r="1902" ht="15.75" customHeight="1" s="84">
      <c r="A1902" s="80" t="inlineStr">
        <is>
          <t>Capacity</t>
        </is>
      </c>
      <c r="B1902" s="103">
        <f>IF(A1897="","",batches!G318)</f>
        <v/>
      </c>
      <c r="C1902" s="101" t="n"/>
      <c r="D1902" s="102" t="n"/>
      <c r="G1902" s="80" t="inlineStr">
        <is>
          <t>Capacity</t>
        </is>
      </c>
      <c r="H1902" s="103">
        <f>IF(G1897="","",batches!G319)</f>
        <v/>
      </c>
      <c r="I1902" s="101" t="n"/>
      <c r="J1902" s="102" t="n"/>
    </row>
    <row r="1903" ht="15.75" customHeight="1" s="84">
      <c r="A1903" s="80" t="inlineStr">
        <is>
          <t>Enrolled</t>
        </is>
      </c>
      <c r="B1903" s="103">
        <f>IF(A1897="","",COUNTIF(admissions!$M:$M,batches!A318))</f>
        <v/>
      </c>
      <c r="C1903" s="101" t="n"/>
      <c r="D1903" s="102" t="n"/>
      <c r="G1903" s="80" t="inlineStr">
        <is>
          <t>Enrolled</t>
        </is>
      </c>
      <c r="H1903" s="103">
        <f>IF(G1897="","",COUNTIF(admissions!$M:$M,batches!A319))</f>
        <v/>
      </c>
      <c r="I1903" s="101" t="n"/>
      <c r="J1903" s="102" t="n"/>
    </row>
    <row r="1904" ht="15.75" customHeight="1" s="84">
      <c r="A1904" s="80" t="inlineStr">
        <is>
          <t>Available</t>
        </is>
      </c>
      <c r="B1904" s="103">
        <f>IF(OR(batches!A318="",batches!G318=""),"",batches!G318-COUNTIF(admissions!$M:$M,batches!A318))</f>
        <v/>
      </c>
      <c r="C1904" s="101" t="n"/>
      <c r="D1904" s="102" t="n"/>
      <c r="G1904" s="80" t="inlineStr">
        <is>
          <t>Available</t>
        </is>
      </c>
      <c r="H1904" s="103">
        <f>IF(OR(batches!A319="",batches!G319=""),"",batches!G319-COUNTIF(admissions!$M:$M,batches!A319))</f>
        <v/>
      </c>
      <c r="I1904" s="101" t="n"/>
      <c r="J1904" s="102" t="n"/>
    </row>
    <row r="1905" ht="15.75" customHeight="1" s="84">
      <c r="A1905" s="104" t="inlineStr">
        <is>
          <t>Student List</t>
        </is>
      </c>
      <c r="B1905" s="101" t="n"/>
      <c r="C1905" s="101" t="n"/>
      <c r="D1905" s="102" t="n"/>
      <c r="G1905" s="104" t="inlineStr">
        <is>
          <t>Student List</t>
        </is>
      </c>
      <c r="H1905" s="101" t="n"/>
      <c r="I1905" s="101" t="n"/>
      <c r="J1905" s="102" t="n"/>
    </row>
    <row r="1906" ht="15.75" customHeight="1" s="84">
      <c r="A1906" s="105">
        <f>IFERROR(__xludf.DUMMYFUNCTION("IF(batches!A318="""","""",TEXTJOIN(CHAR(10),TRUE,FILTER(admissions!$G$2:$G$78,admissions!$M$2:$M$78=batches!A318,"""")))"),"")</f>
        <v/>
      </c>
      <c r="B1906" s="101" t="n"/>
      <c r="C1906" s="101" t="n"/>
      <c r="D1906" s="102" t="n"/>
      <c r="G1906" s="105">
        <f>IFERROR(__xludf.DUMMYFUNCTION("IF(batches!A319="""","""",TEXTJOIN(CHAR(10),TRUE,FILTER(admissions!$G$2:$G$78,admissions!$M$2:$M$78=batches!A319,"""")))"),"")</f>
        <v/>
      </c>
      <c r="H1906" s="101" t="n"/>
      <c r="I1906" s="101" t="n"/>
      <c r="J1906" s="102" t="n"/>
    </row>
    <row r="1907" ht="15.75" customHeight="1" s="84"/>
    <row r="1908" ht="15.75" customHeight="1" s="84"/>
    <row r="1909" ht="15.75" customHeight="1" s="84">
      <c r="A1909" s="100">
        <f>IF(batches!A320="","",batches!A320)</f>
        <v/>
      </c>
      <c r="B1909" s="101" t="n"/>
      <c r="C1909" s="101" t="n"/>
      <c r="D1909" s="102" t="n"/>
      <c r="G1909" s="100">
        <f>IF(batches!A321="","",batches!A321)</f>
        <v/>
      </c>
      <c r="H1909" s="101" t="n"/>
      <c r="I1909" s="101" t="n"/>
      <c r="J1909" s="102" t="n"/>
    </row>
    <row r="1910" ht="15.75" customHeight="1" s="84">
      <c r="A1910" s="80" t="inlineStr">
        <is>
          <t>Level / Mode</t>
        </is>
      </c>
      <c r="B1910" s="103">
        <f>IF(A1909="","",batches!B320&amp;" / "&amp;batches!C320)</f>
        <v/>
      </c>
      <c r="C1910" s="101" t="n"/>
      <c r="D1910" s="102" t="n"/>
      <c r="G1910" s="80" t="inlineStr">
        <is>
          <t>Level / Mode</t>
        </is>
      </c>
      <c r="H1910" s="103">
        <f>IF(G1909="","",batches!B321&amp;" / "&amp;batches!C321)</f>
        <v/>
      </c>
      <c r="I1910" s="101" t="n"/>
      <c r="J1910" s="102" t="n"/>
    </row>
    <row r="1911" ht="15.75" customHeight="1" s="84">
      <c r="A1911" s="80" t="inlineStr">
        <is>
          <t>Dates</t>
        </is>
      </c>
      <c r="B1911" s="103">
        <f>IF(A1909="","",TEXT(batches!D320,"yyyy-mm-dd")&amp;" to "&amp;TEXT(batches!E320,"yyyy-mm-dd"))</f>
        <v/>
      </c>
      <c r="C1911" s="101" t="n"/>
      <c r="D1911" s="102" t="n"/>
      <c r="G1911" s="80" t="inlineStr">
        <is>
          <t>Dates</t>
        </is>
      </c>
      <c r="H1911" s="103">
        <f>IF(G1909="","",TEXT(batches!D321,"yyyy-mm-dd")&amp;" to "&amp;TEXT(batches!E321,"yyyy-mm-dd"))</f>
        <v/>
      </c>
      <c r="I1911" s="101" t="n"/>
      <c r="J1911" s="102" t="n"/>
    </row>
    <row r="1912" ht="15.75" customHeight="1" s="84">
      <c r="A1912" s="80" t="inlineStr">
        <is>
          <t>Duration</t>
        </is>
      </c>
      <c r="B1912" s="103">
        <f>IF(OR(batches!D320="",batches!E320=""),"",batches!E320-batches!D320+1&amp;" days")</f>
        <v/>
      </c>
      <c r="C1912" s="101" t="n"/>
      <c r="D1912" s="102" t="n"/>
      <c r="G1912" s="80" t="inlineStr">
        <is>
          <t>Duration</t>
        </is>
      </c>
      <c r="H1912" s="103">
        <f>IF(OR(batches!D321="",batches!E321=""),"",batches!E321-batches!D321+1&amp;" days")</f>
        <v/>
      </c>
      <c r="I1912" s="101" t="n"/>
      <c r="J1912" s="102" t="n"/>
    </row>
    <row r="1913" ht="15.75" customHeight="1" s="84">
      <c r="A1913" s="80" t="inlineStr">
        <is>
          <t>Timing</t>
        </is>
      </c>
      <c r="B1913" s="103">
        <f>IF(A1909="","",batches!F320)</f>
        <v/>
      </c>
      <c r="C1913" s="101" t="n"/>
      <c r="D1913" s="102" t="n"/>
      <c r="G1913" s="80" t="inlineStr">
        <is>
          <t>Timing</t>
        </is>
      </c>
      <c r="H1913" s="103">
        <f>IF(G1909="","",batches!F321)</f>
        <v/>
      </c>
      <c r="I1913" s="101" t="n"/>
      <c r="J1913" s="102" t="n"/>
    </row>
    <row r="1914" ht="15.75" customHeight="1" s="84">
      <c r="A1914" s="80" t="inlineStr">
        <is>
          <t>Capacity</t>
        </is>
      </c>
      <c r="B1914" s="103">
        <f>IF(A1909="","",batches!G320)</f>
        <v/>
      </c>
      <c r="C1914" s="101" t="n"/>
      <c r="D1914" s="102" t="n"/>
      <c r="G1914" s="80" t="inlineStr">
        <is>
          <t>Capacity</t>
        </is>
      </c>
      <c r="H1914" s="103">
        <f>IF(G1909="","",batches!G321)</f>
        <v/>
      </c>
      <c r="I1914" s="101" t="n"/>
      <c r="J1914" s="102" t="n"/>
    </row>
    <row r="1915" ht="15.75" customHeight="1" s="84">
      <c r="A1915" s="80" t="inlineStr">
        <is>
          <t>Enrolled</t>
        </is>
      </c>
      <c r="B1915" s="103">
        <f>IF(A1909="","",COUNTIF(admissions!$M:$M,batches!A320))</f>
        <v/>
      </c>
      <c r="C1915" s="101" t="n"/>
      <c r="D1915" s="102" t="n"/>
      <c r="G1915" s="80" t="inlineStr">
        <is>
          <t>Enrolled</t>
        </is>
      </c>
      <c r="H1915" s="103">
        <f>IF(G1909="","",COUNTIF(admissions!$M:$M,batches!A321))</f>
        <v/>
      </c>
      <c r="I1915" s="101" t="n"/>
      <c r="J1915" s="102" t="n"/>
    </row>
    <row r="1916" ht="15.75" customHeight="1" s="84">
      <c r="A1916" s="80" t="inlineStr">
        <is>
          <t>Available</t>
        </is>
      </c>
      <c r="B1916" s="103">
        <f>IF(OR(batches!A320="",batches!G320=""),"",batches!G320-COUNTIF(admissions!$M:$M,batches!A320))</f>
        <v/>
      </c>
      <c r="C1916" s="101" t="n"/>
      <c r="D1916" s="102" t="n"/>
      <c r="G1916" s="80" t="inlineStr">
        <is>
          <t>Available</t>
        </is>
      </c>
      <c r="H1916" s="103">
        <f>IF(OR(batches!A321="",batches!G321=""),"",batches!G321-COUNTIF(admissions!$M:$M,batches!A321))</f>
        <v/>
      </c>
      <c r="I1916" s="101" t="n"/>
      <c r="J1916" s="102" t="n"/>
    </row>
    <row r="1917" ht="15.75" customHeight="1" s="84">
      <c r="A1917" s="104" t="inlineStr">
        <is>
          <t>Student List</t>
        </is>
      </c>
      <c r="B1917" s="101" t="n"/>
      <c r="C1917" s="101" t="n"/>
      <c r="D1917" s="102" t="n"/>
      <c r="G1917" s="104" t="inlineStr">
        <is>
          <t>Student List</t>
        </is>
      </c>
      <c r="H1917" s="101" t="n"/>
      <c r="I1917" s="101" t="n"/>
      <c r="J1917" s="102" t="n"/>
    </row>
    <row r="1918" ht="15.75" customHeight="1" s="84">
      <c r="A1918" s="105">
        <f>IFERROR(__xludf.DUMMYFUNCTION("IF(batches!A320="""","""",TEXTJOIN(CHAR(10),TRUE,FILTER(admissions!$G$2:$G$78,admissions!$M$2:$M$78=batches!A320,"""")))"),"")</f>
        <v/>
      </c>
      <c r="B1918" s="101" t="n"/>
      <c r="C1918" s="101" t="n"/>
      <c r="D1918" s="102" t="n"/>
      <c r="G1918" s="105">
        <f>IFERROR(__xludf.DUMMYFUNCTION("IF(batches!A321="""","""",TEXTJOIN(CHAR(10),TRUE,FILTER(admissions!$G$2:$G$78,admissions!$M$2:$M$78=batches!A321,"""")))"),"")</f>
        <v/>
      </c>
      <c r="H1918" s="101" t="n"/>
      <c r="I1918" s="101" t="n"/>
      <c r="J1918" s="102" t="n"/>
    </row>
    <row r="1919" ht="15.75" customHeight="1" s="84"/>
    <row r="1920" ht="15.75" customHeight="1" s="84"/>
    <row r="1921" ht="15.75" customHeight="1" s="84">
      <c r="A1921" s="100">
        <f>IF(batches!A322="","",batches!A322)</f>
        <v/>
      </c>
      <c r="B1921" s="101" t="n"/>
      <c r="C1921" s="101" t="n"/>
      <c r="D1921" s="102" t="n"/>
      <c r="G1921" s="100">
        <f>IF(batches!A323="","",batches!A323)</f>
        <v/>
      </c>
      <c r="H1921" s="101" t="n"/>
      <c r="I1921" s="101" t="n"/>
      <c r="J1921" s="102" t="n"/>
    </row>
    <row r="1922" ht="15.75" customHeight="1" s="84">
      <c r="A1922" s="80" t="inlineStr">
        <is>
          <t>Level / Mode</t>
        </is>
      </c>
      <c r="B1922" s="103">
        <f>IF(A1921="","",batches!B322&amp;" / "&amp;batches!C322)</f>
        <v/>
      </c>
      <c r="C1922" s="101" t="n"/>
      <c r="D1922" s="102" t="n"/>
      <c r="G1922" s="80" t="inlineStr">
        <is>
          <t>Level / Mode</t>
        </is>
      </c>
      <c r="H1922" s="103">
        <f>IF(G1921="","",batches!B323&amp;" / "&amp;batches!C323)</f>
        <v/>
      </c>
      <c r="I1922" s="101" t="n"/>
      <c r="J1922" s="102" t="n"/>
    </row>
    <row r="1923" ht="15.75" customHeight="1" s="84">
      <c r="A1923" s="80" t="inlineStr">
        <is>
          <t>Dates</t>
        </is>
      </c>
      <c r="B1923" s="103">
        <f>IF(A1921="","",TEXT(batches!D322,"yyyy-mm-dd")&amp;" to "&amp;TEXT(batches!E322,"yyyy-mm-dd"))</f>
        <v/>
      </c>
      <c r="C1923" s="101" t="n"/>
      <c r="D1923" s="102" t="n"/>
      <c r="G1923" s="80" t="inlineStr">
        <is>
          <t>Dates</t>
        </is>
      </c>
      <c r="H1923" s="103">
        <f>IF(G1921="","",TEXT(batches!D323,"yyyy-mm-dd")&amp;" to "&amp;TEXT(batches!E323,"yyyy-mm-dd"))</f>
        <v/>
      </c>
      <c r="I1923" s="101" t="n"/>
      <c r="J1923" s="102" t="n"/>
    </row>
    <row r="1924" ht="15.75" customHeight="1" s="84">
      <c r="A1924" s="80" t="inlineStr">
        <is>
          <t>Duration</t>
        </is>
      </c>
      <c r="B1924" s="103">
        <f>IF(OR(batches!D322="",batches!E322=""),"",batches!E322-batches!D322+1&amp;" days")</f>
        <v/>
      </c>
      <c r="C1924" s="101" t="n"/>
      <c r="D1924" s="102" t="n"/>
      <c r="G1924" s="80" t="inlineStr">
        <is>
          <t>Duration</t>
        </is>
      </c>
      <c r="H1924" s="103">
        <f>IF(OR(batches!D323="",batches!E323=""),"",batches!E323-batches!D323+1&amp;" days")</f>
        <v/>
      </c>
      <c r="I1924" s="101" t="n"/>
      <c r="J1924" s="102" t="n"/>
    </row>
    <row r="1925" ht="15.75" customHeight="1" s="84">
      <c r="A1925" s="80" t="inlineStr">
        <is>
          <t>Timing</t>
        </is>
      </c>
      <c r="B1925" s="103">
        <f>IF(A1921="","",batches!F322)</f>
        <v/>
      </c>
      <c r="C1925" s="101" t="n"/>
      <c r="D1925" s="102" t="n"/>
      <c r="G1925" s="80" t="inlineStr">
        <is>
          <t>Timing</t>
        </is>
      </c>
      <c r="H1925" s="103">
        <f>IF(G1921="","",batches!F323)</f>
        <v/>
      </c>
      <c r="I1925" s="101" t="n"/>
      <c r="J1925" s="102" t="n"/>
    </row>
    <row r="1926" ht="15.75" customHeight="1" s="84">
      <c r="A1926" s="80" t="inlineStr">
        <is>
          <t>Capacity</t>
        </is>
      </c>
      <c r="B1926" s="103">
        <f>IF(A1921="","",batches!G322)</f>
        <v/>
      </c>
      <c r="C1926" s="101" t="n"/>
      <c r="D1926" s="102" t="n"/>
      <c r="G1926" s="80" t="inlineStr">
        <is>
          <t>Capacity</t>
        </is>
      </c>
      <c r="H1926" s="103">
        <f>IF(G1921="","",batches!G323)</f>
        <v/>
      </c>
      <c r="I1926" s="101" t="n"/>
      <c r="J1926" s="102" t="n"/>
    </row>
    <row r="1927" ht="15.75" customHeight="1" s="84">
      <c r="A1927" s="80" t="inlineStr">
        <is>
          <t>Enrolled</t>
        </is>
      </c>
      <c r="B1927" s="103">
        <f>IF(A1921="","",COUNTIF(admissions!$M:$M,batches!A322))</f>
        <v/>
      </c>
      <c r="C1927" s="101" t="n"/>
      <c r="D1927" s="102" t="n"/>
      <c r="G1927" s="80" t="inlineStr">
        <is>
          <t>Enrolled</t>
        </is>
      </c>
      <c r="H1927" s="103">
        <f>IF(G1921="","",COUNTIF(admissions!$M:$M,batches!A323))</f>
        <v/>
      </c>
      <c r="I1927" s="101" t="n"/>
      <c r="J1927" s="102" t="n"/>
    </row>
    <row r="1928" ht="15.75" customHeight="1" s="84">
      <c r="A1928" s="80" t="inlineStr">
        <is>
          <t>Available</t>
        </is>
      </c>
      <c r="B1928" s="103">
        <f>IF(OR(batches!A322="",batches!G322=""),"",batches!G322-COUNTIF(admissions!$M:$M,batches!A322))</f>
        <v/>
      </c>
      <c r="C1928" s="101" t="n"/>
      <c r="D1928" s="102" t="n"/>
      <c r="G1928" s="80" t="inlineStr">
        <is>
          <t>Available</t>
        </is>
      </c>
      <c r="H1928" s="103">
        <f>IF(OR(batches!A323="",batches!G323=""),"",batches!G323-COUNTIF(admissions!$M:$M,batches!A323))</f>
        <v/>
      </c>
      <c r="I1928" s="101" t="n"/>
      <c r="J1928" s="102" t="n"/>
    </row>
    <row r="1929" ht="15.75" customHeight="1" s="84">
      <c r="A1929" s="104" t="inlineStr">
        <is>
          <t>Student List</t>
        </is>
      </c>
      <c r="B1929" s="101" t="n"/>
      <c r="C1929" s="101" t="n"/>
      <c r="D1929" s="102" t="n"/>
      <c r="G1929" s="104" t="inlineStr">
        <is>
          <t>Student List</t>
        </is>
      </c>
      <c r="H1929" s="101" t="n"/>
      <c r="I1929" s="101" t="n"/>
      <c r="J1929" s="102" t="n"/>
    </row>
    <row r="1930" ht="15.75" customHeight="1" s="84">
      <c r="A1930" s="105">
        <f>IFERROR(__xludf.DUMMYFUNCTION("IF(batches!A322="""","""",TEXTJOIN(CHAR(10),TRUE,FILTER(admissions!$G$2:$G$78,admissions!$M$2:$M$78=batches!A322,"""")))"),"")</f>
        <v/>
      </c>
      <c r="B1930" s="101" t="n"/>
      <c r="C1930" s="101" t="n"/>
      <c r="D1930" s="102" t="n"/>
      <c r="G1930" s="105">
        <f>IFERROR(__xludf.DUMMYFUNCTION("IF(batches!A323="""","""",TEXTJOIN(CHAR(10),TRUE,FILTER(admissions!$G$2:$G$78,admissions!$M$2:$M$78=batches!A323,"""")))"),"")</f>
        <v/>
      </c>
      <c r="H1930" s="101" t="n"/>
      <c r="I1930" s="101" t="n"/>
      <c r="J1930" s="102" t="n"/>
    </row>
    <row r="1931" ht="15.75" customHeight="1" s="84"/>
    <row r="1932" ht="15.75" customHeight="1" s="84"/>
    <row r="1933" ht="15.75" customHeight="1" s="84">
      <c r="A1933" s="100">
        <f>IF(batches!A324="","",batches!A324)</f>
        <v/>
      </c>
      <c r="B1933" s="101" t="n"/>
      <c r="C1933" s="101" t="n"/>
      <c r="D1933" s="102" t="n"/>
      <c r="G1933" s="100">
        <f>IF(batches!A325="","",batches!A325)</f>
        <v/>
      </c>
      <c r="H1933" s="101" t="n"/>
      <c r="I1933" s="101" t="n"/>
      <c r="J1933" s="102" t="n"/>
    </row>
    <row r="1934" ht="15.75" customHeight="1" s="84">
      <c r="A1934" s="80" t="inlineStr">
        <is>
          <t>Level / Mode</t>
        </is>
      </c>
      <c r="B1934" s="103">
        <f>IF(A1933="","",batches!B324&amp;" / "&amp;batches!C324)</f>
        <v/>
      </c>
      <c r="C1934" s="101" t="n"/>
      <c r="D1934" s="102" t="n"/>
      <c r="G1934" s="80" t="inlineStr">
        <is>
          <t>Level / Mode</t>
        </is>
      </c>
      <c r="H1934" s="103">
        <f>IF(G1933="","",batches!B325&amp;" / "&amp;batches!C325)</f>
        <v/>
      </c>
      <c r="I1934" s="101" t="n"/>
      <c r="J1934" s="102" t="n"/>
    </row>
    <row r="1935" ht="15.75" customHeight="1" s="84">
      <c r="A1935" s="80" t="inlineStr">
        <is>
          <t>Dates</t>
        </is>
      </c>
      <c r="B1935" s="103">
        <f>IF(A1933="","",TEXT(batches!D324,"yyyy-mm-dd")&amp;" to "&amp;TEXT(batches!E324,"yyyy-mm-dd"))</f>
        <v/>
      </c>
      <c r="C1935" s="101" t="n"/>
      <c r="D1935" s="102" t="n"/>
      <c r="G1935" s="80" t="inlineStr">
        <is>
          <t>Dates</t>
        </is>
      </c>
      <c r="H1935" s="103">
        <f>IF(G1933="","",TEXT(batches!D325,"yyyy-mm-dd")&amp;" to "&amp;TEXT(batches!E325,"yyyy-mm-dd"))</f>
        <v/>
      </c>
      <c r="I1935" s="101" t="n"/>
      <c r="J1935" s="102" t="n"/>
    </row>
    <row r="1936" ht="15.75" customHeight="1" s="84">
      <c r="A1936" s="80" t="inlineStr">
        <is>
          <t>Duration</t>
        </is>
      </c>
      <c r="B1936" s="103">
        <f>IF(OR(batches!D324="",batches!E324=""),"",batches!E324-batches!D324+1&amp;" days")</f>
        <v/>
      </c>
      <c r="C1936" s="101" t="n"/>
      <c r="D1936" s="102" t="n"/>
      <c r="G1936" s="80" t="inlineStr">
        <is>
          <t>Duration</t>
        </is>
      </c>
      <c r="H1936" s="103">
        <f>IF(OR(batches!D325="",batches!E325=""),"",batches!E325-batches!D325+1&amp;" days")</f>
        <v/>
      </c>
      <c r="I1936" s="101" t="n"/>
      <c r="J1936" s="102" t="n"/>
    </row>
    <row r="1937" ht="15.75" customHeight="1" s="84">
      <c r="A1937" s="80" t="inlineStr">
        <is>
          <t>Timing</t>
        </is>
      </c>
      <c r="B1937" s="103">
        <f>IF(A1933="","",batches!F324)</f>
        <v/>
      </c>
      <c r="C1937" s="101" t="n"/>
      <c r="D1937" s="102" t="n"/>
      <c r="G1937" s="80" t="inlineStr">
        <is>
          <t>Timing</t>
        </is>
      </c>
      <c r="H1937" s="103">
        <f>IF(G1933="","",batches!F325)</f>
        <v/>
      </c>
      <c r="I1937" s="101" t="n"/>
      <c r="J1937" s="102" t="n"/>
    </row>
    <row r="1938" ht="15.75" customHeight="1" s="84">
      <c r="A1938" s="80" t="inlineStr">
        <is>
          <t>Capacity</t>
        </is>
      </c>
      <c r="B1938" s="103">
        <f>IF(A1933="","",batches!G324)</f>
        <v/>
      </c>
      <c r="C1938" s="101" t="n"/>
      <c r="D1938" s="102" t="n"/>
      <c r="G1938" s="80" t="inlineStr">
        <is>
          <t>Capacity</t>
        </is>
      </c>
      <c r="H1938" s="103">
        <f>IF(G1933="","",batches!G325)</f>
        <v/>
      </c>
      <c r="I1938" s="101" t="n"/>
      <c r="J1938" s="102" t="n"/>
    </row>
    <row r="1939" ht="15.75" customHeight="1" s="84">
      <c r="A1939" s="80" t="inlineStr">
        <is>
          <t>Enrolled</t>
        </is>
      </c>
      <c r="B1939" s="103">
        <f>IF(A1933="","",COUNTIF(admissions!$M:$M,batches!A324))</f>
        <v/>
      </c>
      <c r="C1939" s="101" t="n"/>
      <c r="D1939" s="102" t="n"/>
      <c r="G1939" s="80" t="inlineStr">
        <is>
          <t>Enrolled</t>
        </is>
      </c>
      <c r="H1939" s="103">
        <f>IF(G1933="","",COUNTIF(admissions!$M:$M,batches!A325))</f>
        <v/>
      </c>
      <c r="I1939" s="101" t="n"/>
      <c r="J1939" s="102" t="n"/>
    </row>
    <row r="1940" ht="15.75" customHeight="1" s="84">
      <c r="A1940" s="80" t="inlineStr">
        <is>
          <t>Available</t>
        </is>
      </c>
      <c r="B1940" s="103">
        <f>IF(OR(batches!A324="",batches!G324=""),"",batches!G324-COUNTIF(admissions!$M:$M,batches!A324))</f>
        <v/>
      </c>
      <c r="C1940" s="101" t="n"/>
      <c r="D1940" s="102" t="n"/>
      <c r="G1940" s="80" t="inlineStr">
        <is>
          <t>Available</t>
        </is>
      </c>
      <c r="H1940" s="103">
        <f>IF(OR(batches!A325="",batches!G325=""),"",batches!G325-COUNTIF(admissions!$M:$M,batches!A325))</f>
        <v/>
      </c>
      <c r="I1940" s="101" t="n"/>
      <c r="J1940" s="102" t="n"/>
    </row>
    <row r="1941" ht="15.75" customHeight="1" s="84">
      <c r="A1941" s="104" t="inlineStr">
        <is>
          <t>Student List</t>
        </is>
      </c>
      <c r="B1941" s="101" t="n"/>
      <c r="C1941" s="101" t="n"/>
      <c r="D1941" s="102" t="n"/>
      <c r="G1941" s="104" t="inlineStr">
        <is>
          <t>Student List</t>
        </is>
      </c>
      <c r="H1941" s="101" t="n"/>
      <c r="I1941" s="101" t="n"/>
      <c r="J1941" s="102" t="n"/>
    </row>
    <row r="1942" ht="15.75" customHeight="1" s="84">
      <c r="A1942" s="105">
        <f>IFERROR(__xludf.DUMMYFUNCTION("IF(batches!A324="""","""",TEXTJOIN(CHAR(10),TRUE,FILTER(admissions!$G$2:$G$78,admissions!$M$2:$M$78=batches!A324,"""")))"),"")</f>
        <v/>
      </c>
      <c r="B1942" s="101" t="n"/>
      <c r="C1942" s="101" t="n"/>
      <c r="D1942" s="102" t="n"/>
      <c r="G1942" s="105">
        <f>IFERROR(__xludf.DUMMYFUNCTION("IF(batches!A325="""","""",TEXTJOIN(CHAR(10),TRUE,FILTER(admissions!$G$2:$G$78,admissions!$M$2:$M$78=batches!A325,"""")))"),"")</f>
        <v/>
      </c>
      <c r="H1942" s="101" t="n"/>
      <c r="I1942" s="101" t="n"/>
      <c r="J1942" s="102" t="n"/>
    </row>
    <row r="1943" ht="15.75" customHeight="1" s="84"/>
    <row r="1944" ht="15.75" customHeight="1" s="84"/>
    <row r="1945" ht="15.75" customHeight="1" s="84">
      <c r="A1945" s="100">
        <f>IF(batches!A326="","",batches!A326)</f>
        <v/>
      </c>
      <c r="B1945" s="101" t="n"/>
      <c r="C1945" s="101" t="n"/>
      <c r="D1945" s="102" t="n"/>
      <c r="G1945" s="100">
        <f>IF(batches!A327="","",batches!A327)</f>
        <v/>
      </c>
      <c r="H1945" s="101" t="n"/>
      <c r="I1945" s="101" t="n"/>
      <c r="J1945" s="102" t="n"/>
    </row>
    <row r="1946" ht="15.75" customHeight="1" s="84">
      <c r="A1946" s="80" t="inlineStr">
        <is>
          <t>Level / Mode</t>
        </is>
      </c>
      <c r="B1946" s="103">
        <f>IF(A1945="","",batches!B326&amp;" / "&amp;batches!C326)</f>
        <v/>
      </c>
      <c r="C1946" s="101" t="n"/>
      <c r="D1946" s="102" t="n"/>
      <c r="G1946" s="80" t="inlineStr">
        <is>
          <t>Level / Mode</t>
        </is>
      </c>
      <c r="H1946" s="103">
        <f>IF(G1945="","",batches!B327&amp;" / "&amp;batches!C327)</f>
        <v/>
      </c>
      <c r="I1946" s="101" t="n"/>
      <c r="J1946" s="102" t="n"/>
    </row>
    <row r="1947" ht="15.75" customHeight="1" s="84">
      <c r="A1947" s="80" t="inlineStr">
        <is>
          <t>Dates</t>
        </is>
      </c>
      <c r="B1947" s="103">
        <f>IF(A1945="","",TEXT(batches!D326,"yyyy-mm-dd")&amp;" to "&amp;TEXT(batches!E326,"yyyy-mm-dd"))</f>
        <v/>
      </c>
      <c r="C1947" s="101" t="n"/>
      <c r="D1947" s="102" t="n"/>
      <c r="G1947" s="80" t="inlineStr">
        <is>
          <t>Dates</t>
        </is>
      </c>
      <c r="H1947" s="103">
        <f>IF(G1945="","",TEXT(batches!D327,"yyyy-mm-dd")&amp;" to "&amp;TEXT(batches!E327,"yyyy-mm-dd"))</f>
        <v/>
      </c>
      <c r="I1947" s="101" t="n"/>
      <c r="J1947" s="102" t="n"/>
    </row>
    <row r="1948" ht="15.75" customHeight="1" s="84">
      <c r="A1948" s="80" t="inlineStr">
        <is>
          <t>Duration</t>
        </is>
      </c>
      <c r="B1948" s="103">
        <f>IF(OR(batches!D326="",batches!E326=""),"",batches!E326-batches!D326+1&amp;" days")</f>
        <v/>
      </c>
      <c r="C1948" s="101" t="n"/>
      <c r="D1948" s="102" t="n"/>
      <c r="G1948" s="80" t="inlineStr">
        <is>
          <t>Duration</t>
        </is>
      </c>
      <c r="H1948" s="103">
        <f>IF(OR(batches!D327="",batches!E327=""),"",batches!E327-batches!D327+1&amp;" days")</f>
        <v/>
      </c>
      <c r="I1948" s="101" t="n"/>
      <c r="J1948" s="102" t="n"/>
    </row>
    <row r="1949" ht="15.75" customHeight="1" s="84">
      <c r="A1949" s="80" t="inlineStr">
        <is>
          <t>Timing</t>
        </is>
      </c>
      <c r="B1949" s="103">
        <f>IF(A1945="","",batches!F326)</f>
        <v/>
      </c>
      <c r="C1949" s="101" t="n"/>
      <c r="D1949" s="102" t="n"/>
      <c r="G1949" s="80" t="inlineStr">
        <is>
          <t>Timing</t>
        </is>
      </c>
      <c r="H1949" s="103">
        <f>IF(G1945="","",batches!F327)</f>
        <v/>
      </c>
      <c r="I1949" s="101" t="n"/>
      <c r="J1949" s="102" t="n"/>
    </row>
    <row r="1950" ht="15.75" customHeight="1" s="84">
      <c r="A1950" s="80" t="inlineStr">
        <is>
          <t>Capacity</t>
        </is>
      </c>
      <c r="B1950" s="103">
        <f>IF(A1945="","",batches!G326)</f>
        <v/>
      </c>
      <c r="C1950" s="101" t="n"/>
      <c r="D1950" s="102" t="n"/>
      <c r="G1950" s="80" t="inlineStr">
        <is>
          <t>Capacity</t>
        </is>
      </c>
      <c r="H1950" s="103">
        <f>IF(G1945="","",batches!G327)</f>
        <v/>
      </c>
      <c r="I1950" s="101" t="n"/>
      <c r="J1950" s="102" t="n"/>
    </row>
    <row r="1951" ht="15.75" customHeight="1" s="84">
      <c r="A1951" s="80" t="inlineStr">
        <is>
          <t>Enrolled</t>
        </is>
      </c>
      <c r="B1951" s="103">
        <f>IF(A1945="","",COUNTIF(admissions!$M:$M,batches!A326))</f>
        <v/>
      </c>
      <c r="C1951" s="101" t="n"/>
      <c r="D1951" s="102" t="n"/>
      <c r="G1951" s="80" t="inlineStr">
        <is>
          <t>Enrolled</t>
        </is>
      </c>
      <c r="H1951" s="103">
        <f>IF(G1945="","",COUNTIF(admissions!$M:$M,batches!A327))</f>
        <v/>
      </c>
      <c r="I1951" s="101" t="n"/>
      <c r="J1951" s="102" t="n"/>
    </row>
    <row r="1952" ht="15.75" customHeight="1" s="84">
      <c r="A1952" s="80" t="inlineStr">
        <is>
          <t>Available</t>
        </is>
      </c>
      <c r="B1952" s="103">
        <f>IF(OR(batches!A326="",batches!G326=""),"",batches!G326-COUNTIF(admissions!$M:$M,batches!A326))</f>
        <v/>
      </c>
      <c r="C1952" s="101" t="n"/>
      <c r="D1952" s="102" t="n"/>
      <c r="G1952" s="80" t="inlineStr">
        <is>
          <t>Available</t>
        </is>
      </c>
      <c r="H1952" s="103">
        <f>IF(OR(batches!A327="",batches!G327=""),"",batches!G327-COUNTIF(admissions!$M:$M,batches!A327))</f>
        <v/>
      </c>
      <c r="I1952" s="101" t="n"/>
      <c r="J1952" s="102" t="n"/>
    </row>
    <row r="1953" ht="15.75" customHeight="1" s="84">
      <c r="A1953" s="104" t="inlineStr">
        <is>
          <t>Student List</t>
        </is>
      </c>
      <c r="B1953" s="101" t="n"/>
      <c r="C1953" s="101" t="n"/>
      <c r="D1953" s="102" t="n"/>
      <c r="G1953" s="104" t="inlineStr">
        <is>
          <t>Student List</t>
        </is>
      </c>
      <c r="H1953" s="101" t="n"/>
      <c r="I1953" s="101" t="n"/>
      <c r="J1953" s="102" t="n"/>
    </row>
    <row r="1954" ht="15.75" customHeight="1" s="84">
      <c r="A1954" s="105">
        <f>IFERROR(__xludf.DUMMYFUNCTION("IF(batches!A326="""","""",TEXTJOIN(CHAR(10),TRUE,FILTER(admissions!$G$2:$G$78,admissions!$M$2:$M$78=batches!A326,"""")))"),"")</f>
        <v/>
      </c>
      <c r="B1954" s="101" t="n"/>
      <c r="C1954" s="101" t="n"/>
      <c r="D1954" s="102" t="n"/>
      <c r="G1954" s="105">
        <f>IFERROR(__xludf.DUMMYFUNCTION("IF(batches!A327="""","""",TEXTJOIN(CHAR(10),TRUE,FILTER(admissions!$G$2:$G$78,admissions!$M$2:$M$78=batches!A327,"""")))"),"")</f>
        <v/>
      </c>
      <c r="H1954" s="101" t="n"/>
      <c r="I1954" s="101" t="n"/>
      <c r="J1954" s="102" t="n"/>
    </row>
    <row r="1955" ht="15.75" customHeight="1" s="84"/>
    <row r="1956" ht="15.75" customHeight="1" s="84"/>
    <row r="1957" ht="15.75" customHeight="1" s="84">
      <c r="A1957" s="100">
        <f>IF(batches!A328="","",batches!A328)</f>
        <v/>
      </c>
      <c r="B1957" s="101" t="n"/>
      <c r="C1957" s="101" t="n"/>
      <c r="D1957" s="102" t="n"/>
      <c r="G1957" s="100">
        <f>IF(batches!A329="","",batches!A329)</f>
        <v/>
      </c>
      <c r="H1957" s="101" t="n"/>
      <c r="I1957" s="101" t="n"/>
      <c r="J1957" s="102" t="n"/>
    </row>
    <row r="1958" ht="15.75" customHeight="1" s="84">
      <c r="A1958" s="80" t="inlineStr">
        <is>
          <t>Level / Mode</t>
        </is>
      </c>
      <c r="B1958" s="103">
        <f>IF(A1957="","",batches!B328&amp;" / "&amp;batches!C328)</f>
        <v/>
      </c>
      <c r="C1958" s="101" t="n"/>
      <c r="D1958" s="102" t="n"/>
      <c r="G1958" s="80" t="inlineStr">
        <is>
          <t>Level / Mode</t>
        </is>
      </c>
      <c r="H1958" s="103">
        <f>IF(G1957="","",batches!B329&amp;" / "&amp;batches!C329)</f>
        <v/>
      </c>
      <c r="I1958" s="101" t="n"/>
      <c r="J1958" s="102" t="n"/>
    </row>
    <row r="1959" ht="15.75" customHeight="1" s="84">
      <c r="A1959" s="80" t="inlineStr">
        <is>
          <t>Dates</t>
        </is>
      </c>
      <c r="B1959" s="103">
        <f>IF(A1957="","",TEXT(batches!D328,"yyyy-mm-dd")&amp;" to "&amp;TEXT(batches!E328,"yyyy-mm-dd"))</f>
        <v/>
      </c>
      <c r="C1959" s="101" t="n"/>
      <c r="D1959" s="102" t="n"/>
      <c r="G1959" s="80" t="inlineStr">
        <is>
          <t>Dates</t>
        </is>
      </c>
      <c r="H1959" s="103">
        <f>IF(G1957="","",TEXT(batches!D329,"yyyy-mm-dd")&amp;" to "&amp;TEXT(batches!E329,"yyyy-mm-dd"))</f>
        <v/>
      </c>
      <c r="I1959" s="101" t="n"/>
      <c r="J1959" s="102" t="n"/>
    </row>
    <row r="1960" ht="15.75" customHeight="1" s="84">
      <c r="A1960" s="80" t="inlineStr">
        <is>
          <t>Duration</t>
        </is>
      </c>
      <c r="B1960" s="103">
        <f>IF(OR(batches!D328="",batches!E328=""),"",batches!E328-batches!D328+1&amp;" days")</f>
        <v/>
      </c>
      <c r="C1960" s="101" t="n"/>
      <c r="D1960" s="102" t="n"/>
      <c r="G1960" s="80" t="inlineStr">
        <is>
          <t>Duration</t>
        </is>
      </c>
      <c r="H1960" s="103">
        <f>IF(OR(batches!D329="",batches!E329=""),"",batches!E329-batches!D329+1&amp;" days")</f>
        <v/>
      </c>
      <c r="I1960" s="101" t="n"/>
      <c r="J1960" s="102" t="n"/>
    </row>
    <row r="1961" ht="15.75" customHeight="1" s="84">
      <c r="A1961" s="80" t="inlineStr">
        <is>
          <t>Timing</t>
        </is>
      </c>
      <c r="B1961" s="103">
        <f>IF(A1957="","",batches!F328)</f>
        <v/>
      </c>
      <c r="C1961" s="101" t="n"/>
      <c r="D1961" s="102" t="n"/>
      <c r="G1961" s="80" t="inlineStr">
        <is>
          <t>Timing</t>
        </is>
      </c>
      <c r="H1961" s="103">
        <f>IF(G1957="","",batches!F329)</f>
        <v/>
      </c>
      <c r="I1961" s="101" t="n"/>
      <c r="J1961" s="102" t="n"/>
    </row>
    <row r="1962" ht="15.75" customHeight="1" s="84">
      <c r="A1962" s="80" t="inlineStr">
        <is>
          <t>Capacity</t>
        </is>
      </c>
      <c r="B1962" s="103">
        <f>IF(A1957="","",batches!G328)</f>
        <v/>
      </c>
      <c r="C1962" s="101" t="n"/>
      <c r="D1962" s="102" t="n"/>
      <c r="G1962" s="80" t="inlineStr">
        <is>
          <t>Capacity</t>
        </is>
      </c>
      <c r="H1962" s="103">
        <f>IF(G1957="","",batches!G329)</f>
        <v/>
      </c>
      <c r="I1962" s="101" t="n"/>
      <c r="J1962" s="102" t="n"/>
    </row>
    <row r="1963" ht="15.75" customHeight="1" s="84">
      <c r="A1963" s="80" t="inlineStr">
        <is>
          <t>Enrolled</t>
        </is>
      </c>
      <c r="B1963" s="103">
        <f>IF(A1957="","",COUNTIF(admissions!$M:$M,batches!A328))</f>
        <v/>
      </c>
      <c r="C1963" s="101" t="n"/>
      <c r="D1963" s="102" t="n"/>
      <c r="G1963" s="80" t="inlineStr">
        <is>
          <t>Enrolled</t>
        </is>
      </c>
      <c r="H1963" s="103">
        <f>IF(G1957="","",COUNTIF(admissions!$M:$M,batches!A329))</f>
        <v/>
      </c>
      <c r="I1963" s="101" t="n"/>
      <c r="J1963" s="102" t="n"/>
    </row>
    <row r="1964" ht="15.75" customHeight="1" s="84">
      <c r="A1964" s="80" t="inlineStr">
        <is>
          <t>Available</t>
        </is>
      </c>
      <c r="B1964" s="103">
        <f>IF(OR(batches!A328="",batches!G328=""),"",batches!G328-COUNTIF(admissions!$M:$M,batches!A328))</f>
        <v/>
      </c>
      <c r="C1964" s="101" t="n"/>
      <c r="D1964" s="102" t="n"/>
      <c r="G1964" s="80" t="inlineStr">
        <is>
          <t>Available</t>
        </is>
      </c>
      <c r="H1964" s="103">
        <f>IF(OR(batches!A329="",batches!G329=""),"",batches!G329-COUNTIF(admissions!$M:$M,batches!A329))</f>
        <v/>
      </c>
      <c r="I1964" s="101" t="n"/>
      <c r="J1964" s="102" t="n"/>
    </row>
    <row r="1965" ht="15.75" customHeight="1" s="84">
      <c r="A1965" s="104" t="inlineStr">
        <is>
          <t>Student List</t>
        </is>
      </c>
      <c r="B1965" s="101" t="n"/>
      <c r="C1965" s="101" t="n"/>
      <c r="D1965" s="102" t="n"/>
      <c r="G1965" s="104" t="inlineStr">
        <is>
          <t>Student List</t>
        </is>
      </c>
      <c r="H1965" s="101" t="n"/>
      <c r="I1965" s="101" t="n"/>
      <c r="J1965" s="102" t="n"/>
    </row>
    <row r="1966" ht="15.75" customHeight="1" s="84">
      <c r="A1966" s="105">
        <f>IFERROR(__xludf.DUMMYFUNCTION("IF(batches!A328="""","""",TEXTJOIN(CHAR(10),TRUE,FILTER(admissions!$G$2:$G$78,admissions!$M$2:$M$78=batches!A328,"""")))"),"")</f>
        <v/>
      </c>
      <c r="B1966" s="101" t="n"/>
      <c r="C1966" s="101" t="n"/>
      <c r="D1966" s="102" t="n"/>
      <c r="G1966" s="105">
        <f>IFERROR(__xludf.DUMMYFUNCTION("IF(batches!A329="""","""",TEXTJOIN(CHAR(10),TRUE,FILTER(admissions!$G$2:$G$78,admissions!$M$2:$M$78=batches!A329,"""")))"),"")</f>
        <v/>
      </c>
      <c r="H1966" s="101" t="n"/>
      <c r="I1966" s="101" t="n"/>
      <c r="J1966" s="102" t="n"/>
    </row>
    <row r="1967" ht="15.75" customHeight="1" s="84"/>
    <row r="1968" ht="15.75" customHeight="1" s="84"/>
    <row r="1969" ht="15.75" customHeight="1" s="84">
      <c r="A1969" s="100">
        <f>IF(batches!A330="","",batches!A330)</f>
        <v/>
      </c>
      <c r="B1969" s="101" t="n"/>
      <c r="C1969" s="101" t="n"/>
      <c r="D1969" s="102" t="n"/>
      <c r="G1969" s="100">
        <f>IF(batches!A331="","",batches!A331)</f>
        <v/>
      </c>
      <c r="H1969" s="101" t="n"/>
      <c r="I1969" s="101" t="n"/>
      <c r="J1969" s="102" t="n"/>
    </row>
    <row r="1970" ht="15.75" customHeight="1" s="84">
      <c r="A1970" s="80" t="inlineStr">
        <is>
          <t>Level / Mode</t>
        </is>
      </c>
      <c r="B1970" s="103">
        <f>IF(A1969="","",batches!B330&amp;" / "&amp;batches!C330)</f>
        <v/>
      </c>
      <c r="C1970" s="101" t="n"/>
      <c r="D1970" s="102" t="n"/>
      <c r="G1970" s="80" t="inlineStr">
        <is>
          <t>Level / Mode</t>
        </is>
      </c>
      <c r="H1970" s="103">
        <f>IF(G1969="","",batches!B331&amp;" / "&amp;batches!C331)</f>
        <v/>
      </c>
      <c r="I1970" s="101" t="n"/>
      <c r="J1970" s="102" t="n"/>
    </row>
    <row r="1971" ht="15.75" customHeight="1" s="84">
      <c r="A1971" s="80" t="inlineStr">
        <is>
          <t>Dates</t>
        </is>
      </c>
      <c r="B1971" s="103">
        <f>IF(A1969="","",TEXT(batches!D330,"yyyy-mm-dd")&amp;" to "&amp;TEXT(batches!E330,"yyyy-mm-dd"))</f>
        <v/>
      </c>
      <c r="C1971" s="101" t="n"/>
      <c r="D1971" s="102" t="n"/>
      <c r="G1971" s="80" t="inlineStr">
        <is>
          <t>Dates</t>
        </is>
      </c>
      <c r="H1971" s="103">
        <f>IF(G1969="","",TEXT(batches!D331,"yyyy-mm-dd")&amp;" to "&amp;TEXT(batches!E331,"yyyy-mm-dd"))</f>
        <v/>
      </c>
      <c r="I1971" s="101" t="n"/>
      <c r="J1971" s="102" t="n"/>
    </row>
    <row r="1972" ht="15.75" customHeight="1" s="84">
      <c r="A1972" s="80" t="inlineStr">
        <is>
          <t>Duration</t>
        </is>
      </c>
      <c r="B1972" s="103">
        <f>IF(OR(batches!D330="",batches!E330=""),"",batches!E330-batches!D330+1&amp;" days")</f>
        <v/>
      </c>
      <c r="C1972" s="101" t="n"/>
      <c r="D1972" s="102" t="n"/>
      <c r="G1972" s="80" t="inlineStr">
        <is>
          <t>Duration</t>
        </is>
      </c>
      <c r="H1972" s="103">
        <f>IF(OR(batches!D331="",batches!E331=""),"",batches!E331-batches!D331+1&amp;" days")</f>
        <v/>
      </c>
      <c r="I1972" s="101" t="n"/>
      <c r="J1972" s="102" t="n"/>
    </row>
    <row r="1973" ht="15.75" customHeight="1" s="84">
      <c r="A1973" s="80" t="inlineStr">
        <is>
          <t>Timing</t>
        </is>
      </c>
      <c r="B1973" s="103">
        <f>IF(A1969="","",batches!F330)</f>
        <v/>
      </c>
      <c r="C1973" s="101" t="n"/>
      <c r="D1973" s="102" t="n"/>
      <c r="G1973" s="80" t="inlineStr">
        <is>
          <t>Timing</t>
        </is>
      </c>
      <c r="H1973" s="103">
        <f>IF(G1969="","",batches!F331)</f>
        <v/>
      </c>
      <c r="I1973" s="101" t="n"/>
      <c r="J1973" s="102" t="n"/>
    </row>
    <row r="1974" ht="15.75" customHeight="1" s="84">
      <c r="A1974" s="80" t="inlineStr">
        <is>
          <t>Capacity</t>
        </is>
      </c>
      <c r="B1974" s="103">
        <f>IF(A1969="","",batches!G330)</f>
        <v/>
      </c>
      <c r="C1974" s="101" t="n"/>
      <c r="D1974" s="102" t="n"/>
      <c r="G1974" s="80" t="inlineStr">
        <is>
          <t>Capacity</t>
        </is>
      </c>
      <c r="H1974" s="103">
        <f>IF(G1969="","",batches!G331)</f>
        <v/>
      </c>
      <c r="I1974" s="101" t="n"/>
      <c r="J1974" s="102" t="n"/>
    </row>
    <row r="1975" ht="15.75" customHeight="1" s="84">
      <c r="A1975" s="80" t="inlineStr">
        <is>
          <t>Enrolled</t>
        </is>
      </c>
      <c r="B1975" s="103">
        <f>IF(A1969="","",COUNTIF(admissions!$M:$M,batches!A330))</f>
        <v/>
      </c>
      <c r="C1975" s="101" t="n"/>
      <c r="D1975" s="102" t="n"/>
      <c r="G1975" s="80" t="inlineStr">
        <is>
          <t>Enrolled</t>
        </is>
      </c>
      <c r="H1975" s="103">
        <f>IF(G1969="","",COUNTIF(admissions!$M:$M,batches!A331))</f>
        <v/>
      </c>
      <c r="I1975" s="101" t="n"/>
      <c r="J1975" s="102" t="n"/>
    </row>
    <row r="1976" ht="15.75" customHeight="1" s="84">
      <c r="A1976" s="80" t="inlineStr">
        <is>
          <t>Available</t>
        </is>
      </c>
      <c r="B1976" s="103">
        <f>IF(OR(batches!A330="",batches!G330=""),"",batches!G330-COUNTIF(admissions!$M:$M,batches!A330))</f>
        <v/>
      </c>
      <c r="C1976" s="101" t="n"/>
      <c r="D1976" s="102" t="n"/>
      <c r="G1976" s="80" t="inlineStr">
        <is>
          <t>Available</t>
        </is>
      </c>
      <c r="H1976" s="103">
        <f>IF(OR(batches!A331="",batches!G331=""),"",batches!G331-COUNTIF(admissions!$M:$M,batches!A331))</f>
        <v/>
      </c>
      <c r="I1976" s="101" t="n"/>
      <c r="J1976" s="102" t="n"/>
    </row>
    <row r="1977" ht="15.75" customHeight="1" s="84">
      <c r="A1977" s="104" t="inlineStr">
        <is>
          <t>Student List</t>
        </is>
      </c>
      <c r="B1977" s="101" t="n"/>
      <c r="C1977" s="101" t="n"/>
      <c r="D1977" s="102" t="n"/>
      <c r="G1977" s="104" t="inlineStr">
        <is>
          <t>Student List</t>
        </is>
      </c>
      <c r="H1977" s="101" t="n"/>
      <c r="I1977" s="101" t="n"/>
      <c r="J1977" s="102" t="n"/>
    </row>
    <row r="1978" ht="15.75" customHeight="1" s="84">
      <c r="A1978" s="105">
        <f>IFERROR(__xludf.DUMMYFUNCTION("IF(batches!A330="""","""",TEXTJOIN(CHAR(10),TRUE,FILTER(admissions!$G$2:$G$78,admissions!$M$2:$M$78=batches!A330,"""")))"),"")</f>
        <v/>
      </c>
      <c r="B1978" s="101" t="n"/>
      <c r="C1978" s="101" t="n"/>
      <c r="D1978" s="102" t="n"/>
      <c r="G1978" s="105">
        <f>IFERROR(__xludf.DUMMYFUNCTION("IF(batches!A331="""","""",TEXTJOIN(CHAR(10),TRUE,FILTER(admissions!$G$2:$G$78,admissions!$M$2:$M$78=batches!A331,"""")))"),"")</f>
        <v/>
      </c>
      <c r="H1978" s="101" t="n"/>
      <c r="I1978" s="101" t="n"/>
      <c r="J1978" s="102" t="n"/>
    </row>
    <row r="1979" ht="15.75" customHeight="1" s="84"/>
    <row r="1980" ht="15.75" customHeight="1" s="84"/>
    <row r="1981" ht="15.75" customHeight="1" s="84">
      <c r="A1981" s="100">
        <f>IF(batches!A332="","",batches!A332)</f>
        <v/>
      </c>
      <c r="B1981" s="101" t="n"/>
      <c r="C1981" s="101" t="n"/>
      <c r="D1981" s="102" t="n"/>
      <c r="G1981" s="100">
        <f>IF(batches!A333="","",batches!A333)</f>
        <v/>
      </c>
      <c r="H1981" s="101" t="n"/>
      <c r="I1981" s="101" t="n"/>
      <c r="J1981" s="102" t="n"/>
    </row>
    <row r="1982" ht="15.75" customHeight="1" s="84">
      <c r="A1982" s="80" t="inlineStr">
        <is>
          <t>Level / Mode</t>
        </is>
      </c>
      <c r="B1982" s="103">
        <f>IF(A1981="","",batches!B332&amp;" / "&amp;batches!C332)</f>
        <v/>
      </c>
      <c r="C1982" s="101" t="n"/>
      <c r="D1982" s="102" t="n"/>
      <c r="G1982" s="80" t="inlineStr">
        <is>
          <t>Level / Mode</t>
        </is>
      </c>
      <c r="H1982" s="103">
        <f>IF(G1981="","",batches!B333&amp;" / "&amp;batches!C333)</f>
        <v/>
      </c>
      <c r="I1982" s="101" t="n"/>
      <c r="J1982" s="102" t="n"/>
    </row>
    <row r="1983" ht="15.75" customHeight="1" s="84">
      <c r="A1983" s="80" t="inlineStr">
        <is>
          <t>Dates</t>
        </is>
      </c>
      <c r="B1983" s="103">
        <f>IF(A1981="","",TEXT(batches!D332,"yyyy-mm-dd")&amp;" to "&amp;TEXT(batches!E332,"yyyy-mm-dd"))</f>
        <v/>
      </c>
      <c r="C1983" s="101" t="n"/>
      <c r="D1983" s="102" t="n"/>
      <c r="G1983" s="80" t="inlineStr">
        <is>
          <t>Dates</t>
        </is>
      </c>
      <c r="H1983" s="103">
        <f>IF(G1981="","",TEXT(batches!D333,"yyyy-mm-dd")&amp;" to "&amp;TEXT(batches!E333,"yyyy-mm-dd"))</f>
        <v/>
      </c>
      <c r="I1983" s="101" t="n"/>
      <c r="J1983" s="102" t="n"/>
    </row>
    <row r="1984" ht="15.75" customHeight="1" s="84">
      <c r="A1984" s="80" t="inlineStr">
        <is>
          <t>Duration</t>
        </is>
      </c>
      <c r="B1984" s="103">
        <f>IF(OR(batches!D332="",batches!E332=""),"",batches!E332-batches!D332+1&amp;" days")</f>
        <v/>
      </c>
      <c r="C1984" s="101" t="n"/>
      <c r="D1984" s="102" t="n"/>
      <c r="G1984" s="80" t="inlineStr">
        <is>
          <t>Duration</t>
        </is>
      </c>
      <c r="H1984" s="103">
        <f>IF(OR(batches!D333="",batches!E333=""),"",batches!E333-batches!D333+1&amp;" days")</f>
        <v/>
      </c>
      <c r="I1984" s="101" t="n"/>
      <c r="J1984" s="102" t="n"/>
    </row>
    <row r="1985" ht="15.75" customHeight="1" s="84">
      <c r="A1985" s="80" t="inlineStr">
        <is>
          <t>Timing</t>
        </is>
      </c>
      <c r="B1985" s="103">
        <f>IF(A1981="","",batches!F332)</f>
        <v/>
      </c>
      <c r="C1985" s="101" t="n"/>
      <c r="D1985" s="102" t="n"/>
      <c r="G1985" s="80" t="inlineStr">
        <is>
          <t>Timing</t>
        </is>
      </c>
      <c r="H1985" s="103">
        <f>IF(G1981="","",batches!F333)</f>
        <v/>
      </c>
      <c r="I1985" s="101" t="n"/>
      <c r="J1985" s="102" t="n"/>
    </row>
    <row r="1986" ht="15.75" customHeight="1" s="84">
      <c r="A1986" s="80" t="inlineStr">
        <is>
          <t>Capacity</t>
        </is>
      </c>
      <c r="B1986" s="103">
        <f>IF(A1981="","",batches!G332)</f>
        <v/>
      </c>
      <c r="C1986" s="101" t="n"/>
      <c r="D1986" s="102" t="n"/>
      <c r="G1986" s="80" t="inlineStr">
        <is>
          <t>Capacity</t>
        </is>
      </c>
      <c r="H1986" s="103">
        <f>IF(G1981="","",batches!G333)</f>
        <v/>
      </c>
      <c r="I1986" s="101" t="n"/>
      <c r="J1986" s="102" t="n"/>
    </row>
    <row r="1987" ht="15.75" customHeight="1" s="84">
      <c r="A1987" s="80" t="inlineStr">
        <is>
          <t>Enrolled</t>
        </is>
      </c>
      <c r="B1987" s="103">
        <f>IF(A1981="","",COUNTIF(admissions!$M:$M,batches!A332))</f>
        <v/>
      </c>
      <c r="C1987" s="101" t="n"/>
      <c r="D1987" s="102" t="n"/>
      <c r="G1987" s="80" t="inlineStr">
        <is>
          <t>Enrolled</t>
        </is>
      </c>
      <c r="H1987" s="103">
        <f>IF(G1981="","",COUNTIF(admissions!$M:$M,batches!A333))</f>
        <v/>
      </c>
      <c r="I1987" s="101" t="n"/>
      <c r="J1987" s="102" t="n"/>
    </row>
    <row r="1988" ht="15.75" customHeight="1" s="84">
      <c r="A1988" s="80" t="inlineStr">
        <is>
          <t>Available</t>
        </is>
      </c>
      <c r="B1988" s="103">
        <f>IF(OR(batches!A332="",batches!G332=""),"",batches!G332-COUNTIF(admissions!$M:$M,batches!A332))</f>
        <v/>
      </c>
      <c r="C1988" s="101" t="n"/>
      <c r="D1988" s="102" t="n"/>
      <c r="G1988" s="80" t="inlineStr">
        <is>
          <t>Available</t>
        </is>
      </c>
      <c r="H1988" s="103">
        <f>IF(OR(batches!A333="",batches!G333=""),"",batches!G333-COUNTIF(admissions!$M:$M,batches!A333))</f>
        <v/>
      </c>
      <c r="I1988" s="101" t="n"/>
      <c r="J1988" s="102" t="n"/>
    </row>
    <row r="1989" ht="15.75" customHeight="1" s="84">
      <c r="A1989" s="104" t="inlineStr">
        <is>
          <t>Student List</t>
        </is>
      </c>
      <c r="B1989" s="101" t="n"/>
      <c r="C1989" s="101" t="n"/>
      <c r="D1989" s="102" t="n"/>
      <c r="G1989" s="104" t="inlineStr">
        <is>
          <t>Student List</t>
        </is>
      </c>
      <c r="H1989" s="101" t="n"/>
      <c r="I1989" s="101" t="n"/>
      <c r="J1989" s="102" t="n"/>
    </row>
    <row r="1990" ht="15.75" customHeight="1" s="84">
      <c r="A1990" s="105">
        <f>IFERROR(__xludf.DUMMYFUNCTION("IF(batches!A332="""","""",TEXTJOIN(CHAR(10),TRUE,FILTER(admissions!$G$2:$G$78,admissions!$M$2:$M$78=batches!A332,"""")))"),"")</f>
        <v/>
      </c>
      <c r="B1990" s="101" t="n"/>
      <c r="C1990" s="101" t="n"/>
      <c r="D1990" s="102" t="n"/>
      <c r="G1990" s="105">
        <f>IFERROR(__xludf.DUMMYFUNCTION("IF(batches!A333="""","""",TEXTJOIN(CHAR(10),TRUE,FILTER(admissions!$G$2:$G$78,admissions!$M$2:$M$78=batches!A333,"""")))"),"")</f>
        <v/>
      </c>
      <c r="H1990" s="101" t="n"/>
      <c r="I1990" s="101" t="n"/>
      <c r="J1990" s="102" t="n"/>
    </row>
    <row r="1991" ht="15.75" customHeight="1" s="84"/>
    <row r="1992" ht="15.75" customHeight="1" s="84"/>
    <row r="1993" ht="15.75" customHeight="1" s="84">
      <c r="A1993" s="100">
        <f>IF(batches!A334="","",batches!A334)</f>
        <v/>
      </c>
      <c r="B1993" s="101" t="n"/>
      <c r="C1993" s="101" t="n"/>
      <c r="D1993" s="102" t="n"/>
      <c r="G1993" s="100">
        <f>IF(batches!A335="","",batches!A335)</f>
        <v/>
      </c>
      <c r="H1993" s="101" t="n"/>
      <c r="I1993" s="101" t="n"/>
      <c r="J1993" s="102" t="n"/>
    </row>
    <row r="1994" ht="15.75" customHeight="1" s="84">
      <c r="A1994" s="80" t="inlineStr">
        <is>
          <t>Level / Mode</t>
        </is>
      </c>
      <c r="B1994" s="103">
        <f>IF(A1993="","",batches!B334&amp;" / "&amp;batches!C334)</f>
        <v/>
      </c>
      <c r="C1994" s="101" t="n"/>
      <c r="D1994" s="102" t="n"/>
      <c r="G1994" s="80" t="inlineStr">
        <is>
          <t>Level / Mode</t>
        </is>
      </c>
      <c r="H1994" s="103">
        <f>IF(G1993="","",batches!B335&amp;" / "&amp;batches!C335)</f>
        <v/>
      </c>
      <c r="I1994" s="101" t="n"/>
      <c r="J1994" s="102" t="n"/>
    </row>
    <row r="1995" ht="15.75" customHeight="1" s="84">
      <c r="A1995" s="80" t="inlineStr">
        <is>
          <t>Dates</t>
        </is>
      </c>
      <c r="B1995" s="103">
        <f>IF(A1993="","",TEXT(batches!D334,"yyyy-mm-dd")&amp;" to "&amp;TEXT(batches!E334,"yyyy-mm-dd"))</f>
        <v/>
      </c>
      <c r="C1995" s="101" t="n"/>
      <c r="D1995" s="102" t="n"/>
      <c r="G1995" s="80" t="inlineStr">
        <is>
          <t>Dates</t>
        </is>
      </c>
      <c r="H1995" s="103">
        <f>IF(G1993="","",TEXT(batches!D335,"yyyy-mm-dd")&amp;" to "&amp;TEXT(batches!E335,"yyyy-mm-dd"))</f>
        <v/>
      </c>
      <c r="I1995" s="101" t="n"/>
      <c r="J1995" s="102" t="n"/>
    </row>
    <row r="1996" ht="15.75" customHeight="1" s="84">
      <c r="A1996" s="80" t="inlineStr">
        <is>
          <t>Duration</t>
        </is>
      </c>
      <c r="B1996" s="103">
        <f>IF(OR(batches!D334="",batches!E334=""),"",batches!E334-batches!D334+1&amp;" days")</f>
        <v/>
      </c>
      <c r="C1996" s="101" t="n"/>
      <c r="D1996" s="102" t="n"/>
      <c r="G1996" s="80" t="inlineStr">
        <is>
          <t>Duration</t>
        </is>
      </c>
      <c r="H1996" s="103">
        <f>IF(OR(batches!D335="",batches!E335=""),"",batches!E335-batches!D335+1&amp;" days")</f>
        <v/>
      </c>
      <c r="I1996" s="101" t="n"/>
      <c r="J1996" s="102" t="n"/>
    </row>
    <row r="1997" ht="15.75" customHeight="1" s="84">
      <c r="A1997" s="80" t="inlineStr">
        <is>
          <t>Timing</t>
        </is>
      </c>
      <c r="B1997" s="103">
        <f>IF(A1993="","",batches!F334)</f>
        <v/>
      </c>
      <c r="C1997" s="101" t="n"/>
      <c r="D1997" s="102" t="n"/>
      <c r="G1997" s="80" t="inlineStr">
        <is>
          <t>Timing</t>
        </is>
      </c>
      <c r="H1997" s="103">
        <f>IF(G1993="","",batches!F335)</f>
        <v/>
      </c>
      <c r="I1997" s="101" t="n"/>
      <c r="J1997" s="102" t="n"/>
    </row>
    <row r="1998" ht="15.75" customHeight="1" s="84">
      <c r="A1998" s="80" t="inlineStr">
        <is>
          <t>Capacity</t>
        </is>
      </c>
      <c r="B1998" s="103">
        <f>IF(A1993="","",batches!G334)</f>
        <v/>
      </c>
      <c r="C1998" s="101" t="n"/>
      <c r="D1998" s="102" t="n"/>
      <c r="G1998" s="80" t="inlineStr">
        <is>
          <t>Capacity</t>
        </is>
      </c>
      <c r="H1998" s="103">
        <f>IF(G1993="","",batches!G335)</f>
        <v/>
      </c>
      <c r="I1998" s="101" t="n"/>
      <c r="J1998" s="102" t="n"/>
    </row>
    <row r="1999" ht="15.75" customHeight="1" s="84">
      <c r="A1999" s="80" t="inlineStr">
        <is>
          <t>Enrolled</t>
        </is>
      </c>
      <c r="B1999" s="103">
        <f>IF(A1993="","",COUNTIF(admissions!$M:$M,batches!A334))</f>
        <v/>
      </c>
      <c r="C1999" s="101" t="n"/>
      <c r="D1999" s="102" t="n"/>
      <c r="G1999" s="80" t="inlineStr">
        <is>
          <t>Enrolled</t>
        </is>
      </c>
      <c r="H1999" s="103">
        <f>IF(G1993="","",COUNTIF(admissions!$M:$M,batches!A335))</f>
        <v/>
      </c>
      <c r="I1999" s="101" t="n"/>
      <c r="J1999" s="102" t="n"/>
    </row>
    <row r="2000" ht="15.75" customHeight="1" s="84">
      <c r="A2000" s="80" t="inlineStr">
        <is>
          <t>Available</t>
        </is>
      </c>
      <c r="B2000" s="103">
        <f>IF(OR(batches!A334="",batches!G334=""),"",batches!G334-COUNTIF(admissions!$M:$M,batches!A334))</f>
        <v/>
      </c>
      <c r="C2000" s="101" t="n"/>
      <c r="D2000" s="102" t="n"/>
      <c r="G2000" s="80" t="inlineStr">
        <is>
          <t>Available</t>
        </is>
      </c>
      <c r="H2000" s="103">
        <f>IF(OR(batches!A335="",batches!G335=""),"",batches!G335-COUNTIF(admissions!$M:$M,batches!A335))</f>
        <v/>
      </c>
      <c r="I2000" s="101" t="n"/>
      <c r="J2000" s="102" t="n"/>
    </row>
    <row r="2001" ht="15.75" customHeight="1" s="84">
      <c r="A2001" s="104" t="inlineStr">
        <is>
          <t>Student List</t>
        </is>
      </c>
      <c r="B2001" s="101" t="n"/>
      <c r="C2001" s="101" t="n"/>
      <c r="D2001" s="102" t="n"/>
      <c r="G2001" s="104" t="inlineStr">
        <is>
          <t>Student List</t>
        </is>
      </c>
      <c r="H2001" s="101" t="n"/>
      <c r="I2001" s="101" t="n"/>
      <c r="J2001" s="102" t="n"/>
    </row>
    <row r="2002" ht="15.75" customHeight="1" s="84">
      <c r="A2002" s="105">
        <f>IFERROR(__xludf.DUMMYFUNCTION("IF(batches!A334="""","""",TEXTJOIN(CHAR(10),TRUE,FILTER(admissions!$G$2:$G$78,admissions!$M$2:$M$78=batches!A334,"""")))"),"")</f>
        <v/>
      </c>
      <c r="B2002" s="101" t="n"/>
      <c r="C2002" s="101" t="n"/>
      <c r="D2002" s="102" t="n"/>
      <c r="G2002" s="105">
        <f>IFERROR(__xludf.DUMMYFUNCTION("IF(batches!A335="""","""",TEXTJOIN(CHAR(10),TRUE,FILTER(admissions!$G$2:$G$78,admissions!$M$2:$M$78=batches!A335,"""")))"),"")</f>
        <v/>
      </c>
      <c r="H2002" s="101" t="n"/>
      <c r="I2002" s="101" t="n"/>
      <c r="J2002" s="102" t="n"/>
    </row>
    <row r="2003" ht="15.75" customHeight="1" s="84"/>
    <row r="2004" ht="15.75" customHeight="1" s="84"/>
    <row r="2005" ht="15.75" customHeight="1" s="84">
      <c r="A2005" s="100">
        <f>IF(batches!A336="","",batches!A336)</f>
        <v/>
      </c>
      <c r="B2005" s="101" t="n"/>
      <c r="C2005" s="101" t="n"/>
      <c r="D2005" s="102" t="n"/>
      <c r="G2005" s="100">
        <f>IF(batches!A337="","",batches!A337)</f>
        <v/>
      </c>
      <c r="H2005" s="101" t="n"/>
      <c r="I2005" s="101" t="n"/>
      <c r="J2005" s="102" t="n"/>
    </row>
    <row r="2006" ht="15.75" customHeight="1" s="84">
      <c r="A2006" s="80" t="inlineStr">
        <is>
          <t>Level / Mode</t>
        </is>
      </c>
      <c r="B2006" s="103">
        <f>IF(A2005="","",batches!B336&amp;" / "&amp;batches!C336)</f>
        <v/>
      </c>
      <c r="C2006" s="101" t="n"/>
      <c r="D2006" s="102" t="n"/>
      <c r="G2006" s="80" t="inlineStr">
        <is>
          <t>Level / Mode</t>
        </is>
      </c>
      <c r="H2006" s="103">
        <f>IF(G2005="","",batches!B337&amp;" / "&amp;batches!C337)</f>
        <v/>
      </c>
      <c r="I2006" s="101" t="n"/>
      <c r="J2006" s="102" t="n"/>
    </row>
    <row r="2007" ht="15.75" customHeight="1" s="84">
      <c r="A2007" s="80" t="inlineStr">
        <is>
          <t>Dates</t>
        </is>
      </c>
      <c r="B2007" s="103">
        <f>IF(A2005="","",TEXT(batches!D336,"yyyy-mm-dd")&amp;" to "&amp;TEXT(batches!E336,"yyyy-mm-dd"))</f>
        <v/>
      </c>
      <c r="C2007" s="101" t="n"/>
      <c r="D2007" s="102" t="n"/>
      <c r="G2007" s="80" t="inlineStr">
        <is>
          <t>Dates</t>
        </is>
      </c>
      <c r="H2007" s="103">
        <f>IF(G2005="","",TEXT(batches!D337,"yyyy-mm-dd")&amp;" to "&amp;TEXT(batches!E337,"yyyy-mm-dd"))</f>
        <v/>
      </c>
      <c r="I2007" s="101" t="n"/>
      <c r="J2007" s="102" t="n"/>
    </row>
    <row r="2008" ht="15.75" customHeight="1" s="84">
      <c r="A2008" s="80" t="inlineStr">
        <is>
          <t>Duration</t>
        </is>
      </c>
      <c r="B2008" s="103">
        <f>IF(OR(batches!D336="",batches!E336=""),"",batches!E336-batches!D336+1&amp;" days")</f>
        <v/>
      </c>
      <c r="C2008" s="101" t="n"/>
      <c r="D2008" s="102" t="n"/>
      <c r="G2008" s="80" t="inlineStr">
        <is>
          <t>Duration</t>
        </is>
      </c>
      <c r="H2008" s="103">
        <f>IF(OR(batches!D337="",batches!E337=""),"",batches!E337-batches!D337+1&amp;" days")</f>
        <v/>
      </c>
      <c r="I2008" s="101" t="n"/>
      <c r="J2008" s="102" t="n"/>
    </row>
    <row r="2009" ht="15.75" customHeight="1" s="84">
      <c r="A2009" s="80" t="inlineStr">
        <is>
          <t>Timing</t>
        </is>
      </c>
      <c r="B2009" s="103">
        <f>IF(A2005="","",batches!F336)</f>
        <v/>
      </c>
      <c r="C2009" s="101" t="n"/>
      <c r="D2009" s="102" t="n"/>
      <c r="G2009" s="80" t="inlineStr">
        <is>
          <t>Timing</t>
        </is>
      </c>
      <c r="H2009" s="103">
        <f>IF(G2005="","",batches!F337)</f>
        <v/>
      </c>
      <c r="I2009" s="101" t="n"/>
      <c r="J2009" s="102" t="n"/>
    </row>
    <row r="2010" ht="15.75" customHeight="1" s="84">
      <c r="A2010" s="80" t="inlineStr">
        <is>
          <t>Capacity</t>
        </is>
      </c>
      <c r="B2010" s="103">
        <f>IF(A2005="","",batches!G336)</f>
        <v/>
      </c>
      <c r="C2010" s="101" t="n"/>
      <c r="D2010" s="102" t="n"/>
      <c r="G2010" s="80" t="inlineStr">
        <is>
          <t>Capacity</t>
        </is>
      </c>
      <c r="H2010" s="103">
        <f>IF(G2005="","",batches!G337)</f>
        <v/>
      </c>
      <c r="I2010" s="101" t="n"/>
      <c r="J2010" s="102" t="n"/>
    </row>
    <row r="2011" ht="15.75" customHeight="1" s="84">
      <c r="A2011" s="80" t="inlineStr">
        <is>
          <t>Enrolled</t>
        </is>
      </c>
      <c r="B2011" s="103">
        <f>IF(A2005="","",COUNTIF(admissions!$M:$M,batches!A336))</f>
        <v/>
      </c>
      <c r="C2011" s="101" t="n"/>
      <c r="D2011" s="102" t="n"/>
      <c r="G2011" s="80" t="inlineStr">
        <is>
          <t>Enrolled</t>
        </is>
      </c>
      <c r="H2011" s="103">
        <f>IF(G2005="","",COUNTIF(admissions!$M:$M,batches!A337))</f>
        <v/>
      </c>
      <c r="I2011" s="101" t="n"/>
      <c r="J2011" s="102" t="n"/>
    </row>
    <row r="2012" ht="15.75" customHeight="1" s="84">
      <c r="A2012" s="80" t="inlineStr">
        <is>
          <t>Available</t>
        </is>
      </c>
      <c r="B2012" s="103">
        <f>IF(OR(batches!A336="",batches!G336=""),"",batches!G336-COUNTIF(admissions!$M:$M,batches!A336))</f>
        <v/>
      </c>
      <c r="C2012" s="101" t="n"/>
      <c r="D2012" s="102" t="n"/>
      <c r="G2012" s="80" t="inlineStr">
        <is>
          <t>Available</t>
        </is>
      </c>
      <c r="H2012" s="103">
        <f>IF(OR(batches!A337="",batches!G337=""),"",batches!G337-COUNTIF(admissions!$M:$M,batches!A337))</f>
        <v/>
      </c>
      <c r="I2012" s="101" t="n"/>
      <c r="J2012" s="102" t="n"/>
    </row>
    <row r="2013" ht="15.75" customHeight="1" s="84">
      <c r="A2013" s="104" t="inlineStr">
        <is>
          <t>Student List</t>
        </is>
      </c>
      <c r="B2013" s="101" t="n"/>
      <c r="C2013" s="101" t="n"/>
      <c r="D2013" s="102" t="n"/>
      <c r="G2013" s="104" t="inlineStr">
        <is>
          <t>Student List</t>
        </is>
      </c>
      <c r="H2013" s="101" t="n"/>
      <c r="I2013" s="101" t="n"/>
      <c r="J2013" s="102" t="n"/>
    </row>
    <row r="2014" ht="15.75" customHeight="1" s="84">
      <c r="A2014" s="105">
        <f>IFERROR(__xludf.DUMMYFUNCTION("IF(batches!A336="""","""",TEXTJOIN(CHAR(10),TRUE,FILTER(admissions!$G$2:$G$78,admissions!$M$2:$M$78=batches!A336,"""")))"),"")</f>
        <v/>
      </c>
      <c r="B2014" s="101" t="n"/>
      <c r="C2014" s="101" t="n"/>
      <c r="D2014" s="102" t="n"/>
      <c r="G2014" s="105">
        <f>IFERROR(__xludf.DUMMYFUNCTION("IF(batches!A337="""","""",TEXTJOIN(CHAR(10),TRUE,FILTER(admissions!$G$2:$G$78,admissions!$M$2:$M$78=batches!A337,"""")))"),"")</f>
        <v/>
      </c>
      <c r="H2014" s="101" t="n"/>
      <c r="I2014" s="101" t="n"/>
      <c r="J2014" s="102" t="n"/>
    </row>
    <row r="2015" ht="15.75" customHeight="1" s="84"/>
    <row r="2016" ht="15.75" customHeight="1" s="84"/>
    <row r="2017" ht="15.75" customHeight="1" s="84">
      <c r="A2017" s="100">
        <f>IF(batches!A338="","",batches!A338)</f>
        <v/>
      </c>
      <c r="B2017" s="101" t="n"/>
      <c r="C2017" s="101" t="n"/>
      <c r="D2017" s="102" t="n"/>
      <c r="G2017" s="100">
        <f>IF(batches!A339="","",batches!A339)</f>
        <v/>
      </c>
      <c r="H2017" s="101" t="n"/>
      <c r="I2017" s="101" t="n"/>
      <c r="J2017" s="102" t="n"/>
    </row>
    <row r="2018" ht="15.75" customHeight="1" s="84">
      <c r="A2018" s="80" t="inlineStr">
        <is>
          <t>Level / Mode</t>
        </is>
      </c>
      <c r="B2018" s="103">
        <f>IF(A2017="","",batches!B338&amp;" / "&amp;batches!C338)</f>
        <v/>
      </c>
      <c r="C2018" s="101" t="n"/>
      <c r="D2018" s="102" t="n"/>
      <c r="G2018" s="80" t="inlineStr">
        <is>
          <t>Level / Mode</t>
        </is>
      </c>
      <c r="H2018" s="103">
        <f>IF(G2017="","",batches!B339&amp;" / "&amp;batches!C339)</f>
        <v/>
      </c>
      <c r="I2018" s="101" t="n"/>
      <c r="J2018" s="102" t="n"/>
    </row>
    <row r="2019" ht="15.75" customHeight="1" s="84">
      <c r="A2019" s="80" t="inlineStr">
        <is>
          <t>Dates</t>
        </is>
      </c>
      <c r="B2019" s="103">
        <f>IF(A2017="","",TEXT(batches!D338,"yyyy-mm-dd")&amp;" to "&amp;TEXT(batches!E338,"yyyy-mm-dd"))</f>
        <v/>
      </c>
      <c r="C2019" s="101" t="n"/>
      <c r="D2019" s="102" t="n"/>
      <c r="G2019" s="80" t="inlineStr">
        <is>
          <t>Dates</t>
        </is>
      </c>
      <c r="H2019" s="103">
        <f>IF(G2017="","",TEXT(batches!D339,"yyyy-mm-dd")&amp;" to "&amp;TEXT(batches!E339,"yyyy-mm-dd"))</f>
        <v/>
      </c>
      <c r="I2019" s="101" t="n"/>
      <c r="J2019" s="102" t="n"/>
    </row>
    <row r="2020" ht="15.75" customHeight="1" s="84">
      <c r="A2020" s="80" t="inlineStr">
        <is>
          <t>Duration</t>
        </is>
      </c>
      <c r="B2020" s="103">
        <f>IF(OR(batches!D338="",batches!E338=""),"",batches!E338-batches!D338+1&amp;" days")</f>
        <v/>
      </c>
      <c r="C2020" s="101" t="n"/>
      <c r="D2020" s="102" t="n"/>
      <c r="G2020" s="80" t="inlineStr">
        <is>
          <t>Duration</t>
        </is>
      </c>
      <c r="H2020" s="103">
        <f>IF(OR(batches!D339="",batches!E339=""),"",batches!E339-batches!D339+1&amp;" days")</f>
        <v/>
      </c>
      <c r="I2020" s="101" t="n"/>
      <c r="J2020" s="102" t="n"/>
    </row>
    <row r="2021" ht="15.75" customHeight="1" s="84">
      <c r="A2021" s="80" t="inlineStr">
        <is>
          <t>Timing</t>
        </is>
      </c>
      <c r="B2021" s="103">
        <f>IF(A2017="","",batches!F338)</f>
        <v/>
      </c>
      <c r="C2021" s="101" t="n"/>
      <c r="D2021" s="102" t="n"/>
      <c r="G2021" s="80" t="inlineStr">
        <is>
          <t>Timing</t>
        </is>
      </c>
      <c r="H2021" s="103">
        <f>IF(G2017="","",batches!F339)</f>
        <v/>
      </c>
      <c r="I2021" s="101" t="n"/>
      <c r="J2021" s="102" t="n"/>
    </row>
    <row r="2022" ht="15.75" customHeight="1" s="84">
      <c r="A2022" s="80" t="inlineStr">
        <is>
          <t>Capacity</t>
        </is>
      </c>
      <c r="B2022" s="103">
        <f>IF(A2017="","",batches!G338)</f>
        <v/>
      </c>
      <c r="C2022" s="101" t="n"/>
      <c r="D2022" s="102" t="n"/>
      <c r="G2022" s="80" t="inlineStr">
        <is>
          <t>Capacity</t>
        </is>
      </c>
      <c r="H2022" s="103">
        <f>IF(G2017="","",batches!G339)</f>
        <v/>
      </c>
      <c r="I2022" s="101" t="n"/>
      <c r="J2022" s="102" t="n"/>
    </row>
    <row r="2023" ht="15.75" customHeight="1" s="84">
      <c r="A2023" s="80" t="inlineStr">
        <is>
          <t>Enrolled</t>
        </is>
      </c>
      <c r="B2023" s="103">
        <f>IF(A2017="","",COUNTIF(admissions!$M:$M,batches!A338))</f>
        <v/>
      </c>
      <c r="C2023" s="101" t="n"/>
      <c r="D2023" s="102" t="n"/>
      <c r="G2023" s="80" t="inlineStr">
        <is>
          <t>Enrolled</t>
        </is>
      </c>
      <c r="H2023" s="103">
        <f>IF(G2017="","",COUNTIF(admissions!$M:$M,batches!A339))</f>
        <v/>
      </c>
      <c r="I2023" s="101" t="n"/>
      <c r="J2023" s="102" t="n"/>
    </row>
    <row r="2024" ht="15.75" customHeight="1" s="84">
      <c r="A2024" s="80" t="inlineStr">
        <is>
          <t>Available</t>
        </is>
      </c>
      <c r="B2024" s="103">
        <f>IF(OR(batches!A338="",batches!G338=""),"",batches!G338-COUNTIF(admissions!$M:$M,batches!A338))</f>
        <v/>
      </c>
      <c r="C2024" s="101" t="n"/>
      <c r="D2024" s="102" t="n"/>
      <c r="G2024" s="80" t="inlineStr">
        <is>
          <t>Available</t>
        </is>
      </c>
      <c r="H2024" s="103">
        <f>IF(OR(batches!A339="",batches!G339=""),"",batches!G339-COUNTIF(admissions!$M:$M,batches!A339))</f>
        <v/>
      </c>
      <c r="I2024" s="101" t="n"/>
      <c r="J2024" s="102" t="n"/>
    </row>
    <row r="2025" ht="15.75" customHeight="1" s="84">
      <c r="A2025" s="104" t="inlineStr">
        <is>
          <t>Student List</t>
        </is>
      </c>
      <c r="B2025" s="101" t="n"/>
      <c r="C2025" s="101" t="n"/>
      <c r="D2025" s="102" t="n"/>
      <c r="G2025" s="104" t="inlineStr">
        <is>
          <t>Student List</t>
        </is>
      </c>
      <c r="H2025" s="101" t="n"/>
      <c r="I2025" s="101" t="n"/>
      <c r="J2025" s="102" t="n"/>
    </row>
    <row r="2026" ht="15.75" customHeight="1" s="84">
      <c r="A2026" s="105">
        <f>IFERROR(__xludf.DUMMYFUNCTION("IF(batches!A338="""","""",TEXTJOIN(CHAR(10),TRUE,FILTER(admissions!$G$2:$G$78,admissions!$M$2:$M$78=batches!A338,"""")))"),"")</f>
        <v/>
      </c>
      <c r="B2026" s="101" t="n"/>
      <c r="C2026" s="101" t="n"/>
      <c r="D2026" s="102" t="n"/>
      <c r="G2026" s="105">
        <f>IFERROR(__xludf.DUMMYFUNCTION("IF(batches!A339="""","""",TEXTJOIN(CHAR(10),TRUE,FILTER(admissions!$G$2:$G$78,admissions!$M$2:$M$78=batches!A339,"""")))"),"")</f>
        <v/>
      </c>
      <c r="H2026" s="101" t="n"/>
      <c r="I2026" s="101" t="n"/>
      <c r="J2026" s="102" t="n"/>
    </row>
    <row r="2027" ht="15.75" customHeight="1" s="84"/>
    <row r="2028" ht="15.75" customHeight="1" s="84"/>
    <row r="2029" ht="15.75" customHeight="1" s="84">
      <c r="A2029" s="100">
        <f>IF(batches!A340="","",batches!A340)</f>
        <v/>
      </c>
      <c r="B2029" s="101" t="n"/>
      <c r="C2029" s="101" t="n"/>
      <c r="D2029" s="102" t="n"/>
      <c r="G2029" s="100">
        <f>IF(batches!A341="","",batches!A341)</f>
        <v/>
      </c>
      <c r="H2029" s="101" t="n"/>
      <c r="I2029" s="101" t="n"/>
      <c r="J2029" s="102" t="n"/>
    </row>
    <row r="2030" ht="15.75" customHeight="1" s="84">
      <c r="A2030" s="80" t="inlineStr">
        <is>
          <t>Level / Mode</t>
        </is>
      </c>
      <c r="B2030" s="103">
        <f>IF(A2029="","",batches!B340&amp;" / "&amp;batches!C340)</f>
        <v/>
      </c>
      <c r="C2030" s="101" t="n"/>
      <c r="D2030" s="102" t="n"/>
      <c r="G2030" s="80" t="inlineStr">
        <is>
          <t>Level / Mode</t>
        </is>
      </c>
      <c r="H2030" s="103">
        <f>IF(G2029="","",batches!B341&amp;" / "&amp;batches!C341)</f>
        <v/>
      </c>
      <c r="I2030" s="101" t="n"/>
      <c r="J2030" s="102" t="n"/>
    </row>
    <row r="2031" ht="15.75" customHeight="1" s="84">
      <c r="A2031" s="80" t="inlineStr">
        <is>
          <t>Dates</t>
        </is>
      </c>
      <c r="B2031" s="103">
        <f>IF(A2029="","",TEXT(batches!D340,"yyyy-mm-dd")&amp;" to "&amp;TEXT(batches!E340,"yyyy-mm-dd"))</f>
        <v/>
      </c>
      <c r="C2031" s="101" t="n"/>
      <c r="D2031" s="102" t="n"/>
      <c r="G2031" s="80" t="inlineStr">
        <is>
          <t>Dates</t>
        </is>
      </c>
      <c r="H2031" s="103">
        <f>IF(G2029="","",TEXT(batches!D341,"yyyy-mm-dd")&amp;" to "&amp;TEXT(batches!E341,"yyyy-mm-dd"))</f>
        <v/>
      </c>
      <c r="I2031" s="101" t="n"/>
      <c r="J2031" s="102" t="n"/>
    </row>
    <row r="2032" ht="15.75" customHeight="1" s="84">
      <c r="A2032" s="80" t="inlineStr">
        <is>
          <t>Duration</t>
        </is>
      </c>
      <c r="B2032" s="103">
        <f>IF(OR(batches!D340="",batches!E340=""),"",batches!E340-batches!D340+1&amp;" days")</f>
        <v/>
      </c>
      <c r="C2032" s="101" t="n"/>
      <c r="D2032" s="102" t="n"/>
      <c r="G2032" s="80" t="inlineStr">
        <is>
          <t>Duration</t>
        </is>
      </c>
      <c r="H2032" s="103">
        <f>IF(OR(batches!D341="",batches!E341=""),"",batches!E341-batches!D341+1&amp;" days")</f>
        <v/>
      </c>
      <c r="I2032" s="101" t="n"/>
      <c r="J2032" s="102" t="n"/>
    </row>
    <row r="2033" ht="15.75" customHeight="1" s="84">
      <c r="A2033" s="80" t="inlineStr">
        <is>
          <t>Timing</t>
        </is>
      </c>
      <c r="B2033" s="103">
        <f>IF(A2029="","",batches!F340)</f>
        <v/>
      </c>
      <c r="C2033" s="101" t="n"/>
      <c r="D2033" s="102" t="n"/>
      <c r="G2033" s="80" t="inlineStr">
        <is>
          <t>Timing</t>
        </is>
      </c>
      <c r="H2033" s="103">
        <f>IF(G2029="","",batches!F341)</f>
        <v/>
      </c>
      <c r="I2033" s="101" t="n"/>
      <c r="J2033" s="102" t="n"/>
    </row>
    <row r="2034" ht="15.75" customHeight="1" s="84">
      <c r="A2034" s="80" t="inlineStr">
        <is>
          <t>Capacity</t>
        </is>
      </c>
      <c r="B2034" s="103">
        <f>IF(A2029="","",batches!G340)</f>
        <v/>
      </c>
      <c r="C2034" s="101" t="n"/>
      <c r="D2034" s="102" t="n"/>
      <c r="G2034" s="80" t="inlineStr">
        <is>
          <t>Capacity</t>
        </is>
      </c>
      <c r="H2034" s="103">
        <f>IF(G2029="","",batches!G341)</f>
        <v/>
      </c>
      <c r="I2034" s="101" t="n"/>
      <c r="J2034" s="102" t="n"/>
    </row>
    <row r="2035" ht="15.75" customHeight="1" s="84">
      <c r="A2035" s="80" t="inlineStr">
        <is>
          <t>Enrolled</t>
        </is>
      </c>
      <c r="B2035" s="103">
        <f>IF(A2029="","",COUNTIF(admissions!$M:$M,batches!A340))</f>
        <v/>
      </c>
      <c r="C2035" s="101" t="n"/>
      <c r="D2035" s="102" t="n"/>
      <c r="G2035" s="80" t="inlineStr">
        <is>
          <t>Enrolled</t>
        </is>
      </c>
      <c r="H2035" s="103">
        <f>IF(G2029="","",COUNTIF(admissions!$M:$M,batches!A341))</f>
        <v/>
      </c>
      <c r="I2035" s="101" t="n"/>
      <c r="J2035" s="102" t="n"/>
    </row>
    <row r="2036" ht="15.75" customHeight="1" s="84">
      <c r="A2036" s="80" t="inlineStr">
        <is>
          <t>Available</t>
        </is>
      </c>
      <c r="B2036" s="103">
        <f>IF(OR(batches!A340="",batches!G340=""),"",batches!G340-COUNTIF(admissions!$M:$M,batches!A340))</f>
        <v/>
      </c>
      <c r="C2036" s="101" t="n"/>
      <c r="D2036" s="102" t="n"/>
      <c r="G2036" s="80" t="inlineStr">
        <is>
          <t>Available</t>
        </is>
      </c>
      <c r="H2036" s="103">
        <f>IF(OR(batches!A341="",batches!G341=""),"",batches!G341-COUNTIF(admissions!$M:$M,batches!A341))</f>
        <v/>
      </c>
      <c r="I2036" s="101" t="n"/>
      <c r="J2036" s="102" t="n"/>
    </row>
    <row r="2037" ht="15.75" customHeight="1" s="84">
      <c r="A2037" s="104" t="inlineStr">
        <is>
          <t>Student List</t>
        </is>
      </c>
      <c r="B2037" s="101" t="n"/>
      <c r="C2037" s="101" t="n"/>
      <c r="D2037" s="102" t="n"/>
      <c r="G2037" s="104" t="inlineStr">
        <is>
          <t>Student List</t>
        </is>
      </c>
      <c r="H2037" s="101" t="n"/>
      <c r="I2037" s="101" t="n"/>
      <c r="J2037" s="102" t="n"/>
    </row>
    <row r="2038" ht="15.75" customHeight="1" s="84">
      <c r="A2038" s="105">
        <f>IFERROR(__xludf.DUMMYFUNCTION("IF(batches!A340="""","""",TEXTJOIN(CHAR(10),TRUE,FILTER(admissions!$G$2:$G$78,admissions!$M$2:$M$78=batches!A340,"""")))"),"")</f>
        <v/>
      </c>
      <c r="B2038" s="101" t="n"/>
      <c r="C2038" s="101" t="n"/>
      <c r="D2038" s="102" t="n"/>
      <c r="G2038" s="105">
        <f>IFERROR(__xludf.DUMMYFUNCTION("IF(batches!A341="""","""",TEXTJOIN(CHAR(10),TRUE,FILTER(admissions!$G$2:$G$78,admissions!$M$2:$M$78=batches!A341,"""")))"),"")</f>
        <v/>
      </c>
      <c r="H2038" s="101" t="n"/>
      <c r="I2038" s="101" t="n"/>
      <c r="J2038" s="102" t="n"/>
    </row>
    <row r="2039" ht="15.75" customHeight="1" s="84"/>
    <row r="2040" ht="15.75" customHeight="1" s="84"/>
    <row r="2041" ht="15.75" customHeight="1" s="84">
      <c r="A2041" s="100">
        <f>IF(batches!A342="","",batches!A342)</f>
        <v/>
      </c>
      <c r="B2041" s="101" t="n"/>
      <c r="C2041" s="101" t="n"/>
      <c r="D2041" s="102" t="n"/>
      <c r="G2041" s="100">
        <f>IF(batches!A343="","",batches!A343)</f>
        <v/>
      </c>
      <c r="H2041" s="101" t="n"/>
      <c r="I2041" s="101" t="n"/>
      <c r="J2041" s="102" t="n"/>
    </row>
    <row r="2042" ht="15.75" customHeight="1" s="84">
      <c r="A2042" s="80" t="inlineStr">
        <is>
          <t>Level / Mode</t>
        </is>
      </c>
      <c r="B2042" s="103">
        <f>IF(A2041="","",batches!B342&amp;" / "&amp;batches!C342)</f>
        <v/>
      </c>
      <c r="C2042" s="101" t="n"/>
      <c r="D2042" s="102" t="n"/>
      <c r="G2042" s="80" t="inlineStr">
        <is>
          <t>Level / Mode</t>
        </is>
      </c>
      <c r="H2042" s="103">
        <f>IF(G2041="","",batches!B343&amp;" / "&amp;batches!C343)</f>
        <v/>
      </c>
      <c r="I2042" s="101" t="n"/>
      <c r="J2042" s="102" t="n"/>
    </row>
    <row r="2043" ht="15.75" customHeight="1" s="84">
      <c r="A2043" s="80" t="inlineStr">
        <is>
          <t>Dates</t>
        </is>
      </c>
      <c r="B2043" s="103">
        <f>IF(A2041="","",TEXT(batches!D342,"yyyy-mm-dd")&amp;" to "&amp;TEXT(batches!E342,"yyyy-mm-dd"))</f>
        <v/>
      </c>
      <c r="C2043" s="101" t="n"/>
      <c r="D2043" s="102" t="n"/>
      <c r="G2043" s="80" t="inlineStr">
        <is>
          <t>Dates</t>
        </is>
      </c>
      <c r="H2043" s="103">
        <f>IF(G2041="","",TEXT(batches!D343,"yyyy-mm-dd")&amp;" to "&amp;TEXT(batches!E343,"yyyy-mm-dd"))</f>
        <v/>
      </c>
      <c r="I2043" s="101" t="n"/>
      <c r="J2043" s="102" t="n"/>
    </row>
    <row r="2044" ht="15.75" customHeight="1" s="84">
      <c r="A2044" s="80" t="inlineStr">
        <is>
          <t>Duration</t>
        </is>
      </c>
      <c r="B2044" s="103">
        <f>IF(OR(batches!D342="",batches!E342=""),"",batches!E342-batches!D342+1&amp;" days")</f>
        <v/>
      </c>
      <c r="C2044" s="101" t="n"/>
      <c r="D2044" s="102" t="n"/>
      <c r="G2044" s="80" t="inlineStr">
        <is>
          <t>Duration</t>
        </is>
      </c>
      <c r="H2044" s="103">
        <f>IF(OR(batches!D343="",batches!E343=""),"",batches!E343-batches!D343+1&amp;" days")</f>
        <v/>
      </c>
      <c r="I2044" s="101" t="n"/>
      <c r="J2044" s="102" t="n"/>
    </row>
    <row r="2045" ht="15.75" customHeight="1" s="84">
      <c r="A2045" s="80" t="inlineStr">
        <is>
          <t>Timing</t>
        </is>
      </c>
      <c r="B2045" s="103">
        <f>IF(A2041="","",batches!F342)</f>
        <v/>
      </c>
      <c r="C2045" s="101" t="n"/>
      <c r="D2045" s="102" t="n"/>
      <c r="G2045" s="80" t="inlineStr">
        <is>
          <t>Timing</t>
        </is>
      </c>
      <c r="H2045" s="103">
        <f>IF(G2041="","",batches!F343)</f>
        <v/>
      </c>
      <c r="I2045" s="101" t="n"/>
      <c r="J2045" s="102" t="n"/>
    </row>
    <row r="2046" ht="15.75" customHeight="1" s="84">
      <c r="A2046" s="80" t="inlineStr">
        <is>
          <t>Capacity</t>
        </is>
      </c>
      <c r="B2046" s="103">
        <f>IF(A2041="","",batches!G342)</f>
        <v/>
      </c>
      <c r="C2046" s="101" t="n"/>
      <c r="D2046" s="102" t="n"/>
      <c r="G2046" s="80" t="inlineStr">
        <is>
          <t>Capacity</t>
        </is>
      </c>
      <c r="H2046" s="103">
        <f>IF(G2041="","",batches!G343)</f>
        <v/>
      </c>
      <c r="I2046" s="101" t="n"/>
      <c r="J2046" s="102" t="n"/>
    </row>
    <row r="2047" ht="15.75" customHeight="1" s="84">
      <c r="A2047" s="80" t="inlineStr">
        <is>
          <t>Enrolled</t>
        </is>
      </c>
      <c r="B2047" s="103">
        <f>IF(A2041="","",COUNTIF(admissions!$M:$M,batches!A342))</f>
        <v/>
      </c>
      <c r="C2047" s="101" t="n"/>
      <c r="D2047" s="102" t="n"/>
      <c r="G2047" s="80" t="inlineStr">
        <is>
          <t>Enrolled</t>
        </is>
      </c>
      <c r="H2047" s="103">
        <f>IF(G2041="","",COUNTIF(admissions!$M:$M,batches!A343))</f>
        <v/>
      </c>
      <c r="I2047" s="101" t="n"/>
      <c r="J2047" s="102" t="n"/>
    </row>
    <row r="2048" ht="15.75" customHeight="1" s="84">
      <c r="A2048" s="80" t="inlineStr">
        <is>
          <t>Available</t>
        </is>
      </c>
      <c r="B2048" s="103">
        <f>IF(OR(batches!A342="",batches!G342=""),"",batches!G342-COUNTIF(admissions!$M:$M,batches!A342))</f>
        <v/>
      </c>
      <c r="C2048" s="101" t="n"/>
      <c r="D2048" s="102" t="n"/>
      <c r="G2048" s="80" t="inlineStr">
        <is>
          <t>Available</t>
        </is>
      </c>
      <c r="H2048" s="103">
        <f>IF(OR(batches!A343="",batches!G343=""),"",batches!G343-COUNTIF(admissions!$M:$M,batches!A343))</f>
        <v/>
      </c>
      <c r="I2048" s="101" t="n"/>
      <c r="J2048" s="102" t="n"/>
    </row>
    <row r="2049" ht="15.75" customHeight="1" s="84">
      <c r="A2049" s="104" t="inlineStr">
        <is>
          <t>Student List</t>
        </is>
      </c>
      <c r="B2049" s="101" t="n"/>
      <c r="C2049" s="101" t="n"/>
      <c r="D2049" s="102" t="n"/>
      <c r="G2049" s="104" t="inlineStr">
        <is>
          <t>Student List</t>
        </is>
      </c>
      <c r="H2049" s="101" t="n"/>
      <c r="I2049" s="101" t="n"/>
      <c r="J2049" s="102" t="n"/>
    </row>
    <row r="2050" ht="15.75" customHeight="1" s="84">
      <c r="A2050" s="105">
        <f>IFERROR(__xludf.DUMMYFUNCTION("IF(batches!A342="""","""",TEXTJOIN(CHAR(10),TRUE,FILTER(admissions!$G$2:$G$78,admissions!$M$2:$M$78=batches!A342,"""")))"),"")</f>
        <v/>
      </c>
      <c r="B2050" s="101" t="n"/>
      <c r="C2050" s="101" t="n"/>
      <c r="D2050" s="102" t="n"/>
      <c r="G2050" s="105">
        <f>IFERROR(__xludf.DUMMYFUNCTION("IF(batches!A343="""","""",TEXTJOIN(CHAR(10),TRUE,FILTER(admissions!$G$2:$G$78,admissions!$M$2:$M$78=batches!A343,"""")))"),"")</f>
        <v/>
      </c>
      <c r="H2050" s="101" t="n"/>
      <c r="I2050" s="101" t="n"/>
      <c r="J2050" s="102" t="n"/>
    </row>
    <row r="2051" ht="15.75" customHeight="1" s="84"/>
    <row r="2052" ht="15.75" customHeight="1" s="84"/>
    <row r="2053" ht="15.75" customHeight="1" s="84">
      <c r="A2053" s="100">
        <f>IF(batches!A344="","",batches!A344)</f>
        <v/>
      </c>
      <c r="B2053" s="101" t="n"/>
      <c r="C2053" s="101" t="n"/>
      <c r="D2053" s="102" t="n"/>
      <c r="G2053" s="100">
        <f>IF(batches!A345="","",batches!A345)</f>
        <v/>
      </c>
      <c r="H2053" s="101" t="n"/>
      <c r="I2053" s="101" t="n"/>
      <c r="J2053" s="102" t="n"/>
    </row>
    <row r="2054" ht="15.75" customHeight="1" s="84">
      <c r="A2054" s="80" t="inlineStr">
        <is>
          <t>Level / Mode</t>
        </is>
      </c>
      <c r="B2054" s="103">
        <f>IF(A2053="","",batches!B344&amp;" / "&amp;batches!C344)</f>
        <v/>
      </c>
      <c r="C2054" s="101" t="n"/>
      <c r="D2054" s="102" t="n"/>
      <c r="G2054" s="80" t="inlineStr">
        <is>
          <t>Level / Mode</t>
        </is>
      </c>
      <c r="H2054" s="103">
        <f>IF(G2053="","",batches!B345&amp;" / "&amp;batches!C345)</f>
        <v/>
      </c>
      <c r="I2054" s="101" t="n"/>
      <c r="J2054" s="102" t="n"/>
    </row>
    <row r="2055" ht="15.75" customHeight="1" s="84">
      <c r="A2055" s="80" t="inlineStr">
        <is>
          <t>Dates</t>
        </is>
      </c>
      <c r="B2055" s="103">
        <f>IF(A2053="","",TEXT(batches!D344,"yyyy-mm-dd")&amp;" to "&amp;TEXT(batches!E344,"yyyy-mm-dd"))</f>
        <v/>
      </c>
      <c r="C2055" s="101" t="n"/>
      <c r="D2055" s="102" t="n"/>
      <c r="G2055" s="80" t="inlineStr">
        <is>
          <t>Dates</t>
        </is>
      </c>
      <c r="H2055" s="103">
        <f>IF(G2053="","",TEXT(batches!D345,"yyyy-mm-dd")&amp;" to "&amp;TEXT(batches!E345,"yyyy-mm-dd"))</f>
        <v/>
      </c>
      <c r="I2055" s="101" t="n"/>
      <c r="J2055" s="102" t="n"/>
    </row>
    <row r="2056" ht="15.75" customHeight="1" s="84">
      <c r="A2056" s="80" t="inlineStr">
        <is>
          <t>Duration</t>
        </is>
      </c>
      <c r="B2056" s="103">
        <f>IF(OR(batches!D344="",batches!E344=""),"",batches!E344-batches!D344+1&amp;" days")</f>
        <v/>
      </c>
      <c r="C2056" s="101" t="n"/>
      <c r="D2056" s="102" t="n"/>
      <c r="G2056" s="80" t="inlineStr">
        <is>
          <t>Duration</t>
        </is>
      </c>
      <c r="H2056" s="103">
        <f>IF(OR(batches!D345="",batches!E345=""),"",batches!E345-batches!D345+1&amp;" days")</f>
        <v/>
      </c>
      <c r="I2056" s="101" t="n"/>
      <c r="J2056" s="102" t="n"/>
    </row>
    <row r="2057" ht="15.75" customHeight="1" s="84">
      <c r="A2057" s="80" t="inlineStr">
        <is>
          <t>Timing</t>
        </is>
      </c>
      <c r="B2057" s="103">
        <f>IF(A2053="","",batches!F344)</f>
        <v/>
      </c>
      <c r="C2057" s="101" t="n"/>
      <c r="D2057" s="102" t="n"/>
      <c r="G2057" s="80" t="inlineStr">
        <is>
          <t>Timing</t>
        </is>
      </c>
      <c r="H2057" s="103">
        <f>IF(G2053="","",batches!F345)</f>
        <v/>
      </c>
      <c r="I2057" s="101" t="n"/>
      <c r="J2057" s="102" t="n"/>
    </row>
    <row r="2058" ht="15.75" customHeight="1" s="84">
      <c r="A2058" s="80" t="inlineStr">
        <is>
          <t>Capacity</t>
        </is>
      </c>
      <c r="B2058" s="103">
        <f>IF(A2053="","",batches!G344)</f>
        <v/>
      </c>
      <c r="C2058" s="101" t="n"/>
      <c r="D2058" s="102" t="n"/>
      <c r="G2058" s="80" t="inlineStr">
        <is>
          <t>Capacity</t>
        </is>
      </c>
      <c r="H2058" s="103">
        <f>IF(G2053="","",batches!G345)</f>
        <v/>
      </c>
      <c r="I2058" s="101" t="n"/>
      <c r="J2058" s="102" t="n"/>
    </row>
    <row r="2059" ht="15.75" customHeight="1" s="84">
      <c r="A2059" s="80" t="inlineStr">
        <is>
          <t>Enrolled</t>
        </is>
      </c>
      <c r="B2059" s="103">
        <f>IF(A2053="","",COUNTIF(admissions!$M:$M,batches!A344))</f>
        <v/>
      </c>
      <c r="C2059" s="101" t="n"/>
      <c r="D2059" s="102" t="n"/>
      <c r="G2059" s="80" t="inlineStr">
        <is>
          <t>Enrolled</t>
        </is>
      </c>
      <c r="H2059" s="103">
        <f>IF(G2053="","",COUNTIF(admissions!$M:$M,batches!A345))</f>
        <v/>
      </c>
      <c r="I2059" s="101" t="n"/>
      <c r="J2059" s="102" t="n"/>
    </row>
    <row r="2060" ht="15.75" customHeight="1" s="84">
      <c r="A2060" s="80" t="inlineStr">
        <is>
          <t>Available</t>
        </is>
      </c>
      <c r="B2060" s="103">
        <f>IF(OR(batches!A344="",batches!G344=""),"",batches!G344-COUNTIF(admissions!$M:$M,batches!A344))</f>
        <v/>
      </c>
      <c r="C2060" s="101" t="n"/>
      <c r="D2060" s="102" t="n"/>
      <c r="G2060" s="80" t="inlineStr">
        <is>
          <t>Available</t>
        </is>
      </c>
      <c r="H2060" s="103">
        <f>IF(OR(batches!A345="",batches!G345=""),"",batches!G345-COUNTIF(admissions!$M:$M,batches!A345))</f>
        <v/>
      </c>
      <c r="I2060" s="101" t="n"/>
      <c r="J2060" s="102" t="n"/>
    </row>
    <row r="2061" ht="15.75" customHeight="1" s="84">
      <c r="A2061" s="104" t="inlineStr">
        <is>
          <t>Student List</t>
        </is>
      </c>
      <c r="B2061" s="101" t="n"/>
      <c r="C2061" s="101" t="n"/>
      <c r="D2061" s="102" t="n"/>
      <c r="G2061" s="104" t="inlineStr">
        <is>
          <t>Student List</t>
        </is>
      </c>
      <c r="H2061" s="101" t="n"/>
      <c r="I2061" s="101" t="n"/>
      <c r="J2061" s="102" t="n"/>
    </row>
    <row r="2062" ht="15.75" customHeight="1" s="84">
      <c r="A2062" s="105">
        <f>IFERROR(__xludf.DUMMYFUNCTION("IF(batches!A344="""","""",TEXTJOIN(CHAR(10),TRUE,FILTER(admissions!$G$2:$G$78,admissions!$M$2:$M$78=batches!A344,"""")))"),"")</f>
        <v/>
      </c>
      <c r="B2062" s="101" t="n"/>
      <c r="C2062" s="101" t="n"/>
      <c r="D2062" s="102" t="n"/>
      <c r="G2062" s="105">
        <f>IFERROR(__xludf.DUMMYFUNCTION("IF(batches!A345="""","""",TEXTJOIN(CHAR(10),TRUE,FILTER(admissions!$G$2:$G$78,admissions!$M$2:$M$78=batches!A345,"""")))"),"")</f>
        <v/>
      </c>
      <c r="H2062" s="101" t="n"/>
      <c r="I2062" s="101" t="n"/>
      <c r="J2062" s="102" t="n"/>
    </row>
    <row r="2063" ht="15.75" customHeight="1" s="84"/>
    <row r="2064" ht="15.75" customHeight="1" s="84"/>
    <row r="2065" ht="15.75" customHeight="1" s="84">
      <c r="A2065" s="100">
        <f>IF(batches!A346="","",batches!A346)</f>
        <v/>
      </c>
      <c r="B2065" s="101" t="n"/>
      <c r="C2065" s="101" t="n"/>
      <c r="D2065" s="102" t="n"/>
      <c r="G2065" s="100">
        <f>IF(batches!A347="","",batches!A347)</f>
        <v/>
      </c>
      <c r="H2065" s="101" t="n"/>
      <c r="I2065" s="101" t="n"/>
      <c r="J2065" s="102" t="n"/>
    </row>
    <row r="2066" ht="15.75" customHeight="1" s="84">
      <c r="A2066" s="80" t="inlineStr">
        <is>
          <t>Level / Mode</t>
        </is>
      </c>
      <c r="B2066" s="103">
        <f>IF(A2065="","",batches!B346&amp;" / "&amp;batches!C346)</f>
        <v/>
      </c>
      <c r="C2066" s="101" t="n"/>
      <c r="D2066" s="102" t="n"/>
      <c r="G2066" s="80" t="inlineStr">
        <is>
          <t>Level / Mode</t>
        </is>
      </c>
      <c r="H2066" s="103">
        <f>IF(G2065="","",batches!B347&amp;" / "&amp;batches!C347)</f>
        <v/>
      </c>
      <c r="I2066" s="101" t="n"/>
      <c r="J2066" s="102" t="n"/>
    </row>
    <row r="2067" ht="15.75" customHeight="1" s="84">
      <c r="A2067" s="80" t="inlineStr">
        <is>
          <t>Dates</t>
        </is>
      </c>
      <c r="B2067" s="103">
        <f>IF(A2065="","",TEXT(batches!D346,"yyyy-mm-dd")&amp;" to "&amp;TEXT(batches!E346,"yyyy-mm-dd"))</f>
        <v/>
      </c>
      <c r="C2067" s="101" t="n"/>
      <c r="D2067" s="102" t="n"/>
      <c r="G2067" s="80" t="inlineStr">
        <is>
          <t>Dates</t>
        </is>
      </c>
      <c r="H2067" s="103">
        <f>IF(G2065="","",TEXT(batches!D347,"yyyy-mm-dd")&amp;" to "&amp;TEXT(batches!E347,"yyyy-mm-dd"))</f>
        <v/>
      </c>
      <c r="I2067" s="101" t="n"/>
      <c r="J2067" s="102" t="n"/>
    </row>
    <row r="2068" ht="15.75" customHeight="1" s="84">
      <c r="A2068" s="80" t="inlineStr">
        <is>
          <t>Duration</t>
        </is>
      </c>
      <c r="B2068" s="103">
        <f>IF(OR(batches!D346="",batches!E346=""),"",batches!E346-batches!D346+1&amp;" days")</f>
        <v/>
      </c>
      <c r="C2068" s="101" t="n"/>
      <c r="D2068" s="102" t="n"/>
      <c r="G2068" s="80" t="inlineStr">
        <is>
          <t>Duration</t>
        </is>
      </c>
      <c r="H2068" s="103">
        <f>IF(OR(batches!D347="",batches!E347=""),"",batches!E347-batches!D347+1&amp;" days")</f>
        <v/>
      </c>
      <c r="I2068" s="101" t="n"/>
      <c r="J2068" s="102" t="n"/>
    </row>
    <row r="2069" ht="15.75" customHeight="1" s="84">
      <c r="A2069" s="80" t="inlineStr">
        <is>
          <t>Timing</t>
        </is>
      </c>
      <c r="B2069" s="103">
        <f>IF(A2065="","",batches!F346)</f>
        <v/>
      </c>
      <c r="C2069" s="101" t="n"/>
      <c r="D2069" s="102" t="n"/>
      <c r="G2069" s="80" t="inlineStr">
        <is>
          <t>Timing</t>
        </is>
      </c>
      <c r="H2069" s="103">
        <f>IF(G2065="","",batches!F347)</f>
        <v/>
      </c>
      <c r="I2069" s="101" t="n"/>
      <c r="J2069" s="102" t="n"/>
    </row>
    <row r="2070" ht="15.75" customHeight="1" s="84">
      <c r="A2070" s="80" t="inlineStr">
        <is>
          <t>Capacity</t>
        </is>
      </c>
      <c r="B2070" s="103">
        <f>IF(A2065="","",batches!G346)</f>
        <v/>
      </c>
      <c r="C2070" s="101" t="n"/>
      <c r="D2070" s="102" t="n"/>
      <c r="G2070" s="80" t="inlineStr">
        <is>
          <t>Capacity</t>
        </is>
      </c>
      <c r="H2070" s="103">
        <f>IF(G2065="","",batches!G347)</f>
        <v/>
      </c>
      <c r="I2070" s="101" t="n"/>
      <c r="J2070" s="102" t="n"/>
    </row>
    <row r="2071" ht="15.75" customHeight="1" s="84">
      <c r="A2071" s="80" t="inlineStr">
        <is>
          <t>Enrolled</t>
        </is>
      </c>
      <c r="B2071" s="103">
        <f>IF(A2065="","",COUNTIF(admissions!$M:$M,batches!A346))</f>
        <v/>
      </c>
      <c r="C2071" s="101" t="n"/>
      <c r="D2071" s="102" t="n"/>
      <c r="G2071" s="80" t="inlineStr">
        <is>
          <t>Enrolled</t>
        </is>
      </c>
      <c r="H2071" s="103">
        <f>IF(G2065="","",COUNTIF(admissions!$M:$M,batches!A347))</f>
        <v/>
      </c>
      <c r="I2071" s="101" t="n"/>
      <c r="J2071" s="102" t="n"/>
    </row>
    <row r="2072" ht="15.75" customHeight="1" s="84">
      <c r="A2072" s="80" t="inlineStr">
        <is>
          <t>Available</t>
        </is>
      </c>
      <c r="B2072" s="103">
        <f>IF(OR(batches!A346="",batches!G346=""),"",batches!G346-COUNTIF(admissions!$M:$M,batches!A346))</f>
        <v/>
      </c>
      <c r="C2072" s="101" t="n"/>
      <c r="D2072" s="102" t="n"/>
      <c r="G2072" s="80" t="inlineStr">
        <is>
          <t>Available</t>
        </is>
      </c>
      <c r="H2072" s="103">
        <f>IF(OR(batches!A347="",batches!G347=""),"",batches!G347-COUNTIF(admissions!$M:$M,batches!A347))</f>
        <v/>
      </c>
      <c r="I2072" s="101" t="n"/>
      <c r="J2072" s="102" t="n"/>
    </row>
    <row r="2073" ht="15.75" customHeight="1" s="84">
      <c r="A2073" s="104" t="inlineStr">
        <is>
          <t>Student List</t>
        </is>
      </c>
      <c r="B2073" s="101" t="n"/>
      <c r="C2073" s="101" t="n"/>
      <c r="D2073" s="102" t="n"/>
      <c r="G2073" s="104" t="inlineStr">
        <is>
          <t>Student List</t>
        </is>
      </c>
      <c r="H2073" s="101" t="n"/>
      <c r="I2073" s="101" t="n"/>
      <c r="J2073" s="102" t="n"/>
    </row>
    <row r="2074" ht="15.75" customHeight="1" s="84">
      <c r="A2074" s="105">
        <f>IFERROR(__xludf.DUMMYFUNCTION("IF(batches!A346="""","""",TEXTJOIN(CHAR(10),TRUE,FILTER(admissions!$G$2:$G$78,admissions!$M$2:$M$78=batches!A346,"""")))"),"")</f>
        <v/>
      </c>
      <c r="B2074" s="101" t="n"/>
      <c r="C2074" s="101" t="n"/>
      <c r="D2074" s="102" t="n"/>
      <c r="G2074" s="105">
        <f>IFERROR(__xludf.DUMMYFUNCTION("IF(batches!A347="""","""",TEXTJOIN(CHAR(10),TRUE,FILTER(admissions!$G$2:$G$78,admissions!$M$2:$M$78=batches!A347,"""")))"),"")</f>
        <v/>
      </c>
      <c r="H2074" s="101" t="n"/>
      <c r="I2074" s="101" t="n"/>
      <c r="J2074" s="102" t="n"/>
    </row>
    <row r="2075" ht="15.75" customHeight="1" s="84"/>
    <row r="2076" ht="15.75" customHeight="1" s="84"/>
    <row r="2077" ht="15.75" customHeight="1" s="84">
      <c r="A2077" s="100">
        <f>IF(batches!A348="","",batches!A348)</f>
        <v/>
      </c>
      <c r="B2077" s="101" t="n"/>
      <c r="C2077" s="101" t="n"/>
      <c r="D2077" s="102" t="n"/>
      <c r="G2077" s="100">
        <f>IF(batches!A349="","",batches!A349)</f>
        <v/>
      </c>
      <c r="H2077" s="101" t="n"/>
      <c r="I2077" s="101" t="n"/>
      <c r="J2077" s="102" t="n"/>
    </row>
    <row r="2078" ht="15.75" customHeight="1" s="84">
      <c r="A2078" s="80" t="inlineStr">
        <is>
          <t>Level / Mode</t>
        </is>
      </c>
      <c r="B2078" s="103">
        <f>IF(A2077="","",batches!B348&amp;" / "&amp;batches!C348)</f>
        <v/>
      </c>
      <c r="C2078" s="101" t="n"/>
      <c r="D2078" s="102" t="n"/>
      <c r="G2078" s="80" t="inlineStr">
        <is>
          <t>Level / Mode</t>
        </is>
      </c>
      <c r="H2078" s="103">
        <f>IF(G2077="","",batches!B349&amp;" / "&amp;batches!C349)</f>
        <v/>
      </c>
      <c r="I2078" s="101" t="n"/>
      <c r="J2078" s="102" t="n"/>
    </row>
    <row r="2079" ht="15.75" customHeight="1" s="84">
      <c r="A2079" s="80" t="inlineStr">
        <is>
          <t>Dates</t>
        </is>
      </c>
      <c r="B2079" s="103">
        <f>IF(A2077="","",TEXT(batches!D348,"yyyy-mm-dd")&amp;" to "&amp;TEXT(batches!E348,"yyyy-mm-dd"))</f>
        <v/>
      </c>
      <c r="C2079" s="101" t="n"/>
      <c r="D2079" s="102" t="n"/>
      <c r="G2079" s="80" t="inlineStr">
        <is>
          <t>Dates</t>
        </is>
      </c>
      <c r="H2079" s="103">
        <f>IF(G2077="","",TEXT(batches!D349,"yyyy-mm-dd")&amp;" to "&amp;TEXT(batches!E349,"yyyy-mm-dd"))</f>
        <v/>
      </c>
      <c r="I2079" s="101" t="n"/>
      <c r="J2079" s="102" t="n"/>
    </row>
    <row r="2080" ht="15.75" customHeight="1" s="84">
      <c r="A2080" s="80" t="inlineStr">
        <is>
          <t>Duration</t>
        </is>
      </c>
      <c r="B2080" s="103">
        <f>IF(OR(batches!D348="",batches!E348=""),"",batches!E348-batches!D348+1&amp;" days")</f>
        <v/>
      </c>
      <c r="C2080" s="101" t="n"/>
      <c r="D2080" s="102" t="n"/>
      <c r="G2080" s="80" t="inlineStr">
        <is>
          <t>Duration</t>
        </is>
      </c>
      <c r="H2080" s="103">
        <f>IF(OR(batches!D349="",batches!E349=""),"",batches!E349-batches!D349+1&amp;" days")</f>
        <v/>
      </c>
      <c r="I2080" s="101" t="n"/>
      <c r="J2080" s="102" t="n"/>
    </row>
    <row r="2081" ht="15.75" customHeight="1" s="84">
      <c r="A2081" s="80" t="inlineStr">
        <is>
          <t>Timing</t>
        </is>
      </c>
      <c r="B2081" s="103">
        <f>IF(A2077="","",batches!F348)</f>
        <v/>
      </c>
      <c r="C2081" s="101" t="n"/>
      <c r="D2081" s="102" t="n"/>
      <c r="G2081" s="80" t="inlineStr">
        <is>
          <t>Timing</t>
        </is>
      </c>
      <c r="H2081" s="103">
        <f>IF(G2077="","",batches!F349)</f>
        <v/>
      </c>
      <c r="I2081" s="101" t="n"/>
      <c r="J2081" s="102" t="n"/>
    </row>
    <row r="2082" ht="15.75" customHeight="1" s="84">
      <c r="A2082" s="80" t="inlineStr">
        <is>
          <t>Capacity</t>
        </is>
      </c>
      <c r="B2082" s="103">
        <f>IF(A2077="","",batches!G348)</f>
        <v/>
      </c>
      <c r="C2082" s="101" t="n"/>
      <c r="D2082" s="102" t="n"/>
      <c r="G2082" s="80" t="inlineStr">
        <is>
          <t>Capacity</t>
        </is>
      </c>
      <c r="H2082" s="103">
        <f>IF(G2077="","",batches!G349)</f>
        <v/>
      </c>
      <c r="I2082" s="101" t="n"/>
      <c r="J2082" s="102" t="n"/>
    </row>
    <row r="2083" ht="15.75" customHeight="1" s="84">
      <c r="A2083" s="80" t="inlineStr">
        <is>
          <t>Enrolled</t>
        </is>
      </c>
      <c r="B2083" s="103">
        <f>IF(A2077="","",COUNTIF(admissions!$M:$M,batches!A348))</f>
        <v/>
      </c>
      <c r="C2083" s="101" t="n"/>
      <c r="D2083" s="102" t="n"/>
      <c r="G2083" s="80" t="inlineStr">
        <is>
          <t>Enrolled</t>
        </is>
      </c>
      <c r="H2083" s="103">
        <f>IF(G2077="","",COUNTIF(admissions!$M:$M,batches!A349))</f>
        <v/>
      </c>
      <c r="I2083" s="101" t="n"/>
      <c r="J2083" s="102" t="n"/>
    </row>
    <row r="2084" ht="15.75" customHeight="1" s="84">
      <c r="A2084" s="80" t="inlineStr">
        <is>
          <t>Available</t>
        </is>
      </c>
      <c r="B2084" s="103">
        <f>IF(OR(batches!A348="",batches!G348=""),"",batches!G348-COUNTIF(admissions!$M:$M,batches!A348))</f>
        <v/>
      </c>
      <c r="C2084" s="101" t="n"/>
      <c r="D2084" s="102" t="n"/>
      <c r="G2084" s="80" t="inlineStr">
        <is>
          <t>Available</t>
        </is>
      </c>
      <c r="H2084" s="103">
        <f>IF(OR(batches!A349="",batches!G349=""),"",batches!G349-COUNTIF(admissions!$M:$M,batches!A349))</f>
        <v/>
      </c>
      <c r="I2084" s="101" t="n"/>
      <c r="J2084" s="102" t="n"/>
    </row>
    <row r="2085" ht="15.75" customHeight="1" s="84">
      <c r="A2085" s="104" t="inlineStr">
        <is>
          <t>Student List</t>
        </is>
      </c>
      <c r="B2085" s="101" t="n"/>
      <c r="C2085" s="101" t="n"/>
      <c r="D2085" s="102" t="n"/>
      <c r="G2085" s="104" t="inlineStr">
        <is>
          <t>Student List</t>
        </is>
      </c>
      <c r="H2085" s="101" t="n"/>
      <c r="I2085" s="101" t="n"/>
      <c r="J2085" s="102" t="n"/>
    </row>
    <row r="2086" ht="15.75" customHeight="1" s="84">
      <c r="A2086" s="105">
        <f>IFERROR(__xludf.DUMMYFUNCTION("IF(batches!A348="""","""",TEXTJOIN(CHAR(10),TRUE,FILTER(admissions!$G$2:$G$78,admissions!$M$2:$M$78=batches!A348,"""")))"),"")</f>
        <v/>
      </c>
      <c r="B2086" s="101" t="n"/>
      <c r="C2086" s="101" t="n"/>
      <c r="D2086" s="102" t="n"/>
      <c r="G2086" s="105">
        <f>IFERROR(__xludf.DUMMYFUNCTION("IF(batches!A349="""","""",TEXTJOIN(CHAR(10),TRUE,FILTER(admissions!$G$2:$G$78,admissions!$M$2:$M$78=batches!A349,"""")))"),"")</f>
        <v/>
      </c>
      <c r="H2086" s="101" t="n"/>
      <c r="I2086" s="101" t="n"/>
      <c r="J2086" s="102" t="n"/>
    </row>
    <row r="2087" ht="15.75" customHeight="1" s="84"/>
    <row r="2088" ht="15.75" customHeight="1" s="84"/>
    <row r="2089" ht="15.75" customHeight="1" s="84">
      <c r="A2089" s="100">
        <f>IF(batches!A350="","",batches!A350)</f>
        <v/>
      </c>
      <c r="B2089" s="101" t="n"/>
      <c r="C2089" s="101" t="n"/>
      <c r="D2089" s="102" t="n"/>
      <c r="G2089" s="100">
        <f>IF(batches!A351="","",batches!A351)</f>
        <v/>
      </c>
      <c r="H2089" s="101" t="n"/>
      <c r="I2089" s="101" t="n"/>
      <c r="J2089" s="102" t="n"/>
    </row>
    <row r="2090" ht="15.75" customHeight="1" s="84">
      <c r="A2090" s="80" t="inlineStr">
        <is>
          <t>Level / Mode</t>
        </is>
      </c>
      <c r="B2090" s="103">
        <f>IF(A2089="","",batches!B350&amp;" / "&amp;batches!C350)</f>
        <v/>
      </c>
      <c r="C2090" s="101" t="n"/>
      <c r="D2090" s="102" t="n"/>
      <c r="G2090" s="80" t="inlineStr">
        <is>
          <t>Level / Mode</t>
        </is>
      </c>
      <c r="H2090" s="103">
        <f>IF(G2089="","",batches!B351&amp;" / "&amp;batches!C351)</f>
        <v/>
      </c>
      <c r="I2090" s="101" t="n"/>
      <c r="J2090" s="102" t="n"/>
    </row>
    <row r="2091" ht="15.75" customHeight="1" s="84">
      <c r="A2091" s="80" t="inlineStr">
        <is>
          <t>Dates</t>
        </is>
      </c>
      <c r="B2091" s="103">
        <f>IF(A2089="","",TEXT(batches!D350,"yyyy-mm-dd")&amp;" to "&amp;TEXT(batches!E350,"yyyy-mm-dd"))</f>
        <v/>
      </c>
      <c r="C2091" s="101" t="n"/>
      <c r="D2091" s="102" t="n"/>
      <c r="G2091" s="80" t="inlineStr">
        <is>
          <t>Dates</t>
        </is>
      </c>
      <c r="H2091" s="103">
        <f>IF(G2089="","",TEXT(batches!D351,"yyyy-mm-dd")&amp;" to "&amp;TEXT(batches!E351,"yyyy-mm-dd"))</f>
        <v/>
      </c>
      <c r="I2091" s="101" t="n"/>
      <c r="J2091" s="102" t="n"/>
    </row>
    <row r="2092" ht="15.75" customHeight="1" s="84">
      <c r="A2092" s="80" t="inlineStr">
        <is>
          <t>Duration</t>
        </is>
      </c>
      <c r="B2092" s="103">
        <f>IF(OR(batches!D350="",batches!E350=""),"",batches!E350-batches!D350+1&amp;" days")</f>
        <v/>
      </c>
      <c r="C2092" s="101" t="n"/>
      <c r="D2092" s="102" t="n"/>
      <c r="G2092" s="80" t="inlineStr">
        <is>
          <t>Duration</t>
        </is>
      </c>
      <c r="H2092" s="103">
        <f>IF(OR(batches!D351="",batches!E351=""),"",batches!E351-batches!D351+1&amp;" days")</f>
        <v/>
      </c>
      <c r="I2092" s="101" t="n"/>
      <c r="J2092" s="102" t="n"/>
    </row>
    <row r="2093" ht="15.75" customHeight="1" s="84">
      <c r="A2093" s="80" t="inlineStr">
        <is>
          <t>Timing</t>
        </is>
      </c>
      <c r="B2093" s="103">
        <f>IF(A2089="","",batches!F350)</f>
        <v/>
      </c>
      <c r="C2093" s="101" t="n"/>
      <c r="D2093" s="102" t="n"/>
      <c r="G2093" s="80" t="inlineStr">
        <is>
          <t>Timing</t>
        </is>
      </c>
      <c r="H2093" s="103">
        <f>IF(G2089="","",batches!F351)</f>
        <v/>
      </c>
      <c r="I2093" s="101" t="n"/>
      <c r="J2093" s="102" t="n"/>
    </row>
    <row r="2094" ht="15.75" customHeight="1" s="84">
      <c r="A2094" s="80" t="inlineStr">
        <is>
          <t>Capacity</t>
        </is>
      </c>
      <c r="B2094" s="103">
        <f>IF(A2089="","",batches!G350)</f>
        <v/>
      </c>
      <c r="C2094" s="101" t="n"/>
      <c r="D2094" s="102" t="n"/>
      <c r="G2094" s="80" t="inlineStr">
        <is>
          <t>Capacity</t>
        </is>
      </c>
      <c r="H2094" s="103">
        <f>IF(G2089="","",batches!G351)</f>
        <v/>
      </c>
      <c r="I2094" s="101" t="n"/>
      <c r="J2094" s="102" t="n"/>
    </row>
    <row r="2095" ht="15.75" customHeight="1" s="84">
      <c r="A2095" s="80" t="inlineStr">
        <is>
          <t>Enrolled</t>
        </is>
      </c>
      <c r="B2095" s="103">
        <f>IF(A2089="","",COUNTIF(admissions!$M:$M,batches!A350))</f>
        <v/>
      </c>
      <c r="C2095" s="101" t="n"/>
      <c r="D2095" s="102" t="n"/>
      <c r="G2095" s="80" t="inlineStr">
        <is>
          <t>Enrolled</t>
        </is>
      </c>
      <c r="H2095" s="103">
        <f>IF(G2089="","",COUNTIF(admissions!$M:$M,batches!A351))</f>
        <v/>
      </c>
      <c r="I2095" s="101" t="n"/>
      <c r="J2095" s="102" t="n"/>
    </row>
    <row r="2096" ht="15.75" customHeight="1" s="84">
      <c r="A2096" s="80" t="inlineStr">
        <is>
          <t>Available</t>
        </is>
      </c>
      <c r="B2096" s="103">
        <f>IF(OR(batches!A350="",batches!G350=""),"",batches!G350-COUNTIF(admissions!$M:$M,batches!A350))</f>
        <v/>
      </c>
      <c r="C2096" s="101" t="n"/>
      <c r="D2096" s="102" t="n"/>
      <c r="G2096" s="80" t="inlineStr">
        <is>
          <t>Available</t>
        </is>
      </c>
      <c r="H2096" s="103">
        <f>IF(OR(batches!A351="",batches!G351=""),"",batches!G351-COUNTIF(admissions!$M:$M,batches!A351))</f>
        <v/>
      </c>
      <c r="I2096" s="101" t="n"/>
      <c r="J2096" s="102" t="n"/>
    </row>
    <row r="2097" ht="15.75" customHeight="1" s="84">
      <c r="A2097" s="104" t="inlineStr">
        <is>
          <t>Student List</t>
        </is>
      </c>
      <c r="B2097" s="101" t="n"/>
      <c r="C2097" s="101" t="n"/>
      <c r="D2097" s="102" t="n"/>
      <c r="G2097" s="104" t="inlineStr">
        <is>
          <t>Student List</t>
        </is>
      </c>
      <c r="H2097" s="101" t="n"/>
      <c r="I2097" s="101" t="n"/>
      <c r="J2097" s="102" t="n"/>
    </row>
    <row r="2098" ht="15.75" customHeight="1" s="84">
      <c r="A2098" s="105">
        <f>IFERROR(__xludf.DUMMYFUNCTION("IF(batches!A350="""","""",TEXTJOIN(CHAR(10),TRUE,FILTER(admissions!$G$2:$G$78,admissions!$M$2:$M$78=batches!A350,"""")))"),"")</f>
        <v/>
      </c>
      <c r="B2098" s="101" t="n"/>
      <c r="C2098" s="101" t="n"/>
      <c r="D2098" s="102" t="n"/>
      <c r="G2098" s="105">
        <f>IFERROR(__xludf.DUMMYFUNCTION("IF(batches!A351="""","""",TEXTJOIN(CHAR(10),TRUE,FILTER(admissions!$G$2:$G$78,admissions!$M$2:$M$78=batches!A351,"""")))"),"")</f>
        <v/>
      </c>
      <c r="H2098" s="101" t="n"/>
      <c r="I2098" s="101" t="n"/>
      <c r="J2098" s="102" t="n"/>
    </row>
    <row r="2099" ht="15.75" customHeight="1" s="84"/>
    <row r="2100" ht="15.75" customHeight="1" s="84"/>
    <row r="2101" ht="15.75" customHeight="1" s="84">
      <c r="A2101" s="100">
        <f>IF(batches!A352="","",batches!A352)</f>
        <v/>
      </c>
      <c r="B2101" s="101" t="n"/>
      <c r="C2101" s="101" t="n"/>
      <c r="D2101" s="102" t="n"/>
      <c r="G2101" s="100">
        <f>IF(batches!A353="","",batches!A353)</f>
        <v/>
      </c>
      <c r="H2101" s="101" t="n"/>
      <c r="I2101" s="101" t="n"/>
      <c r="J2101" s="102" t="n"/>
    </row>
    <row r="2102" ht="15.75" customHeight="1" s="84">
      <c r="A2102" s="80" t="inlineStr">
        <is>
          <t>Level / Mode</t>
        </is>
      </c>
      <c r="B2102" s="103">
        <f>IF(A2101="","",batches!B352&amp;" / "&amp;batches!C352)</f>
        <v/>
      </c>
      <c r="C2102" s="101" t="n"/>
      <c r="D2102" s="102" t="n"/>
      <c r="G2102" s="80" t="inlineStr">
        <is>
          <t>Level / Mode</t>
        </is>
      </c>
      <c r="H2102" s="103">
        <f>IF(G2101="","",batches!B353&amp;" / "&amp;batches!C353)</f>
        <v/>
      </c>
      <c r="I2102" s="101" t="n"/>
      <c r="J2102" s="102" t="n"/>
    </row>
    <row r="2103" ht="15.75" customHeight="1" s="84">
      <c r="A2103" s="80" t="inlineStr">
        <is>
          <t>Dates</t>
        </is>
      </c>
      <c r="B2103" s="103">
        <f>IF(A2101="","",TEXT(batches!D352,"yyyy-mm-dd")&amp;" to "&amp;TEXT(batches!E352,"yyyy-mm-dd"))</f>
        <v/>
      </c>
      <c r="C2103" s="101" t="n"/>
      <c r="D2103" s="102" t="n"/>
      <c r="G2103" s="80" t="inlineStr">
        <is>
          <t>Dates</t>
        </is>
      </c>
      <c r="H2103" s="103">
        <f>IF(G2101="","",TEXT(batches!D353,"yyyy-mm-dd")&amp;" to "&amp;TEXT(batches!E353,"yyyy-mm-dd"))</f>
        <v/>
      </c>
      <c r="I2103" s="101" t="n"/>
      <c r="J2103" s="102" t="n"/>
    </row>
    <row r="2104" ht="15.75" customHeight="1" s="84">
      <c r="A2104" s="80" t="inlineStr">
        <is>
          <t>Duration</t>
        </is>
      </c>
      <c r="B2104" s="103">
        <f>IF(OR(batches!D352="",batches!E352=""),"",batches!E352-batches!D352+1&amp;" days")</f>
        <v/>
      </c>
      <c r="C2104" s="101" t="n"/>
      <c r="D2104" s="102" t="n"/>
      <c r="G2104" s="80" t="inlineStr">
        <is>
          <t>Duration</t>
        </is>
      </c>
      <c r="H2104" s="103">
        <f>IF(OR(batches!D353="",batches!E353=""),"",batches!E353-batches!D353+1&amp;" days")</f>
        <v/>
      </c>
      <c r="I2104" s="101" t="n"/>
      <c r="J2104" s="102" t="n"/>
    </row>
    <row r="2105" ht="15.75" customHeight="1" s="84">
      <c r="A2105" s="80" t="inlineStr">
        <is>
          <t>Timing</t>
        </is>
      </c>
      <c r="B2105" s="103">
        <f>IF(A2101="","",batches!F352)</f>
        <v/>
      </c>
      <c r="C2105" s="101" t="n"/>
      <c r="D2105" s="102" t="n"/>
      <c r="G2105" s="80" t="inlineStr">
        <is>
          <t>Timing</t>
        </is>
      </c>
      <c r="H2105" s="103">
        <f>IF(G2101="","",batches!F353)</f>
        <v/>
      </c>
      <c r="I2105" s="101" t="n"/>
      <c r="J2105" s="102" t="n"/>
    </row>
    <row r="2106" ht="15.75" customHeight="1" s="84">
      <c r="A2106" s="80" t="inlineStr">
        <is>
          <t>Capacity</t>
        </is>
      </c>
      <c r="B2106" s="103">
        <f>IF(A2101="","",batches!G352)</f>
        <v/>
      </c>
      <c r="C2106" s="101" t="n"/>
      <c r="D2106" s="102" t="n"/>
      <c r="G2106" s="80" t="inlineStr">
        <is>
          <t>Capacity</t>
        </is>
      </c>
      <c r="H2106" s="103">
        <f>IF(G2101="","",batches!G353)</f>
        <v/>
      </c>
      <c r="I2106" s="101" t="n"/>
      <c r="J2106" s="102" t="n"/>
    </row>
    <row r="2107" ht="15.75" customHeight="1" s="84">
      <c r="A2107" s="80" t="inlineStr">
        <is>
          <t>Enrolled</t>
        </is>
      </c>
      <c r="B2107" s="103">
        <f>IF(A2101="","",COUNTIF(admissions!$M:$M,batches!A352))</f>
        <v/>
      </c>
      <c r="C2107" s="101" t="n"/>
      <c r="D2107" s="102" t="n"/>
      <c r="G2107" s="80" t="inlineStr">
        <is>
          <t>Enrolled</t>
        </is>
      </c>
      <c r="H2107" s="103">
        <f>IF(G2101="","",COUNTIF(admissions!$M:$M,batches!A353))</f>
        <v/>
      </c>
      <c r="I2107" s="101" t="n"/>
      <c r="J2107" s="102" t="n"/>
    </row>
    <row r="2108" ht="15.75" customHeight="1" s="84">
      <c r="A2108" s="80" t="inlineStr">
        <is>
          <t>Available</t>
        </is>
      </c>
      <c r="B2108" s="103">
        <f>IF(OR(batches!A352="",batches!G352=""),"",batches!G352-COUNTIF(admissions!$M:$M,batches!A352))</f>
        <v/>
      </c>
      <c r="C2108" s="101" t="n"/>
      <c r="D2108" s="102" t="n"/>
      <c r="G2108" s="80" t="inlineStr">
        <is>
          <t>Available</t>
        </is>
      </c>
      <c r="H2108" s="103">
        <f>IF(OR(batches!A353="",batches!G353=""),"",batches!G353-COUNTIF(admissions!$M:$M,batches!A353))</f>
        <v/>
      </c>
      <c r="I2108" s="101" t="n"/>
      <c r="J2108" s="102" t="n"/>
    </row>
    <row r="2109" ht="15.75" customHeight="1" s="84">
      <c r="A2109" s="104" t="inlineStr">
        <is>
          <t>Student List</t>
        </is>
      </c>
      <c r="B2109" s="101" t="n"/>
      <c r="C2109" s="101" t="n"/>
      <c r="D2109" s="102" t="n"/>
      <c r="G2109" s="104" t="inlineStr">
        <is>
          <t>Student List</t>
        </is>
      </c>
      <c r="H2109" s="101" t="n"/>
      <c r="I2109" s="101" t="n"/>
      <c r="J2109" s="102" t="n"/>
    </row>
    <row r="2110" ht="15.75" customHeight="1" s="84">
      <c r="A2110" s="105">
        <f>IFERROR(__xludf.DUMMYFUNCTION("IF(batches!A352="""","""",TEXTJOIN(CHAR(10),TRUE,FILTER(admissions!$G$2:$G$78,admissions!$M$2:$M$78=batches!A352,"""")))"),"")</f>
        <v/>
      </c>
      <c r="B2110" s="101" t="n"/>
      <c r="C2110" s="101" t="n"/>
      <c r="D2110" s="102" t="n"/>
      <c r="G2110" s="105">
        <f>IFERROR(__xludf.DUMMYFUNCTION("IF(batches!A353="""","""",TEXTJOIN(CHAR(10),TRUE,FILTER(admissions!$G$2:$G$78,admissions!$M$2:$M$78=batches!A353,"""")))"),"")</f>
        <v/>
      </c>
      <c r="H2110" s="101" t="n"/>
      <c r="I2110" s="101" t="n"/>
      <c r="J2110" s="102" t="n"/>
    </row>
    <row r="2111" ht="15.75" customHeight="1" s="84"/>
    <row r="2112" ht="15.75" customHeight="1" s="84"/>
    <row r="2113" ht="15.75" customHeight="1" s="84">
      <c r="A2113" s="100">
        <f>IF(batches!A354="","",batches!A354)</f>
        <v/>
      </c>
      <c r="B2113" s="101" t="n"/>
      <c r="C2113" s="101" t="n"/>
      <c r="D2113" s="102" t="n"/>
      <c r="G2113" s="100">
        <f>IF(batches!A355="","",batches!A355)</f>
        <v/>
      </c>
      <c r="H2113" s="101" t="n"/>
      <c r="I2113" s="101" t="n"/>
      <c r="J2113" s="102" t="n"/>
    </row>
    <row r="2114" ht="15.75" customHeight="1" s="84">
      <c r="A2114" s="80" t="inlineStr">
        <is>
          <t>Level / Mode</t>
        </is>
      </c>
      <c r="B2114" s="103">
        <f>IF(A2113="","",batches!B354&amp;" / "&amp;batches!C354)</f>
        <v/>
      </c>
      <c r="C2114" s="101" t="n"/>
      <c r="D2114" s="102" t="n"/>
      <c r="G2114" s="80" t="inlineStr">
        <is>
          <t>Level / Mode</t>
        </is>
      </c>
      <c r="H2114" s="103">
        <f>IF(G2113="","",batches!B355&amp;" / "&amp;batches!C355)</f>
        <v/>
      </c>
      <c r="I2114" s="101" t="n"/>
      <c r="J2114" s="102" t="n"/>
    </row>
    <row r="2115" ht="15.75" customHeight="1" s="84">
      <c r="A2115" s="80" t="inlineStr">
        <is>
          <t>Dates</t>
        </is>
      </c>
      <c r="B2115" s="103">
        <f>IF(A2113="","",TEXT(batches!D354,"yyyy-mm-dd")&amp;" to "&amp;TEXT(batches!E354,"yyyy-mm-dd"))</f>
        <v/>
      </c>
      <c r="C2115" s="101" t="n"/>
      <c r="D2115" s="102" t="n"/>
      <c r="G2115" s="80" t="inlineStr">
        <is>
          <t>Dates</t>
        </is>
      </c>
      <c r="H2115" s="103">
        <f>IF(G2113="","",TEXT(batches!D355,"yyyy-mm-dd")&amp;" to "&amp;TEXT(batches!E355,"yyyy-mm-dd"))</f>
        <v/>
      </c>
      <c r="I2115" s="101" t="n"/>
      <c r="J2115" s="102" t="n"/>
    </row>
    <row r="2116" ht="15.75" customHeight="1" s="84">
      <c r="A2116" s="80" t="inlineStr">
        <is>
          <t>Duration</t>
        </is>
      </c>
      <c r="B2116" s="103">
        <f>IF(OR(batches!D354="",batches!E354=""),"",batches!E354-batches!D354+1&amp;" days")</f>
        <v/>
      </c>
      <c r="C2116" s="101" t="n"/>
      <c r="D2116" s="102" t="n"/>
      <c r="G2116" s="80" t="inlineStr">
        <is>
          <t>Duration</t>
        </is>
      </c>
      <c r="H2116" s="103">
        <f>IF(OR(batches!D355="",batches!E355=""),"",batches!E355-batches!D355+1&amp;" days")</f>
        <v/>
      </c>
      <c r="I2116" s="101" t="n"/>
      <c r="J2116" s="102" t="n"/>
    </row>
    <row r="2117" ht="15.75" customHeight="1" s="84">
      <c r="A2117" s="80" t="inlineStr">
        <is>
          <t>Timing</t>
        </is>
      </c>
      <c r="B2117" s="103">
        <f>IF(A2113="","",batches!F354)</f>
        <v/>
      </c>
      <c r="C2117" s="101" t="n"/>
      <c r="D2117" s="102" t="n"/>
      <c r="G2117" s="80" t="inlineStr">
        <is>
          <t>Timing</t>
        </is>
      </c>
      <c r="H2117" s="103">
        <f>IF(G2113="","",batches!F355)</f>
        <v/>
      </c>
      <c r="I2117" s="101" t="n"/>
      <c r="J2117" s="102" t="n"/>
    </row>
    <row r="2118" ht="15.75" customHeight="1" s="84">
      <c r="A2118" s="80" t="inlineStr">
        <is>
          <t>Capacity</t>
        </is>
      </c>
      <c r="B2118" s="103">
        <f>IF(A2113="","",batches!G354)</f>
        <v/>
      </c>
      <c r="C2118" s="101" t="n"/>
      <c r="D2118" s="102" t="n"/>
      <c r="G2118" s="80" t="inlineStr">
        <is>
          <t>Capacity</t>
        </is>
      </c>
      <c r="H2118" s="103">
        <f>IF(G2113="","",batches!G355)</f>
        <v/>
      </c>
      <c r="I2118" s="101" t="n"/>
      <c r="J2118" s="102" t="n"/>
    </row>
    <row r="2119" ht="15.75" customHeight="1" s="84">
      <c r="A2119" s="80" t="inlineStr">
        <is>
          <t>Enrolled</t>
        </is>
      </c>
      <c r="B2119" s="103">
        <f>IF(A2113="","",COUNTIF(admissions!$M:$M,batches!A354))</f>
        <v/>
      </c>
      <c r="C2119" s="101" t="n"/>
      <c r="D2119" s="102" t="n"/>
      <c r="G2119" s="80" t="inlineStr">
        <is>
          <t>Enrolled</t>
        </is>
      </c>
      <c r="H2119" s="103">
        <f>IF(G2113="","",COUNTIF(admissions!$M:$M,batches!A355))</f>
        <v/>
      </c>
      <c r="I2119" s="101" t="n"/>
      <c r="J2119" s="102" t="n"/>
    </row>
    <row r="2120" ht="15.75" customHeight="1" s="84">
      <c r="A2120" s="80" t="inlineStr">
        <is>
          <t>Available</t>
        </is>
      </c>
      <c r="B2120" s="103">
        <f>IF(OR(batches!A354="",batches!G354=""),"",batches!G354-COUNTIF(admissions!$M:$M,batches!A354))</f>
        <v/>
      </c>
      <c r="C2120" s="101" t="n"/>
      <c r="D2120" s="102" t="n"/>
      <c r="G2120" s="80" t="inlineStr">
        <is>
          <t>Available</t>
        </is>
      </c>
      <c r="H2120" s="103">
        <f>IF(OR(batches!A355="",batches!G355=""),"",batches!G355-COUNTIF(admissions!$M:$M,batches!A355))</f>
        <v/>
      </c>
      <c r="I2120" s="101" t="n"/>
      <c r="J2120" s="102" t="n"/>
    </row>
    <row r="2121" ht="15.75" customHeight="1" s="84">
      <c r="A2121" s="104" t="inlineStr">
        <is>
          <t>Student List</t>
        </is>
      </c>
      <c r="B2121" s="101" t="n"/>
      <c r="C2121" s="101" t="n"/>
      <c r="D2121" s="102" t="n"/>
      <c r="G2121" s="104" t="inlineStr">
        <is>
          <t>Student List</t>
        </is>
      </c>
      <c r="H2121" s="101" t="n"/>
      <c r="I2121" s="101" t="n"/>
      <c r="J2121" s="102" t="n"/>
    </row>
    <row r="2122" ht="15.75" customHeight="1" s="84">
      <c r="A2122" s="105">
        <f>IFERROR(__xludf.DUMMYFUNCTION("IF(batches!A354="""","""",TEXTJOIN(CHAR(10),TRUE,FILTER(admissions!$G$2:$G$78,admissions!$M$2:$M$78=batches!A354,"""")))"),"")</f>
        <v/>
      </c>
      <c r="B2122" s="101" t="n"/>
      <c r="C2122" s="101" t="n"/>
      <c r="D2122" s="102" t="n"/>
      <c r="G2122" s="105">
        <f>IFERROR(__xludf.DUMMYFUNCTION("IF(batches!A355="""","""",TEXTJOIN(CHAR(10),TRUE,FILTER(admissions!$G$2:$G$78,admissions!$M$2:$M$78=batches!A355,"""")))"),"")</f>
        <v/>
      </c>
      <c r="H2122" s="101" t="n"/>
      <c r="I2122" s="101" t="n"/>
      <c r="J2122" s="102" t="n"/>
    </row>
    <row r="2123" ht="15.75" customHeight="1" s="84"/>
    <row r="2124" ht="15.75" customHeight="1" s="84"/>
    <row r="2125" ht="15.75" customHeight="1" s="84">
      <c r="A2125" s="100">
        <f>IF(batches!A356="","",batches!A356)</f>
        <v/>
      </c>
      <c r="B2125" s="101" t="n"/>
      <c r="C2125" s="101" t="n"/>
      <c r="D2125" s="102" t="n"/>
      <c r="G2125" s="100">
        <f>IF(batches!A357="","",batches!A357)</f>
        <v/>
      </c>
      <c r="H2125" s="101" t="n"/>
      <c r="I2125" s="101" t="n"/>
      <c r="J2125" s="102" t="n"/>
    </row>
    <row r="2126" ht="15.75" customHeight="1" s="84">
      <c r="A2126" s="80" t="inlineStr">
        <is>
          <t>Level / Mode</t>
        </is>
      </c>
      <c r="B2126" s="103">
        <f>IF(A2125="","",batches!B356&amp;" / "&amp;batches!C356)</f>
        <v/>
      </c>
      <c r="C2126" s="101" t="n"/>
      <c r="D2126" s="102" t="n"/>
      <c r="G2126" s="80" t="inlineStr">
        <is>
          <t>Level / Mode</t>
        </is>
      </c>
      <c r="H2126" s="103">
        <f>IF(G2125="","",batches!B357&amp;" / "&amp;batches!C357)</f>
        <v/>
      </c>
      <c r="I2126" s="101" t="n"/>
      <c r="J2126" s="102" t="n"/>
    </row>
    <row r="2127" ht="15.75" customHeight="1" s="84">
      <c r="A2127" s="80" t="inlineStr">
        <is>
          <t>Dates</t>
        </is>
      </c>
      <c r="B2127" s="103">
        <f>IF(A2125="","",TEXT(batches!D356,"yyyy-mm-dd")&amp;" to "&amp;TEXT(batches!E356,"yyyy-mm-dd"))</f>
        <v/>
      </c>
      <c r="C2127" s="101" t="n"/>
      <c r="D2127" s="102" t="n"/>
      <c r="G2127" s="80" t="inlineStr">
        <is>
          <t>Dates</t>
        </is>
      </c>
      <c r="H2127" s="103">
        <f>IF(G2125="","",TEXT(batches!D357,"yyyy-mm-dd")&amp;" to "&amp;TEXT(batches!E357,"yyyy-mm-dd"))</f>
        <v/>
      </c>
      <c r="I2127" s="101" t="n"/>
      <c r="J2127" s="102" t="n"/>
    </row>
    <row r="2128" ht="15.75" customHeight="1" s="84">
      <c r="A2128" s="80" t="inlineStr">
        <is>
          <t>Duration</t>
        </is>
      </c>
      <c r="B2128" s="103">
        <f>IF(OR(batches!D356="",batches!E356=""),"",batches!E356-batches!D356+1&amp;" days")</f>
        <v/>
      </c>
      <c r="C2128" s="101" t="n"/>
      <c r="D2128" s="102" t="n"/>
      <c r="G2128" s="80" t="inlineStr">
        <is>
          <t>Duration</t>
        </is>
      </c>
      <c r="H2128" s="103">
        <f>IF(OR(batches!D357="",batches!E357=""),"",batches!E357-batches!D357+1&amp;" days")</f>
        <v/>
      </c>
      <c r="I2128" s="101" t="n"/>
      <c r="J2128" s="102" t="n"/>
    </row>
    <row r="2129" ht="15.75" customHeight="1" s="84">
      <c r="A2129" s="80" t="inlineStr">
        <is>
          <t>Timing</t>
        </is>
      </c>
      <c r="B2129" s="103">
        <f>IF(A2125="","",batches!F356)</f>
        <v/>
      </c>
      <c r="C2129" s="101" t="n"/>
      <c r="D2129" s="102" t="n"/>
      <c r="G2129" s="80" t="inlineStr">
        <is>
          <t>Timing</t>
        </is>
      </c>
      <c r="H2129" s="103">
        <f>IF(G2125="","",batches!F357)</f>
        <v/>
      </c>
      <c r="I2129" s="101" t="n"/>
      <c r="J2129" s="102" t="n"/>
    </row>
    <row r="2130" ht="15.75" customHeight="1" s="84">
      <c r="A2130" s="80" t="inlineStr">
        <is>
          <t>Capacity</t>
        </is>
      </c>
      <c r="B2130" s="103">
        <f>IF(A2125="","",batches!G356)</f>
        <v/>
      </c>
      <c r="C2130" s="101" t="n"/>
      <c r="D2130" s="102" t="n"/>
      <c r="G2130" s="80" t="inlineStr">
        <is>
          <t>Capacity</t>
        </is>
      </c>
      <c r="H2130" s="103">
        <f>IF(G2125="","",batches!G357)</f>
        <v/>
      </c>
      <c r="I2130" s="101" t="n"/>
      <c r="J2130" s="102" t="n"/>
    </row>
    <row r="2131" ht="15.75" customHeight="1" s="84">
      <c r="A2131" s="80" t="inlineStr">
        <is>
          <t>Enrolled</t>
        </is>
      </c>
      <c r="B2131" s="103">
        <f>IF(A2125="","",COUNTIF(admissions!$M:$M,batches!A356))</f>
        <v/>
      </c>
      <c r="C2131" s="101" t="n"/>
      <c r="D2131" s="102" t="n"/>
      <c r="G2131" s="80" t="inlineStr">
        <is>
          <t>Enrolled</t>
        </is>
      </c>
      <c r="H2131" s="103">
        <f>IF(G2125="","",COUNTIF(admissions!$M:$M,batches!A357))</f>
        <v/>
      </c>
      <c r="I2131" s="101" t="n"/>
      <c r="J2131" s="102" t="n"/>
    </row>
    <row r="2132" ht="15.75" customHeight="1" s="84">
      <c r="A2132" s="80" t="inlineStr">
        <is>
          <t>Available</t>
        </is>
      </c>
      <c r="B2132" s="103">
        <f>IF(OR(batches!A356="",batches!G356=""),"",batches!G356-COUNTIF(admissions!$M:$M,batches!A356))</f>
        <v/>
      </c>
      <c r="C2132" s="101" t="n"/>
      <c r="D2132" s="102" t="n"/>
      <c r="G2132" s="80" t="inlineStr">
        <is>
          <t>Available</t>
        </is>
      </c>
      <c r="H2132" s="103">
        <f>IF(OR(batches!A357="",batches!G357=""),"",batches!G357-COUNTIF(admissions!$M:$M,batches!A357))</f>
        <v/>
      </c>
      <c r="I2132" s="101" t="n"/>
      <c r="J2132" s="102" t="n"/>
    </row>
    <row r="2133" ht="15.75" customHeight="1" s="84">
      <c r="A2133" s="104" t="inlineStr">
        <is>
          <t>Student List</t>
        </is>
      </c>
      <c r="B2133" s="101" t="n"/>
      <c r="C2133" s="101" t="n"/>
      <c r="D2133" s="102" t="n"/>
      <c r="G2133" s="104" t="inlineStr">
        <is>
          <t>Student List</t>
        </is>
      </c>
      <c r="H2133" s="101" t="n"/>
      <c r="I2133" s="101" t="n"/>
      <c r="J2133" s="102" t="n"/>
    </row>
    <row r="2134" ht="15.75" customHeight="1" s="84">
      <c r="A2134" s="105">
        <f>IFERROR(__xludf.DUMMYFUNCTION("IF(batches!A356="""","""",TEXTJOIN(CHAR(10),TRUE,FILTER(admissions!$G$2:$G$78,admissions!$M$2:$M$78=batches!A356,"""")))"),"")</f>
        <v/>
      </c>
      <c r="B2134" s="101" t="n"/>
      <c r="C2134" s="101" t="n"/>
      <c r="D2134" s="102" t="n"/>
      <c r="G2134" s="105">
        <f>IFERROR(__xludf.DUMMYFUNCTION("IF(batches!A357="""","""",TEXTJOIN(CHAR(10),TRUE,FILTER(admissions!$G$2:$G$78,admissions!$M$2:$M$78=batches!A357,"""")))"),"")</f>
        <v/>
      </c>
      <c r="H2134" s="101" t="n"/>
      <c r="I2134" s="101" t="n"/>
      <c r="J2134" s="102" t="n"/>
    </row>
    <row r="2135" ht="15.75" customHeight="1" s="84"/>
    <row r="2136" ht="15.75" customHeight="1" s="84"/>
    <row r="2137" ht="15.75" customHeight="1" s="84">
      <c r="A2137" s="100">
        <f>IF(batches!A358="","",batches!A358)</f>
        <v/>
      </c>
      <c r="B2137" s="101" t="n"/>
      <c r="C2137" s="101" t="n"/>
      <c r="D2137" s="102" t="n"/>
      <c r="G2137" s="100">
        <f>IF(batches!A359="","",batches!A359)</f>
        <v/>
      </c>
      <c r="H2137" s="101" t="n"/>
      <c r="I2137" s="101" t="n"/>
      <c r="J2137" s="102" t="n"/>
    </row>
    <row r="2138" ht="15.75" customHeight="1" s="84">
      <c r="A2138" s="80" t="inlineStr">
        <is>
          <t>Level / Mode</t>
        </is>
      </c>
      <c r="B2138" s="103">
        <f>IF(A2137="","",batches!B358&amp;" / "&amp;batches!C358)</f>
        <v/>
      </c>
      <c r="C2138" s="101" t="n"/>
      <c r="D2138" s="102" t="n"/>
      <c r="G2138" s="80" t="inlineStr">
        <is>
          <t>Level / Mode</t>
        </is>
      </c>
      <c r="H2138" s="103">
        <f>IF(G2137="","",batches!B359&amp;" / "&amp;batches!C359)</f>
        <v/>
      </c>
      <c r="I2138" s="101" t="n"/>
      <c r="J2138" s="102" t="n"/>
    </row>
    <row r="2139" ht="15.75" customHeight="1" s="84">
      <c r="A2139" s="80" t="inlineStr">
        <is>
          <t>Dates</t>
        </is>
      </c>
      <c r="B2139" s="103">
        <f>IF(A2137="","",TEXT(batches!D358,"yyyy-mm-dd")&amp;" to "&amp;TEXT(batches!E358,"yyyy-mm-dd"))</f>
        <v/>
      </c>
      <c r="C2139" s="101" t="n"/>
      <c r="D2139" s="102" t="n"/>
      <c r="G2139" s="80" t="inlineStr">
        <is>
          <t>Dates</t>
        </is>
      </c>
      <c r="H2139" s="103">
        <f>IF(G2137="","",TEXT(batches!D359,"yyyy-mm-dd")&amp;" to "&amp;TEXT(batches!E359,"yyyy-mm-dd"))</f>
        <v/>
      </c>
      <c r="I2139" s="101" t="n"/>
      <c r="J2139" s="102" t="n"/>
    </row>
    <row r="2140" ht="15.75" customHeight="1" s="84">
      <c r="A2140" s="80" t="inlineStr">
        <is>
          <t>Duration</t>
        </is>
      </c>
      <c r="B2140" s="103">
        <f>IF(OR(batches!D358="",batches!E358=""),"",batches!E358-batches!D358+1&amp;" days")</f>
        <v/>
      </c>
      <c r="C2140" s="101" t="n"/>
      <c r="D2140" s="102" t="n"/>
      <c r="G2140" s="80" t="inlineStr">
        <is>
          <t>Duration</t>
        </is>
      </c>
      <c r="H2140" s="103">
        <f>IF(OR(batches!D359="",batches!E359=""),"",batches!E359-batches!D359+1&amp;" days")</f>
        <v/>
      </c>
      <c r="I2140" s="101" t="n"/>
      <c r="J2140" s="102" t="n"/>
    </row>
    <row r="2141" ht="15.75" customHeight="1" s="84">
      <c r="A2141" s="80" t="inlineStr">
        <is>
          <t>Timing</t>
        </is>
      </c>
      <c r="B2141" s="103">
        <f>IF(A2137="","",batches!F358)</f>
        <v/>
      </c>
      <c r="C2141" s="101" t="n"/>
      <c r="D2141" s="102" t="n"/>
      <c r="G2141" s="80" t="inlineStr">
        <is>
          <t>Timing</t>
        </is>
      </c>
      <c r="H2141" s="103">
        <f>IF(G2137="","",batches!F359)</f>
        <v/>
      </c>
      <c r="I2141" s="101" t="n"/>
      <c r="J2141" s="102" t="n"/>
    </row>
    <row r="2142" ht="15.75" customHeight="1" s="84">
      <c r="A2142" s="80" t="inlineStr">
        <is>
          <t>Capacity</t>
        </is>
      </c>
      <c r="B2142" s="103">
        <f>IF(A2137="","",batches!G358)</f>
        <v/>
      </c>
      <c r="C2142" s="101" t="n"/>
      <c r="D2142" s="102" t="n"/>
      <c r="G2142" s="80" t="inlineStr">
        <is>
          <t>Capacity</t>
        </is>
      </c>
      <c r="H2142" s="103">
        <f>IF(G2137="","",batches!G359)</f>
        <v/>
      </c>
      <c r="I2142" s="101" t="n"/>
      <c r="J2142" s="102" t="n"/>
    </row>
    <row r="2143" ht="15.75" customHeight="1" s="84">
      <c r="A2143" s="80" t="inlineStr">
        <is>
          <t>Enrolled</t>
        </is>
      </c>
      <c r="B2143" s="103">
        <f>IF(A2137="","",COUNTIF(admissions!$M:$M,batches!A358))</f>
        <v/>
      </c>
      <c r="C2143" s="101" t="n"/>
      <c r="D2143" s="102" t="n"/>
      <c r="G2143" s="80" t="inlineStr">
        <is>
          <t>Enrolled</t>
        </is>
      </c>
      <c r="H2143" s="103">
        <f>IF(G2137="","",COUNTIF(admissions!$M:$M,batches!A359))</f>
        <v/>
      </c>
      <c r="I2143" s="101" t="n"/>
      <c r="J2143" s="102" t="n"/>
    </row>
    <row r="2144" ht="15.75" customHeight="1" s="84">
      <c r="A2144" s="80" t="inlineStr">
        <is>
          <t>Available</t>
        </is>
      </c>
      <c r="B2144" s="103">
        <f>IF(OR(batches!A358="",batches!G358=""),"",batches!G358-COUNTIF(admissions!$M:$M,batches!A358))</f>
        <v/>
      </c>
      <c r="C2144" s="101" t="n"/>
      <c r="D2144" s="102" t="n"/>
      <c r="G2144" s="80" t="inlineStr">
        <is>
          <t>Available</t>
        </is>
      </c>
      <c r="H2144" s="103">
        <f>IF(OR(batches!A359="",batches!G359=""),"",batches!G359-COUNTIF(admissions!$M:$M,batches!A359))</f>
        <v/>
      </c>
      <c r="I2144" s="101" t="n"/>
      <c r="J2144" s="102" t="n"/>
    </row>
    <row r="2145" ht="15.75" customHeight="1" s="84">
      <c r="A2145" s="104" t="inlineStr">
        <is>
          <t>Student List</t>
        </is>
      </c>
      <c r="B2145" s="101" t="n"/>
      <c r="C2145" s="101" t="n"/>
      <c r="D2145" s="102" t="n"/>
      <c r="G2145" s="104" t="inlineStr">
        <is>
          <t>Student List</t>
        </is>
      </c>
      <c r="H2145" s="101" t="n"/>
      <c r="I2145" s="101" t="n"/>
      <c r="J2145" s="102" t="n"/>
    </row>
    <row r="2146" ht="15.75" customHeight="1" s="84">
      <c r="A2146" s="105">
        <f>IFERROR(__xludf.DUMMYFUNCTION("IF(batches!A358="""","""",TEXTJOIN(CHAR(10),TRUE,FILTER(admissions!$G$2:$G$78,admissions!$M$2:$M$78=batches!A358,"""")))"),"")</f>
        <v/>
      </c>
      <c r="B2146" s="101" t="n"/>
      <c r="C2146" s="101" t="n"/>
      <c r="D2146" s="102" t="n"/>
      <c r="G2146" s="105">
        <f>IFERROR(__xludf.DUMMYFUNCTION("IF(batches!A359="""","""",TEXTJOIN(CHAR(10),TRUE,FILTER(admissions!$G$2:$G$78,admissions!$M$2:$M$78=batches!A359,"""")))"),"")</f>
        <v/>
      </c>
      <c r="H2146" s="101" t="n"/>
      <c r="I2146" s="101" t="n"/>
      <c r="J2146" s="102" t="n"/>
    </row>
    <row r="2147" ht="15.75" customHeight="1" s="84"/>
    <row r="2148" ht="15.75" customHeight="1" s="84"/>
    <row r="2149" ht="15.75" customHeight="1" s="84">
      <c r="A2149" s="100">
        <f>IF(batches!A360="","",batches!A360)</f>
        <v/>
      </c>
      <c r="B2149" s="101" t="n"/>
      <c r="C2149" s="101" t="n"/>
      <c r="D2149" s="102" t="n"/>
      <c r="G2149" s="100">
        <f>IF(batches!A361="","",batches!A361)</f>
        <v/>
      </c>
      <c r="H2149" s="101" t="n"/>
      <c r="I2149" s="101" t="n"/>
      <c r="J2149" s="102" t="n"/>
    </row>
    <row r="2150" ht="15.75" customHeight="1" s="84">
      <c r="A2150" s="80" t="inlineStr">
        <is>
          <t>Level / Mode</t>
        </is>
      </c>
      <c r="B2150" s="103">
        <f>IF(A2149="","",batches!B360&amp;" / "&amp;batches!C360)</f>
        <v/>
      </c>
      <c r="C2150" s="101" t="n"/>
      <c r="D2150" s="102" t="n"/>
      <c r="G2150" s="80" t="inlineStr">
        <is>
          <t>Level / Mode</t>
        </is>
      </c>
      <c r="H2150" s="103">
        <f>IF(G2149="","",batches!B361&amp;" / "&amp;batches!C361)</f>
        <v/>
      </c>
      <c r="I2150" s="101" t="n"/>
      <c r="J2150" s="102" t="n"/>
    </row>
    <row r="2151" ht="15.75" customHeight="1" s="84">
      <c r="A2151" s="80" t="inlineStr">
        <is>
          <t>Dates</t>
        </is>
      </c>
      <c r="B2151" s="103">
        <f>IF(A2149="","",TEXT(batches!D360,"yyyy-mm-dd")&amp;" to "&amp;TEXT(batches!E360,"yyyy-mm-dd"))</f>
        <v/>
      </c>
      <c r="C2151" s="101" t="n"/>
      <c r="D2151" s="102" t="n"/>
      <c r="G2151" s="80" t="inlineStr">
        <is>
          <t>Dates</t>
        </is>
      </c>
      <c r="H2151" s="103">
        <f>IF(G2149="","",TEXT(batches!D361,"yyyy-mm-dd")&amp;" to "&amp;TEXT(batches!E361,"yyyy-mm-dd"))</f>
        <v/>
      </c>
      <c r="I2151" s="101" t="n"/>
      <c r="J2151" s="102" t="n"/>
    </row>
    <row r="2152" ht="15.75" customHeight="1" s="84">
      <c r="A2152" s="80" t="inlineStr">
        <is>
          <t>Duration</t>
        </is>
      </c>
      <c r="B2152" s="103">
        <f>IF(OR(batches!D360="",batches!E360=""),"",batches!E360-batches!D360+1&amp;" days")</f>
        <v/>
      </c>
      <c r="C2152" s="101" t="n"/>
      <c r="D2152" s="102" t="n"/>
      <c r="G2152" s="80" t="inlineStr">
        <is>
          <t>Duration</t>
        </is>
      </c>
      <c r="H2152" s="103">
        <f>IF(OR(batches!D361="",batches!E361=""),"",batches!E361-batches!D361+1&amp;" days")</f>
        <v/>
      </c>
      <c r="I2152" s="101" t="n"/>
      <c r="J2152" s="102" t="n"/>
    </row>
    <row r="2153" ht="15.75" customHeight="1" s="84">
      <c r="A2153" s="80" t="inlineStr">
        <is>
          <t>Timing</t>
        </is>
      </c>
      <c r="B2153" s="103">
        <f>IF(A2149="","",batches!F360)</f>
        <v/>
      </c>
      <c r="C2153" s="101" t="n"/>
      <c r="D2153" s="102" t="n"/>
      <c r="G2153" s="80" t="inlineStr">
        <is>
          <t>Timing</t>
        </is>
      </c>
      <c r="H2153" s="103">
        <f>IF(G2149="","",batches!F361)</f>
        <v/>
      </c>
      <c r="I2153" s="101" t="n"/>
      <c r="J2153" s="102" t="n"/>
    </row>
    <row r="2154" ht="15.75" customHeight="1" s="84">
      <c r="A2154" s="80" t="inlineStr">
        <is>
          <t>Capacity</t>
        </is>
      </c>
      <c r="B2154" s="103">
        <f>IF(A2149="","",batches!G360)</f>
        <v/>
      </c>
      <c r="C2154" s="101" t="n"/>
      <c r="D2154" s="102" t="n"/>
      <c r="G2154" s="80" t="inlineStr">
        <is>
          <t>Capacity</t>
        </is>
      </c>
      <c r="H2154" s="103">
        <f>IF(G2149="","",batches!G361)</f>
        <v/>
      </c>
      <c r="I2154" s="101" t="n"/>
      <c r="J2154" s="102" t="n"/>
    </row>
    <row r="2155" ht="15.75" customHeight="1" s="84">
      <c r="A2155" s="80" t="inlineStr">
        <is>
          <t>Enrolled</t>
        </is>
      </c>
      <c r="B2155" s="103">
        <f>IF(A2149="","",COUNTIF(admissions!$M:$M,batches!A360))</f>
        <v/>
      </c>
      <c r="C2155" s="101" t="n"/>
      <c r="D2155" s="102" t="n"/>
      <c r="G2155" s="80" t="inlineStr">
        <is>
          <t>Enrolled</t>
        </is>
      </c>
      <c r="H2155" s="103">
        <f>IF(G2149="","",COUNTIF(admissions!$M:$M,batches!A361))</f>
        <v/>
      </c>
      <c r="I2155" s="101" t="n"/>
      <c r="J2155" s="102" t="n"/>
    </row>
    <row r="2156" ht="15.75" customHeight="1" s="84">
      <c r="A2156" s="80" t="inlineStr">
        <is>
          <t>Available</t>
        </is>
      </c>
      <c r="B2156" s="103">
        <f>IF(OR(batches!A360="",batches!G360=""),"",batches!G360-COUNTIF(admissions!$M:$M,batches!A360))</f>
        <v/>
      </c>
      <c r="C2156" s="101" t="n"/>
      <c r="D2156" s="102" t="n"/>
      <c r="G2156" s="80" t="inlineStr">
        <is>
          <t>Available</t>
        </is>
      </c>
      <c r="H2156" s="103">
        <f>IF(OR(batches!A361="",batches!G361=""),"",batches!G361-COUNTIF(admissions!$M:$M,batches!A361))</f>
        <v/>
      </c>
      <c r="I2156" s="101" t="n"/>
      <c r="J2156" s="102" t="n"/>
    </row>
    <row r="2157" ht="15.75" customHeight="1" s="84">
      <c r="A2157" s="104" t="inlineStr">
        <is>
          <t>Student List</t>
        </is>
      </c>
      <c r="B2157" s="101" t="n"/>
      <c r="C2157" s="101" t="n"/>
      <c r="D2157" s="102" t="n"/>
      <c r="G2157" s="104" t="inlineStr">
        <is>
          <t>Student List</t>
        </is>
      </c>
      <c r="H2157" s="101" t="n"/>
      <c r="I2157" s="101" t="n"/>
      <c r="J2157" s="102" t="n"/>
    </row>
    <row r="2158" ht="15.75" customHeight="1" s="84">
      <c r="A2158" s="105">
        <f>IFERROR(__xludf.DUMMYFUNCTION("IF(batches!A360="""","""",TEXTJOIN(CHAR(10),TRUE,FILTER(admissions!$G$2:$G$78,admissions!$M$2:$M$78=batches!A360,"""")))"),"")</f>
        <v/>
      </c>
      <c r="B2158" s="101" t="n"/>
      <c r="C2158" s="101" t="n"/>
      <c r="D2158" s="102" t="n"/>
      <c r="G2158" s="105">
        <f>IFERROR(__xludf.DUMMYFUNCTION("IF(batches!A361="""","""",TEXTJOIN(CHAR(10),TRUE,FILTER(admissions!$G$2:$G$78,admissions!$M$2:$M$78=batches!A361,"""")))"),"")</f>
        <v/>
      </c>
      <c r="H2158" s="101" t="n"/>
      <c r="I2158" s="101" t="n"/>
      <c r="J2158" s="102" t="n"/>
    </row>
    <row r="2159" ht="15.75" customHeight="1" s="84"/>
    <row r="2160" ht="15.75" customHeight="1" s="84"/>
    <row r="2161" ht="15.75" customHeight="1" s="84">
      <c r="A2161" s="100">
        <f>IF(batches!A362="","",batches!A362)</f>
        <v/>
      </c>
      <c r="B2161" s="101" t="n"/>
      <c r="C2161" s="101" t="n"/>
      <c r="D2161" s="102" t="n"/>
      <c r="G2161" s="100">
        <f>IF(batches!A363="","",batches!A363)</f>
        <v/>
      </c>
      <c r="H2161" s="101" t="n"/>
      <c r="I2161" s="101" t="n"/>
      <c r="J2161" s="102" t="n"/>
    </row>
    <row r="2162" ht="15.75" customHeight="1" s="84">
      <c r="A2162" s="80" t="inlineStr">
        <is>
          <t>Level / Mode</t>
        </is>
      </c>
      <c r="B2162" s="103">
        <f>IF(A2161="","",batches!B362&amp;" / "&amp;batches!C362)</f>
        <v/>
      </c>
      <c r="C2162" s="101" t="n"/>
      <c r="D2162" s="102" t="n"/>
      <c r="G2162" s="80" t="inlineStr">
        <is>
          <t>Level / Mode</t>
        </is>
      </c>
      <c r="H2162" s="103">
        <f>IF(G2161="","",batches!B363&amp;" / "&amp;batches!C363)</f>
        <v/>
      </c>
      <c r="I2162" s="101" t="n"/>
      <c r="J2162" s="102" t="n"/>
    </row>
    <row r="2163" ht="15.75" customHeight="1" s="84">
      <c r="A2163" s="80" t="inlineStr">
        <is>
          <t>Dates</t>
        </is>
      </c>
      <c r="B2163" s="103">
        <f>IF(A2161="","",TEXT(batches!D362,"yyyy-mm-dd")&amp;" to "&amp;TEXT(batches!E362,"yyyy-mm-dd"))</f>
        <v/>
      </c>
      <c r="C2163" s="101" t="n"/>
      <c r="D2163" s="102" t="n"/>
      <c r="G2163" s="80" t="inlineStr">
        <is>
          <t>Dates</t>
        </is>
      </c>
      <c r="H2163" s="103">
        <f>IF(G2161="","",TEXT(batches!D363,"yyyy-mm-dd")&amp;" to "&amp;TEXT(batches!E363,"yyyy-mm-dd"))</f>
        <v/>
      </c>
      <c r="I2163" s="101" t="n"/>
      <c r="J2163" s="102" t="n"/>
    </row>
    <row r="2164" ht="15.75" customHeight="1" s="84">
      <c r="A2164" s="80" t="inlineStr">
        <is>
          <t>Duration</t>
        </is>
      </c>
      <c r="B2164" s="103">
        <f>IF(OR(batches!D362="",batches!E362=""),"",batches!E362-batches!D362+1&amp;" days")</f>
        <v/>
      </c>
      <c r="C2164" s="101" t="n"/>
      <c r="D2164" s="102" t="n"/>
      <c r="G2164" s="80" t="inlineStr">
        <is>
          <t>Duration</t>
        </is>
      </c>
      <c r="H2164" s="103">
        <f>IF(OR(batches!D363="",batches!E363=""),"",batches!E363-batches!D363+1&amp;" days")</f>
        <v/>
      </c>
      <c r="I2164" s="101" t="n"/>
      <c r="J2164" s="102" t="n"/>
    </row>
    <row r="2165" ht="15.75" customHeight="1" s="84">
      <c r="A2165" s="80" t="inlineStr">
        <is>
          <t>Timing</t>
        </is>
      </c>
      <c r="B2165" s="103">
        <f>IF(A2161="","",batches!F362)</f>
        <v/>
      </c>
      <c r="C2165" s="101" t="n"/>
      <c r="D2165" s="102" t="n"/>
      <c r="G2165" s="80" t="inlineStr">
        <is>
          <t>Timing</t>
        </is>
      </c>
      <c r="H2165" s="103">
        <f>IF(G2161="","",batches!F363)</f>
        <v/>
      </c>
      <c r="I2165" s="101" t="n"/>
      <c r="J2165" s="102" t="n"/>
    </row>
    <row r="2166" ht="15.75" customHeight="1" s="84">
      <c r="A2166" s="80" t="inlineStr">
        <is>
          <t>Capacity</t>
        </is>
      </c>
      <c r="B2166" s="103">
        <f>IF(A2161="","",batches!G362)</f>
        <v/>
      </c>
      <c r="C2166" s="101" t="n"/>
      <c r="D2166" s="102" t="n"/>
      <c r="G2166" s="80" t="inlineStr">
        <is>
          <t>Capacity</t>
        </is>
      </c>
      <c r="H2166" s="103">
        <f>IF(G2161="","",batches!G363)</f>
        <v/>
      </c>
      <c r="I2166" s="101" t="n"/>
      <c r="J2166" s="102" t="n"/>
    </row>
    <row r="2167" ht="15.75" customHeight="1" s="84">
      <c r="A2167" s="80" t="inlineStr">
        <is>
          <t>Enrolled</t>
        </is>
      </c>
      <c r="B2167" s="103">
        <f>IF(A2161="","",COUNTIF(admissions!$M:$M,batches!A362))</f>
        <v/>
      </c>
      <c r="C2167" s="101" t="n"/>
      <c r="D2167" s="102" t="n"/>
      <c r="G2167" s="80" t="inlineStr">
        <is>
          <t>Enrolled</t>
        </is>
      </c>
      <c r="H2167" s="103">
        <f>IF(G2161="","",COUNTIF(admissions!$M:$M,batches!A363))</f>
        <v/>
      </c>
      <c r="I2167" s="101" t="n"/>
      <c r="J2167" s="102" t="n"/>
    </row>
    <row r="2168" ht="15.75" customHeight="1" s="84">
      <c r="A2168" s="80" t="inlineStr">
        <is>
          <t>Available</t>
        </is>
      </c>
      <c r="B2168" s="103">
        <f>IF(OR(batches!A362="",batches!G362=""),"",batches!G362-COUNTIF(admissions!$M:$M,batches!A362))</f>
        <v/>
      </c>
      <c r="C2168" s="101" t="n"/>
      <c r="D2168" s="102" t="n"/>
      <c r="G2168" s="80" t="inlineStr">
        <is>
          <t>Available</t>
        </is>
      </c>
      <c r="H2168" s="103">
        <f>IF(OR(batches!A363="",batches!G363=""),"",batches!G363-COUNTIF(admissions!$M:$M,batches!A363))</f>
        <v/>
      </c>
      <c r="I2168" s="101" t="n"/>
      <c r="J2168" s="102" t="n"/>
    </row>
    <row r="2169" ht="15.75" customHeight="1" s="84">
      <c r="A2169" s="104" t="inlineStr">
        <is>
          <t>Student List</t>
        </is>
      </c>
      <c r="B2169" s="101" t="n"/>
      <c r="C2169" s="101" t="n"/>
      <c r="D2169" s="102" t="n"/>
      <c r="G2169" s="104" t="inlineStr">
        <is>
          <t>Student List</t>
        </is>
      </c>
      <c r="H2169" s="101" t="n"/>
      <c r="I2169" s="101" t="n"/>
      <c r="J2169" s="102" t="n"/>
    </row>
    <row r="2170" ht="15.75" customHeight="1" s="84">
      <c r="A2170" s="105">
        <f>IFERROR(__xludf.DUMMYFUNCTION("IF(batches!A362="""","""",TEXTJOIN(CHAR(10),TRUE,FILTER(admissions!$G$2:$G$78,admissions!$M$2:$M$78=batches!A362,"""")))"),"")</f>
        <v/>
      </c>
      <c r="B2170" s="101" t="n"/>
      <c r="C2170" s="101" t="n"/>
      <c r="D2170" s="102" t="n"/>
      <c r="G2170" s="105">
        <f>IFERROR(__xludf.DUMMYFUNCTION("IF(batches!A363="""","""",TEXTJOIN(CHAR(10),TRUE,FILTER(admissions!$G$2:$G$78,admissions!$M$2:$M$78=batches!A363,"""")))"),"")</f>
        <v/>
      </c>
      <c r="H2170" s="101" t="n"/>
      <c r="I2170" s="101" t="n"/>
      <c r="J2170" s="102" t="n"/>
    </row>
    <row r="2171" ht="15.75" customHeight="1" s="84"/>
    <row r="2172" ht="15.75" customHeight="1" s="84"/>
    <row r="2173" ht="15.75" customHeight="1" s="84">
      <c r="A2173" s="100">
        <f>IF(batches!A364="","",batches!A364)</f>
        <v/>
      </c>
      <c r="B2173" s="101" t="n"/>
      <c r="C2173" s="101" t="n"/>
      <c r="D2173" s="102" t="n"/>
      <c r="G2173" s="100">
        <f>IF(batches!A365="","",batches!A365)</f>
        <v/>
      </c>
      <c r="H2173" s="101" t="n"/>
      <c r="I2173" s="101" t="n"/>
      <c r="J2173" s="102" t="n"/>
    </row>
    <row r="2174" ht="15.75" customHeight="1" s="84">
      <c r="A2174" s="80" t="inlineStr">
        <is>
          <t>Level / Mode</t>
        </is>
      </c>
      <c r="B2174" s="103">
        <f>IF(A2173="","",batches!B364&amp;" / "&amp;batches!C364)</f>
        <v/>
      </c>
      <c r="C2174" s="101" t="n"/>
      <c r="D2174" s="102" t="n"/>
      <c r="G2174" s="80" t="inlineStr">
        <is>
          <t>Level / Mode</t>
        </is>
      </c>
      <c r="H2174" s="103">
        <f>IF(G2173="","",batches!B365&amp;" / "&amp;batches!C365)</f>
        <v/>
      </c>
      <c r="I2174" s="101" t="n"/>
      <c r="J2174" s="102" t="n"/>
    </row>
    <row r="2175" ht="15.75" customHeight="1" s="84">
      <c r="A2175" s="80" t="inlineStr">
        <is>
          <t>Dates</t>
        </is>
      </c>
      <c r="B2175" s="103">
        <f>IF(A2173="","",TEXT(batches!D364,"yyyy-mm-dd")&amp;" to "&amp;TEXT(batches!E364,"yyyy-mm-dd"))</f>
        <v/>
      </c>
      <c r="C2175" s="101" t="n"/>
      <c r="D2175" s="102" t="n"/>
      <c r="G2175" s="80" t="inlineStr">
        <is>
          <t>Dates</t>
        </is>
      </c>
      <c r="H2175" s="103">
        <f>IF(G2173="","",TEXT(batches!D365,"yyyy-mm-dd")&amp;" to "&amp;TEXT(batches!E365,"yyyy-mm-dd"))</f>
        <v/>
      </c>
      <c r="I2175" s="101" t="n"/>
      <c r="J2175" s="102" t="n"/>
    </row>
    <row r="2176" ht="15.75" customHeight="1" s="84">
      <c r="A2176" s="80" t="inlineStr">
        <is>
          <t>Duration</t>
        </is>
      </c>
      <c r="B2176" s="103">
        <f>IF(OR(batches!D364="",batches!E364=""),"",batches!E364-batches!D364+1&amp;" days")</f>
        <v/>
      </c>
      <c r="C2176" s="101" t="n"/>
      <c r="D2176" s="102" t="n"/>
      <c r="G2176" s="80" t="inlineStr">
        <is>
          <t>Duration</t>
        </is>
      </c>
      <c r="H2176" s="103">
        <f>IF(OR(batches!D365="",batches!E365=""),"",batches!E365-batches!D365+1&amp;" days")</f>
        <v/>
      </c>
      <c r="I2176" s="101" t="n"/>
      <c r="J2176" s="102" t="n"/>
    </row>
    <row r="2177" ht="15.75" customHeight="1" s="84">
      <c r="A2177" s="80" t="inlineStr">
        <is>
          <t>Timing</t>
        </is>
      </c>
      <c r="B2177" s="103">
        <f>IF(A2173="","",batches!F364)</f>
        <v/>
      </c>
      <c r="C2177" s="101" t="n"/>
      <c r="D2177" s="102" t="n"/>
      <c r="G2177" s="80" t="inlineStr">
        <is>
          <t>Timing</t>
        </is>
      </c>
      <c r="H2177" s="103">
        <f>IF(G2173="","",batches!F365)</f>
        <v/>
      </c>
      <c r="I2177" s="101" t="n"/>
      <c r="J2177" s="102" t="n"/>
    </row>
    <row r="2178" ht="15.75" customHeight="1" s="84">
      <c r="A2178" s="80" t="inlineStr">
        <is>
          <t>Capacity</t>
        </is>
      </c>
      <c r="B2178" s="103">
        <f>IF(A2173="","",batches!G364)</f>
        <v/>
      </c>
      <c r="C2178" s="101" t="n"/>
      <c r="D2178" s="102" t="n"/>
      <c r="G2178" s="80" t="inlineStr">
        <is>
          <t>Capacity</t>
        </is>
      </c>
      <c r="H2178" s="103">
        <f>IF(G2173="","",batches!G365)</f>
        <v/>
      </c>
      <c r="I2178" s="101" t="n"/>
      <c r="J2178" s="102" t="n"/>
    </row>
    <row r="2179" ht="15.75" customHeight="1" s="84">
      <c r="A2179" s="80" t="inlineStr">
        <is>
          <t>Enrolled</t>
        </is>
      </c>
      <c r="B2179" s="103">
        <f>IF(A2173="","",COUNTIF(admissions!$M:$M,batches!A364))</f>
        <v/>
      </c>
      <c r="C2179" s="101" t="n"/>
      <c r="D2179" s="102" t="n"/>
      <c r="G2179" s="80" t="inlineStr">
        <is>
          <t>Enrolled</t>
        </is>
      </c>
      <c r="H2179" s="103">
        <f>IF(G2173="","",COUNTIF(admissions!$M:$M,batches!A365))</f>
        <v/>
      </c>
      <c r="I2179" s="101" t="n"/>
      <c r="J2179" s="102" t="n"/>
    </row>
    <row r="2180" ht="15.75" customHeight="1" s="84">
      <c r="A2180" s="80" t="inlineStr">
        <is>
          <t>Available</t>
        </is>
      </c>
      <c r="B2180" s="103">
        <f>IF(OR(batches!A364="",batches!G364=""),"",batches!G364-COUNTIF(admissions!$M:$M,batches!A364))</f>
        <v/>
      </c>
      <c r="C2180" s="101" t="n"/>
      <c r="D2180" s="102" t="n"/>
      <c r="G2180" s="80" t="inlineStr">
        <is>
          <t>Available</t>
        </is>
      </c>
      <c r="H2180" s="103">
        <f>IF(OR(batches!A365="",batches!G365=""),"",batches!G365-COUNTIF(admissions!$M:$M,batches!A365))</f>
        <v/>
      </c>
      <c r="I2180" s="101" t="n"/>
      <c r="J2180" s="102" t="n"/>
    </row>
    <row r="2181" ht="15.75" customHeight="1" s="84">
      <c r="A2181" s="104" t="inlineStr">
        <is>
          <t>Student List</t>
        </is>
      </c>
      <c r="B2181" s="101" t="n"/>
      <c r="C2181" s="101" t="n"/>
      <c r="D2181" s="102" t="n"/>
      <c r="G2181" s="104" t="inlineStr">
        <is>
          <t>Student List</t>
        </is>
      </c>
      <c r="H2181" s="101" t="n"/>
      <c r="I2181" s="101" t="n"/>
      <c r="J2181" s="102" t="n"/>
    </row>
    <row r="2182" ht="15.75" customHeight="1" s="84">
      <c r="A2182" s="105">
        <f>IFERROR(__xludf.DUMMYFUNCTION("IF(batches!A364="""","""",TEXTJOIN(CHAR(10),TRUE,FILTER(admissions!$G$2:$G$78,admissions!$M$2:$M$78=batches!A364,"""")))"),"")</f>
        <v/>
      </c>
      <c r="B2182" s="101" t="n"/>
      <c r="C2182" s="101" t="n"/>
      <c r="D2182" s="102" t="n"/>
      <c r="G2182" s="105">
        <f>IFERROR(__xludf.DUMMYFUNCTION("IF(batches!A365="""","""",TEXTJOIN(CHAR(10),TRUE,FILTER(admissions!$G$2:$G$78,admissions!$M$2:$M$78=batches!A365,"""")))"),"")</f>
        <v/>
      </c>
      <c r="H2182" s="101" t="n"/>
      <c r="I2182" s="101" t="n"/>
      <c r="J2182" s="102" t="n"/>
    </row>
    <row r="2183" ht="15.75" customHeight="1" s="84"/>
    <row r="2184" ht="15.75" customHeight="1" s="84"/>
    <row r="2185" ht="15.75" customHeight="1" s="84">
      <c r="A2185" s="100">
        <f>IF(batches!A366="","",batches!A366)</f>
        <v/>
      </c>
      <c r="B2185" s="101" t="n"/>
      <c r="C2185" s="101" t="n"/>
      <c r="D2185" s="102" t="n"/>
      <c r="G2185" s="100">
        <f>IF(batches!A367="","",batches!A367)</f>
        <v/>
      </c>
      <c r="H2185" s="101" t="n"/>
      <c r="I2185" s="101" t="n"/>
      <c r="J2185" s="102" t="n"/>
    </row>
    <row r="2186" ht="15.75" customHeight="1" s="84">
      <c r="A2186" s="80" t="inlineStr">
        <is>
          <t>Level / Mode</t>
        </is>
      </c>
      <c r="B2186" s="103">
        <f>IF(A2185="","",batches!B366&amp;" / "&amp;batches!C366)</f>
        <v/>
      </c>
      <c r="C2186" s="101" t="n"/>
      <c r="D2186" s="102" t="n"/>
      <c r="G2186" s="80" t="inlineStr">
        <is>
          <t>Level / Mode</t>
        </is>
      </c>
      <c r="H2186" s="103">
        <f>IF(G2185="","",batches!B367&amp;" / "&amp;batches!C367)</f>
        <v/>
      </c>
      <c r="I2186" s="101" t="n"/>
      <c r="J2186" s="102" t="n"/>
    </row>
    <row r="2187" ht="15.75" customHeight="1" s="84">
      <c r="A2187" s="80" t="inlineStr">
        <is>
          <t>Dates</t>
        </is>
      </c>
      <c r="B2187" s="103">
        <f>IF(A2185="","",TEXT(batches!D366,"yyyy-mm-dd")&amp;" to "&amp;TEXT(batches!E366,"yyyy-mm-dd"))</f>
        <v/>
      </c>
      <c r="C2187" s="101" t="n"/>
      <c r="D2187" s="102" t="n"/>
      <c r="G2187" s="80" t="inlineStr">
        <is>
          <t>Dates</t>
        </is>
      </c>
      <c r="H2187" s="103">
        <f>IF(G2185="","",TEXT(batches!D367,"yyyy-mm-dd")&amp;" to "&amp;TEXT(batches!E367,"yyyy-mm-dd"))</f>
        <v/>
      </c>
      <c r="I2187" s="101" t="n"/>
      <c r="J2187" s="102" t="n"/>
    </row>
    <row r="2188" ht="15.75" customHeight="1" s="84">
      <c r="A2188" s="80" t="inlineStr">
        <is>
          <t>Duration</t>
        </is>
      </c>
      <c r="B2188" s="103">
        <f>IF(OR(batches!D366="",batches!E366=""),"",batches!E366-batches!D366+1&amp;" days")</f>
        <v/>
      </c>
      <c r="C2188" s="101" t="n"/>
      <c r="D2188" s="102" t="n"/>
      <c r="G2188" s="80" t="inlineStr">
        <is>
          <t>Duration</t>
        </is>
      </c>
      <c r="H2188" s="103">
        <f>IF(OR(batches!D367="",batches!E367=""),"",batches!E367-batches!D367+1&amp;" days")</f>
        <v/>
      </c>
      <c r="I2188" s="101" t="n"/>
      <c r="J2188" s="102" t="n"/>
    </row>
    <row r="2189" ht="15.75" customHeight="1" s="84">
      <c r="A2189" s="80" t="inlineStr">
        <is>
          <t>Timing</t>
        </is>
      </c>
      <c r="B2189" s="103">
        <f>IF(A2185="","",batches!F366)</f>
        <v/>
      </c>
      <c r="C2189" s="101" t="n"/>
      <c r="D2189" s="102" t="n"/>
      <c r="G2189" s="80" t="inlineStr">
        <is>
          <t>Timing</t>
        </is>
      </c>
      <c r="H2189" s="103">
        <f>IF(G2185="","",batches!F367)</f>
        <v/>
      </c>
      <c r="I2189" s="101" t="n"/>
      <c r="J2189" s="102" t="n"/>
    </row>
    <row r="2190" ht="15.75" customHeight="1" s="84">
      <c r="A2190" s="80" t="inlineStr">
        <is>
          <t>Capacity</t>
        </is>
      </c>
      <c r="B2190" s="103">
        <f>IF(A2185="","",batches!G366)</f>
        <v/>
      </c>
      <c r="C2190" s="101" t="n"/>
      <c r="D2190" s="102" t="n"/>
      <c r="G2190" s="80" t="inlineStr">
        <is>
          <t>Capacity</t>
        </is>
      </c>
      <c r="H2190" s="103">
        <f>IF(G2185="","",batches!G367)</f>
        <v/>
      </c>
      <c r="I2190" s="101" t="n"/>
      <c r="J2190" s="102" t="n"/>
    </row>
    <row r="2191" ht="15.75" customHeight="1" s="84">
      <c r="A2191" s="80" t="inlineStr">
        <is>
          <t>Enrolled</t>
        </is>
      </c>
      <c r="B2191" s="103">
        <f>IF(A2185="","",COUNTIF(admissions!$M:$M,batches!A366))</f>
        <v/>
      </c>
      <c r="C2191" s="101" t="n"/>
      <c r="D2191" s="102" t="n"/>
      <c r="G2191" s="80" t="inlineStr">
        <is>
          <t>Enrolled</t>
        </is>
      </c>
      <c r="H2191" s="103">
        <f>IF(G2185="","",COUNTIF(admissions!$M:$M,batches!A367))</f>
        <v/>
      </c>
      <c r="I2191" s="101" t="n"/>
      <c r="J2191" s="102" t="n"/>
    </row>
    <row r="2192" ht="15.75" customHeight="1" s="84">
      <c r="A2192" s="80" t="inlineStr">
        <is>
          <t>Available</t>
        </is>
      </c>
      <c r="B2192" s="103">
        <f>IF(OR(batches!A366="",batches!G366=""),"",batches!G366-COUNTIF(admissions!$M:$M,batches!A366))</f>
        <v/>
      </c>
      <c r="C2192" s="101" t="n"/>
      <c r="D2192" s="102" t="n"/>
      <c r="G2192" s="80" t="inlineStr">
        <is>
          <t>Available</t>
        </is>
      </c>
      <c r="H2192" s="103">
        <f>IF(OR(batches!A367="",batches!G367=""),"",batches!G367-COUNTIF(admissions!$M:$M,batches!A367))</f>
        <v/>
      </c>
      <c r="I2192" s="101" t="n"/>
      <c r="J2192" s="102" t="n"/>
    </row>
    <row r="2193" ht="15.75" customHeight="1" s="84">
      <c r="A2193" s="104" t="inlineStr">
        <is>
          <t>Student List</t>
        </is>
      </c>
      <c r="B2193" s="101" t="n"/>
      <c r="C2193" s="101" t="n"/>
      <c r="D2193" s="102" t="n"/>
      <c r="G2193" s="104" t="inlineStr">
        <is>
          <t>Student List</t>
        </is>
      </c>
      <c r="H2193" s="101" t="n"/>
      <c r="I2193" s="101" t="n"/>
      <c r="J2193" s="102" t="n"/>
    </row>
    <row r="2194" ht="15.75" customHeight="1" s="84">
      <c r="A2194" s="105">
        <f>IFERROR(__xludf.DUMMYFUNCTION("IF(batches!A366="""","""",TEXTJOIN(CHAR(10),TRUE,FILTER(admissions!$G$2:$G$78,admissions!$M$2:$M$78=batches!A366,"""")))"),"")</f>
        <v/>
      </c>
      <c r="B2194" s="101" t="n"/>
      <c r="C2194" s="101" t="n"/>
      <c r="D2194" s="102" t="n"/>
      <c r="G2194" s="105">
        <f>IFERROR(__xludf.DUMMYFUNCTION("IF(batches!A367="""","""",TEXTJOIN(CHAR(10),TRUE,FILTER(admissions!$G$2:$G$78,admissions!$M$2:$M$78=batches!A367,"""")))"),"")</f>
        <v/>
      </c>
      <c r="H2194" s="101" t="n"/>
      <c r="I2194" s="101" t="n"/>
      <c r="J2194" s="102" t="n"/>
    </row>
    <row r="2195" ht="15.75" customHeight="1" s="84"/>
    <row r="2196" ht="15.75" customHeight="1" s="84"/>
    <row r="2197" ht="15.75" customHeight="1" s="84">
      <c r="A2197" s="100">
        <f>IF(batches!A368="","",batches!A368)</f>
        <v/>
      </c>
      <c r="B2197" s="101" t="n"/>
      <c r="C2197" s="101" t="n"/>
      <c r="D2197" s="102" t="n"/>
      <c r="G2197" s="100">
        <f>IF(batches!A369="","",batches!A369)</f>
        <v/>
      </c>
      <c r="H2197" s="101" t="n"/>
      <c r="I2197" s="101" t="n"/>
      <c r="J2197" s="102" t="n"/>
    </row>
    <row r="2198" ht="15.75" customHeight="1" s="84">
      <c r="A2198" s="80" t="inlineStr">
        <is>
          <t>Level / Mode</t>
        </is>
      </c>
      <c r="B2198" s="103">
        <f>IF(A2197="","",batches!B368&amp;" / "&amp;batches!C368)</f>
        <v/>
      </c>
      <c r="C2198" s="101" t="n"/>
      <c r="D2198" s="102" t="n"/>
      <c r="G2198" s="80" t="inlineStr">
        <is>
          <t>Level / Mode</t>
        </is>
      </c>
      <c r="H2198" s="103">
        <f>IF(G2197="","",batches!B369&amp;" / "&amp;batches!C369)</f>
        <v/>
      </c>
      <c r="I2198" s="101" t="n"/>
      <c r="J2198" s="102" t="n"/>
    </row>
    <row r="2199" ht="15.75" customHeight="1" s="84">
      <c r="A2199" s="80" t="inlineStr">
        <is>
          <t>Dates</t>
        </is>
      </c>
      <c r="B2199" s="103">
        <f>IF(A2197="","",TEXT(batches!D368,"yyyy-mm-dd")&amp;" to "&amp;TEXT(batches!E368,"yyyy-mm-dd"))</f>
        <v/>
      </c>
      <c r="C2199" s="101" t="n"/>
      <c r="D2199" s="102" t="n"/>
      <c r="G2199" s="80" t="inlineStr">
        <is>
          <t>Dates</t>
        </is>
      </c>
      <c r="H2199" s="103">
        <f>IF(G2197="","",TEXT(batches!D369,"yyyy-mm-dd")&amp;" to "&amp;TEXT(batches!E369,"yyyy-mm-dd"))</f>
        <v/>
      </c>
      <c r="I2199" s="101" t="n"/>
      <c r="J2199" s="102" t="n"/>
    </row>
    <row r="2200" ht="15.75" customHeight="1" s="84">
      <c r="A2200" s="80" t="inlineStr">
        <is>
          <t>Duration</t>
        </is>
      </c>
      <c r="B2200" s="103">
        <f>IF(OR(batches!D368="",batches!E368=""),"",batches!E368-batches!D368+1&amp;" days")</f>
        <v/>
      </c>
      <c r="C2200" s="101" t="n"/>
      <c r="D2200" s="102" t="n"/>
      <c r="G2200" s="80" t="inlineStr">
        <is>
          <t>Duration</t>
        </is>
      </c>
      <c r="H2200" s="103">
        <f>IF(OR(batches!D369="",batches!E369=""),"",batches!E369-batches!D369+1&amp;" days")</f>
        <v/>
      </c>
      <c r="I2200" s="101" t="n"/>
      <c r="J2200" s="102" t="n"/>
    </row>
    <row r="2201" ht="15.75" customHeight="1" s="84">
      <c r="A2201" s="80" t="inlineStr">
        <is>
          <t>Timing</t>
        </is>
      </c>
      <c r="B2201" s="103">
        <f>IF(A2197="","",batches!F368)</f>
        <v/>
      </c>
      <c r="C2201" s="101" t="n"/>
      <c r="D2201" s="102" t="n"/>
      <c r="G2201" s="80" t="inlineStr">
        <is>
          <t>Timing</t>
        </is>
      </c>
      <c r="H2201" s="103">
        <f>IF(G2197="","",batches!F369)</f>
        <v/>
      </c>
      <c r="I2201" s="101" t="n"/>
      <c r="J2201" s="102" t="n"/>
    </row>
    <row r="2202" ht="15.75" customHeight="1" s="84">
      <c r="A2202" s="80" t="inlineStr">
        <is>
          <t>Capacity</t>
        </is>
      </c>
      <c r="B2202" s="103">
        <f>IF(A2197="","",batches!G368)</f>
        <v/>
      </c>
      <c r="C2202" s="101" t="n"/>
      <c r="D2202" s="102" t="n"/>
      <c r="G2202" s="80" t="inlineStr">
        <is>
          <t>Capacity</t>
        </is>
      </c>
      <c r="H2202" s="103">
        <f>IF(G2197="","",batches!G369)</f>
        <v/>
      </c>
      <c r="I2202" s="101" t="n"/>
      <c r="J2202" s="102" t="n"/>
    </row>
    <row r="2203" ht="15.75" customHeight="1" s="84">
      <c r="A2203" s="80" t="inlineStr">
        <is>
          <t>Enrolled</t>
        </is>
      </c>
      <c r="B2203" s="103">
        <f>IF(A2197="","",COUNTIF(admissions!$M:$M,batches!A368))</f>
        <v/>
      </c>
      <c r="C2203" s="101" t="n"/>
      <c r="D2203" s="102" t="n"/>
      <c r="G2203" s="80" t="inlineStr">
        <is>
          <t>Enrolled</t>
        </is>
      </c>
      <c r="H2203" s="103">
        <f>IF(G2197="","",COUNTIF(admissions!$M:$M,batches!A369))</f>
        <v/>
      </c>
      <c r="I2203" s="101" t="n"/>
      <c r="J2203" s="102" t="n"/>
    </row>
    <row r="2204" ht="15.75" customHeight="1" s="84">
      <c r="A2204" s="80" t="inlineStr">
        <is>
          <t>Available</t>
        </is>
      </c>
      <c r="B2204" s="103">
        <f>IF(OR(batches!A368="",batches!G368=""),"",batches!G368-COUNTIF(admissions!$M:$M,batches!A368))</f>
        <v/>
      </c>
      <c r="C2204" s="101" t="n"/>
      <c r="D2204" s="102" t="n"/>
      <c r="G2204" s="80" t="inlineStr">
        <is>
          <t>Available</t>
        </is>
      </c>
      <c r="H2204" s="103">
        <f>IF(OR(batches!A369="",batches!G369=""),"",batches!G369-COUNTIF(admissions!$M:$M,batches!A369))</f>
        <v/>
      </c>
      <c r="I2204" s="101" t="n"/>
      <c r="J2204" s="102" t="n"/>
    </row>
    <row r="2205" ht="15.75" customHeight="1" s="84">
      <c r="A2205" s="104" t="inlineStr">
        <is>
          <t>Student List</t>
        </is>
      </c>
      <c r="B2205" s="101" t="n"/>
      <c r="C2205" s="101" t="n"/>
      <c r="D2205" s="102" t="n"/>
      <c r="G2205" s="104" t="inlineStr">
        <is>
          <t>Student List</t>
        </is>
      </c>
      <c r="H2205" s="101" t="n"/>
      <c r="I2205" s="101" t="n"/>
      <c r="J2205" s="102" t="n"/>
    </row>
    <row r="2206" ht="15.75" customHeight="1" s="84">
      <c r="A2206" s="105">
        <f>IFERROR(__xludf.DUMMYFUNCTION("IF(batches!A368="""","""",TEXTJOIN(CHAR(10),TRUE,FILTER(admissions!$G$2:$G$78,admissions!$M$2:$M$78=batches!A368,"""")))"),"")</f>
        <v/>
      </c>
      <c r="B2206" s="101" t="n"/>
      <c r="C2206" s="101" t="n"/>
      <c r="D2206" s="102" t="n"/>
      <c r="G2206" s="105">
        <f>IFERROR(__xludf.DUMMYFUNCTION("IF(batches!A369="""","""",TEXTJOIN(CHAR(10),TRUE,FILTER(admissions!$G$2:$G$78,admissions!$M$2:$M$78=batches!A369,"""")))"),"")</f>
        <v/>
      </c>
      <c r="H2206" s="101" t="n"/>
      <c r="I2206" s="101" t="n"/>
      <c r="J2206" s="102" t="n"/>
    </row>
    <row r="2207" ht="15.75" customHeight="1" s="84"/>
    <row r="2208" ht="15.75" customHeight="1" s="84"/>
    <row r="2209" ht="15.75" customHeight="1" s="84">
      <c r="A2209" s="100">
        <f>IF(batches!A370="","",batches!A370)</f>
        <v/>
      </c>
      <c r="B2209" s="101" t="n"/>
      <c r="C2209" s="101" t="n"/>
      <c r="D2209" s="102" t="n"/>
      <c r="G2209" s="100">
        <f>IF(batches!A371="","",batches!A371)</f>
        <v/>
      </c>
      <c r="H2209" s="101" t="n"/>
      <c r="I2209" s="101" t="n"/>
      <c r="J2209" s="102" t="n"/>
    </row>
    <row r="2210" ht="15.75" customHeight="1" s="84">
      <c r="A2210" s="80" t="inlineStr">
        <is>
          <t>Level / Mode</t>
        </is>
      </c>
      <c r="B2210" s="103">
        <f>IF(A2209="","",batches!B370&amp;" / "&amp;batches!C370)</f>
        <v/>
      </c>
      <c r="C2210" s="101" t="n"/>
      <c r="D2210" s="102" t="n"/>
      <c r="G2210" s="80" t="inlineStr">
        <is>
          <t>Level / Mode</t>
        </is>
      </c>
      <c r="H2210" s="103">
        <f>IF(G2209="","",batches!B371&amp;" / "&amp;batches!C371)</f>
        <v/>
      </c>
      <c r="I2210" s="101" t="n"/>
      <c r="J2210" s="102" t="n"/>
    </row>
    <row r="2211" ht="15.75" customHeight="1" s="84">
      <c r="A2211" s="80" t="inlineStr">
        <is>
          <t>Dates</t>
        </is>
      </c>
      <c r="B2211" s="103">
        <f>IF(A2209="","",TEXT(batches!D370,"yyyy-mm-dd")&amp;" to "&amp;TEXT(batches!E370,"yyyy-mm-dd"))</f>
        <v/>
      </c>
      <c r="C2211" s="101" t="n"/>
      <c r="D2211" s="102" t="n"/>
      <c r="G2211" s="80" t="inlineStr">
        <is>
          <t>Dates</t>
        </is>
      </c>
      <c r="H2211" s="103">
        <f>IF(G2209="","",TEXT(batches!D371,"yyyy-mm-dd")&amp;" to "&amp;TEXT(batches!E371,"yyyy-mm-dd"))</f>
        <v/>
      </c>
      <c r="I2211" s="101" t="n"/>
      <c r="J2211" s="102" t="n"/>
    </row>
    <row r="2212" ht="15.75" customHeight="1" s="84">
      <c r="A2212" s="80" t="inlineStr">
        <is>
          <t>Duration</t>
        </is>
      </c>
      <c r="B2212" s="103">
        <f>IF(OR(batches!D370="",batches!E370=""),"",batches!E370-batches!D370+1&amp;" days")</f>
        <v/>
      </c>
      <c r="C2212" s="101" t="n"/>
      <c r="D2212" s="102" t="n"/>
      <c r="G2212" s="80" t="inlineStr">
        <is>
          <t>Duration</t>
        </is>
      </c>
      <c r="H2212" s="103">
        <f>IF(OR(batches!D371="",batches!E371=""),"",batches!E371-batches!D371+1&amp;" days")</f>
        <v/>
      </c>
      <c r="I2212" s="101" t="n"/>
      <c r="J2212" s="102" t="n"/>
    </row>
    <row r="2213" ht="15.75" customHeight="1" s="84">
      <c r="A2213" s="80" t="inlineStr">
        <is>
          <t>Timing</t>
        </is>
      </c>
      <c r="B2213" s="103">
        <f>IF(A2209="","",batches!F370)</f>
        <v/>
      </c>
      <c r="C2213" s="101" t="n"/>
      <c r="D2213" s="102" t="n"/>
      <c r="G2213" s="80" t="inlineStr">
        <is>
          <t>Timing</t>
        </is>
      </c>
      <c r="H2213" s="103">
        <f>IF(G2209="","",batches!F371)</f>
        <v/>
      </c>
      <c r="I2213" s="101" t="n"/>
      <c r="J2213" s="102" t="n"/>
    </row>
    <row r="2214" ht="15.75" customHeight="1" s="84">
      <c r="A2214" s="80" t="inlineStr">
        <is>
          <t>Capacity</t>
        </is>
      </c>
      <c r="B2214" s="103">
        <f>IF(A2209="","",batches!G370)</f>
        <v/>
      </c>
      <c r="C2214" s="101" t="n"/>
      <c r="D2214" s="102" t="n"/>
      <c r="G2214" s="80" t="inlineStr">
        <is>
          <t>Capacity</t>
        </is>
      </c>
      <c r="H2214" s="103">
        <f>IF(G2209="","",batches!G371)</f>
        <v/>
      </c>
      <c r="I2214" s="101" t="n"/>
      <c r="J2214" s="102" t="n"/>
    </row>
    <row r="2215" ht="15.75" customHeight="1" s="84">
      <c r="A2215" s="80" t="inlineStr">
        <is>
          <t>Enrolled</t>
        </is>
      </c>
      <c r="B2215" s="103">
        <f>IF(A2209="","",COUNTIF(admissions!$M:$M,batches!A370))</f>
        <v/>
      </c>
      <c r="C2215" s="101" t="n"/>
      <c r="D2215" s="102" t="n"/>
      <c r="G2215" s="80" t="inlineStr">
        <is>
          <t>Enrolled</t>
        </is>
      </c>
      <c r="H2215" s="103">
        <f>IF(G2209="","",COUNTIF(admissions!$M:$M,batches!A371))</f>
        <v/>
      </c>
      <c r="I2215" s="101" t="n"/>
      <c r="J2215" s="102" t="n"/>
    </row>
    <row r="2216" ht="15.75" customHeight="1" s="84">
      <c r="A2216" s="80" t="inlineStr">
        <is>
          <t>Available</t>
        </is>
      </c>
      <c r="B2216" s="103">
        <f>IF(OR(batches!A370="",batches!G370=""),"",batches!G370-COUNTIF(admissions!$M:$M,batches!A370))</f>
        <v/>
      </c>
      <c r="C2216" s="101" t="n"/>
      <c r="D2216" s="102" t="n"/>
      <c r="G2216" s="80" t="inlineStr">
        <is>
          <t>Available</t>
        </is>
      </c>
      <c r="H2216" s="103">
        <f>IF(OR(batches!A371="",batches!G371=""),"",batches!G371-COUNTIF(admissions!$M:$M,batches!A371))</f>
        <v/>
      </c>
      <c r="I2216" s="101" t="n"/>
      <c r="J2216" s="102" t="n"/>
    </row>
    <row r="2217" ht="15.75" customHeight="1" s="84">
      <c r="A2217" s="104" t="inlineStr">
        <is>
          <t>Student List</t>
        </is>
      </c>
      <c r="B2217" s="101" t="n"/>
      <c r="C2217" s="101" t="n"/>
      <c r="D2217" s="102" t="n"/>
      <c r="G2217" s="104" t="inlineStr">
        <is>
          <t>Student List</t>
        </is>
      </c>
      <c r="H2217" s="101" t="n"/>
      <c r="I2217" s="101" t="n"/>
      <c r="J2217" s="102" t="n"/>
    </row>
    <row r="2218" ht="15.75" customHeight="1" s="84">
      <c r="A2218" s="105">
        <f>IFERROR(__xludf.DUMMYFUNCTION("IF(batches!A370="""","""",TEXTJOIN(CHAR(10),TRUE,FILTER(admissions!$G$2:$G$78,admissions!$M$2:$M$78=batches!A370,"""")))"),"")</f>
        <v/>
      </c>
      <c r="B2218" s="101" t="n"/>
      <c r="C2218" s="101" t="n"/>
      <c r="D2218" s="102" t="n"/>
      <c r="G2218" s="105">
        <f>IFERROR(__xludf.DUMMYFUNCTION("IF(batches!A371="""","""",TEXTJOIN(CHAR(10),TRUE,FILTER(admissions!$G$2:$G$78,admissions!$M$2:$M$78=batches!A371,"""")))"),"")</f>
        <v/>
      </c>
      <c r="H2218" s="101" t="n"/>
      <c r="I2218" s="101" t="n"/>
      <c r="J2218" s="102" t="n"/>
    </row>
    <row r="2219" ht="15.75" customHeight="1" s="84"/>
    <row r="2220" ht="15.75" customHeight="1" s="84"/>
    <row r="2221" ht="15.75" customHeight="1" s="84">
      <c r="A2221" s="100">
        <f>IF(batches!A372="","",batches!A372)</f>
        <v/>
      </c>
      <c r="B2221" s="101" t="n"/>
      <c r="C2221" s="101" t="n"/>
      <c r="D2221" s="102" t="n"/>
      <c r="G2221" s="100">
        <f>IF(batches!A373="","",batches!A373)</f>
        <v/>
      </c>
      <c r="H2221" s="101" t="n"/>
      <c r="I2221" s="101" t="n"/>
      <c r="J2221" s="102" t="n"/>
    </row>
    <row r="2222" ht="15.75" customHeight="1" s="84">
      <c r="A2222" s="80" t="inlineStr">
        <is>
          <t>Level / Mode</t>
        </is>
      </c>
      <c r="B2222" s="103">
        <f>IF(A2221="","",batches!B372&amp;" / "&amp;batches!C372)</f>
        <v/>
      </c>
      <c r="C2222" s="101" t="n"/>
      <c r="D2222" s="102" t="n"/>
      <c r="G2222" s="80" t="inlineStr">
        <is>
          <t>Level / Mode</t>
        </is>
      </c>
      <c r="H2222" s="103">
        <f>IF(G2221="","",batches!B373&amp;" / "&amp;batches!C373)</f>
        <v/>
      </c>
      <c r="I2222" s="101" t="n"/>
      <c r="J2222" s="102" t="n"/>
    </row>
    <row r="2223" ht="15.75" customHeight="1" s="84">
      <c r="A2223" s="80" t="inlineStr">
        <is>
          <t>Dates</t>
        </is>
      </c>
      <c r="B2223" s="103">
        <f>IF(A2221="","",TEXT(batches!D372,"yyyy-mm-dd")&amp;" to "&amp;TEXT(batches!E372,"yyyy-mm-dd"))</f>
        <v/>
      </c>
      <c r="C2223" s="101" t="n"/>
      <c r="D2223" s="102" t="n"/>
      <c r="G2223" s="80" t="inlineStr">
        <is>
          <t>Dates</t>
        </is>
      </c>
      <c r="H2223" s="103">
        <f>IF(G2221="","",TEXT(batches!D373,"yyyy-mm-dd")&amp;" to "&amp;TEXT(batches!E373,"yyyy-mm-dd"))</f>
        <v/>
      </c>
      <c r="I2223" s="101" t="n"/>
      <c r="J2223" s="102" t="n"/>
    </row>
    <row r="2224" ht="15.75" customHeight="1" s="84">
      <c r="A2224" s="80" t="inlineStr">
        <is>
          <t>Duration</t>
        </is>
      </c>
      <c r="B2224" s="103">
        <f>IF(OR(batches!D372="",batches!E372=""),"",batches!E372-batches!D372+1&amp;" days")</f>
        <v/>
      </c>
      <c r="C2224" s="101" t="n"/>
      <c r="D2224" s="102" t="n"/>
      <c r="G2224" s="80" t="inlineStr">
        <is>
          <t>Duration</t>
        </is>
      </c>
      <c r="H2224" s="103">
        <f>IF(OR(batches!D373="",batches!E373=""),"",batches!E373-batches!D373+1&amp;" days")</f>
        <v/>
      </c>
      <c r="I2224" s="101" t="n"/>
      <c r="J2224" s="102" t="n"/>
    </row>
    <row r="2225" ht="15.75" customHeight="1" s="84">
      <c r="A2225" s="80" t="inlineStr">
        <is>
          <t>Timing</t>
        </is>
      </c>
      <c r="B2225" s="103">
        <f>IF(A2221="","",batches!F372)</f>
        <v/>
      </c>
      <c r="C2225" s="101" t="n"/>
      <c r="D2225" s="102" t="n"/>
      <c r="G2225" s="80" t="inlineStr">
        <is>
          <t>Timing</t>
        </is>
      </c>
      <c r="H2225" s="103">
        <f>IF(G2221="","",batches!F373)</f>
        <v/>
      </c>
      <c r="I2225" s="101" t="n"/>
      <c r="J2225" s="102" t="n"/>
    </row>
    <row r="2226" ht="15.75" customHeight="1" s="84">
      <c r="A2226" s="80" t="inlineStr">
        <is>
          <t>Capacity</t>
        </is>
      </c>
      <c r="B2226" s="103">
        <f>IF(A2221="","",batches!G372)</f>
        <v/>
      </c>
      <c r="C2226" s="101" t="n"/>
      <c r="D2226" s="102" t="n"/>
      <c r="G2226" s="80" t="inlineStr">
        <is>
          <t>Capacity</t>
        </is>
      </c>
      <c r="H2226" s="103">
        <f>IF(G2221="","",batches!G373)</f>
        <v/>
      </c>
      <c r="I2226" s="101" t="n"/>
      <c r="J2226" s="102" t="n"/>
    </row>
    <row r="2227" ht="15.75" customHeight="1" s="84">
      <c r="A2227" s="80" t="inlineStr">
        <is>
          <t>Enrolled</t>
        </is>
      </c>
      <c r="B2227" s="103">
        <f>IF(A2221="","",COUNTIF(admissions!$M:$M,batches!A372))</f>
        <v/>
      </c>
      <c r="C2227" s="101" t="n"/>
      <c r="D2227" s="102" t="n"/>
      <c r="G2227" s="80" t="inlineStr">
        <is>
          <t>Enrolled</t>
        </is>
      </c>
      <c r="H2227" s="103">
        <f>IF(G2221="","",COUNTIF(admissions!$M:$M,batches!A373))</f>
        <v/>
      </c>
      <c r="I2227" s="101" t="n"/>
      <c r="J2227" s="102" t="n"/>
    </row>
    <row r="2228" ht="15.75" customHeight="1" s="84">
      <c r="A2228" s="80" t="inlineStr">
        <is>
          <t>Available</t>
        </is>
      </c>
      <c r="B2228" s="103">
        <f>IF(OR(batches!A372="",batches!G372=""),"",batches!G372-COUNTIF(admissions!$M:$M,batches!A372))</f>
        <v/>
      </c>
      <c r="C2228" s="101" t="n"/>
      <c r="D2228" s="102" t="n"/>
      <c r="G2228" s="80" t="inlineStr">
        <is>
          <t>Available</t>
        </is>
      </c>
      <c r="H2228" s="103">
        <f>IF(OR(batches!A373="",batches!G373=""),"",batches!G373-COUNTIF(admissions!$M:$M,batches!A373))</f>
        <v/>
      </c>
      <c r="I2228" s="101" t="n"/>
      <c r="J2228" s="102" t="n"/>
    </row>
    <row r="2229" ht="15.75" customHeight="1" s="84">
      <c r="A2229" s="104" t="inlineStr">
        <is>
          <t>Student List</t>
        </is>
      </c>
      <c r="B2229" s="101" t="n"/>
      <c r="C2229" s="101" t="n"/>
      <c r="D2229" s="102" t="n"/>
      <c r="G2229" s="104" t="inlineStr">
        <is>
          <t>Student List</t>
        </is>
      </c>
      <c r="H2229" s="101" t="n"/>
      <c r="I2229" s="101" t="n"/>
      <c r="J2229" s="102" t="n"/>
    </row>
    <row r="2230" ht="15.75" customHeight="1" s="84">
      <c r="A2230" s="105">
        <f>IFERROR(__xludf.DUMMYFUNCTION("IF(batches!A372="""","""",TEXTJOIN(CHAR(10),TRUE,FILTER(admissions!$G$2:$G$78,admissions!$M$2:$M$78=batches!A372,"""")))"),"")</f>
        <v/>
      </c>
      <c r="B2230" s="101" t="n"/>
      <c r="C2230" s="101" t="n"/>
      <c r="D2230" s="102" t="n"/>
      <c r="G2230" s="105">
        <f>IFERROR(__xludf.DUMMYFUNCTION("IF(batches!A373="""","""",TEXTJOIN(CHAR(10),TRUE,FILTER(admissions!$G$2:$G$78,admissions!$M$2:$M$78=batches!A373,"""")))"),"")</f>
        <v/>
      </c>
      <c r="H2230" s="101" t="n"/>
      <c r="I2230" s="101" t="n"/>
      <c r="J2230" s="102" t="n"/>
    </row>
    <row r="2231" ht="15.75" customHeight="1" s="84"/>
    <row r="2232" ht="15.75" customHeight="1" s="84"/>
    <row r="2233" ht="15.75" customHeight="1" s="84">
      <c r="A2233" s="100">
        <f>IF(batches!A374="","",batches!A374)</f>
        <v/>
      </c>
      <c r="B2233" s="101" t="n"/>
      <c r="C2233" s="101" t="n"/>
      <c r="D2233" s="102" t="n"/>
      <c r="G2233" s="100">
        <f>IF(batches!A375="","",batches!A375)</f>
        <v/>
      </c>
      <c r="H2233" s="101" t="n"/>
      <c r="I2233" s="101" t="n"/>
      <c r="J2233" s="102" t="n"/>
    </row>
    <row r="2234" ht="15.75" customHeight="1" s="84">
      <c r="A2234" s="80" t="inlineStr">
        <is>
          <t>Level / Mode</t>
        </is>
      </c>
      <c r="B2234" s="103">
        <f>IF(A2233="","",batches!B374&amp;" / "&amp;batches!C374)</f>
        <v/>
      </c>
      <c r="C2234" s="101" t="n"/>
      <c r="D2234" s="102" t="n"/>
      <c r="G2234" s="80" t="inlineStr">
        <is>
          <t>Level / Mode</t>
        </is>
      </c>
      <c r="H2234" s="103">
        <f>IF(G2233="","",batches!B375&amp;" / "&amp;batches!C375)</f>
        <v/>
      </c>
      <c r="I2234" s="101" t="n"/>
      <c r="J2234" s="102" t="n"/>
    </row>
    <row r="2235" ht="15.75" customHeight="1" s="84">
      <c r="A2235" s="80" t="inlineStr">
        <is>
          <t>Dates</t>
        </is>
      </c>
      <c r="B2235" s="103">
        <f>IF(A2233="","",TEXT(batches!D374,"yyyy-mm-dd")&amp;" to "&amp;TEXT(batches!E374,"yyyy-mm-dd"))</f>
        <v/>
      </c>
      <c r="C2235" s="101" t="n"/>
      <c r="D2235" s="102" t="n"/>
      <c r="G2235" s="80" t="inlineStr">
        <is>
          <t>Dates</t>
        </is>
      </c>
      <c r="H2235" s="103">
        <f>IF(G2233="","",TEXT(batches!D375,"yyyy-mm-dd")&amp;" to "&amp;TEXT(batches!E375,"yyyy-mm-dd"))</f>
        <v/>
      </c>
      <c r="I2235" s="101" t="n"/>
      <c r="J2235" s="102" t="n"/>
    </row>
    <row r="2236" ht="15.75" customHeight="1" s="84">
      <c r="A2236" s="80" t="inlineStr">
        <is>
          <t>Duration</t>
        </is>
      </c>
      <c r="B2236" s="103">
        <f>IF(OR(batches!D374="",batches!E374=""),"",batches!E374-batches!D374+1&amp;" days")</f>
        <v/>
      </c>
      <c r="C2236" s="101" t="n"/>
      <c r="D2236" s="102" t="n"/>
      <c r="G2236" s="80" t="inlineStr">
        <is>
          <t>Duration</t>
        </is>
      </c>
      <c r="H2236" s="103">
        <f>IF(OR(batches!D375="",batches!E375=""),"",batches!E375-batches!D375+1&amp;" days")</f>
        <v/>
      </c>
      <c r="I2236" s="101" t="n"/>
      <c r="J2236" s="102" t="n"/>
    </row>
    <row r="2237" ht="15.75" customHeight="1" s="84">
      <c r="A2237" s="80" t="inlineStr">
        <is>
          <t>Timing</t>
        </is>
      </c>
      <c r="B2237" s="103">
        <f>IF(A2233="","",batches!F374)</f>
        <v/>
      </c>
      <c r="C2237" s="101" t="n"/>
      <c r="D2237" s="102" t="n"/>
      <c r="G2237" s="80" t="inlineStr">
        <is>
          <t>Timing</t>
        </is>
      </c>
      <c r="H2237" s="103">
        <f>IF(G2233="","",batches!F375)</f>
        <v/>
      </c>
      <c r="I2237" s="101" t="n"/>
      <c r="J2237" s="102" t="n"/>
    </row>
    <row r="2238" ht="15.75" customHeight="1" s="84">
      <c r="A2238" s="80" t="inlineStr">
        <is>
          <t>Capacity</t>
        </is>
      </c>
      <c r="B2238" s="103">
        <f>IF(A2233="","",batches!G374)</f>
        <v/>
      </c>
      <c r="C2238" s="101" t="n"/>
      <c r="D2238" s="102" t="n"/>
      <c r="G2238" s="80" t="inlineStr">
        <is>
          <t>Capacity</t>
        </is>
      </c>
      <c r="H2238" s="103">
        <f>IF(G2233="","",batches!G375)</f>
        <v/>
      </c>
      <c r="I2238" s="101" t="n"/>
      <c r="J2238" s="102" t="n"/>
    </row>
    <row r="2239" ht="15.75" customHeight="1" s="84">
      <c r="A2239" s="80" t="inlineStr">
        <is>
          <t>Enrolled</t>
        </is>
      </c>
      <c r="B2239" s="103">
        <f>IF(A2233="","",COUNTIF(admissions!$M:$M,batches!A374))</f>
        <v/>
      </c>
      <c r="C2239" s="101" t="n"/>
      <c r="D2239" s="102" t="n"/>
      <c r="G2239" s="80" t="inlineStr">
        <is>
          <t>Enrolled</t>
        </is>
      </c>
      <c r="H2239" s="103">
        <f>IF(G2233="","",COUNTIF(admissions!$M:$M,batches!A375))</f>
        <v/>
      </c>
      <c r="I2239" s="101" t="n"/>
      <c r="J2239" s="102" t="n"/>
    </row>
    <row r="2240" ht="15.75" customHeight="1" s="84">
      <c r="A2240" s="80" t="inlineStr">
        <is>
          <t>Available</t>
        </is>
      </c>
      <c r="B2240" s="103">
        <f>IF(OR(batches!A374="",batches!G374=""),"",batches!G374-COUNTIF(admissions!$M:$M,batches!A374))</f>
        <v/>
      </c>
      <c r="C2240" s="101" t="n"/>
      <c r="D2240" s="102" t="n"/>
      <c r="G2240" s="80" t="inlineStr">
        <is>
          <t>Available</t>
        </is>
      </c>
      <c r="H2240" s="103">
        <f>IF(OR(batches!A375="",batches!G375=""),"",batches!G375-COUNTIF(admissions!$M:$M,batches!A375))</f>
        <v/>
      </c>
      <c r="I2240" s="101" t="n"/>
      <c r="J2240" s="102" t="n"/>
    </row>
    <row r="2241" ht="15.75" customHeight="1" s="84">
      <c r="A2241" s="104" t="inlineStr">
        <is>
          <t>Student List</t>
        </is>
      </c>
      <c r="B2241" s="101" t="n"/>
      <c r="C2241" s="101" t="n"/>
      <c r="D2241" s="102" t="n"/>
      <c r="G2241" s="104" t="inlineStr">
        <is>
          <t>Student List</t>
        </is>
      </c>
      <c r="H2241" s="101" t="n"/>
      <c r="I2241" s="101" t="n"/>
      <c r="J2241" s="102" t="n"/>
    </row>
    <row r="2242" ht="15.75" customHeight="1" s="84">
      <c r="A2242" s="105">
        <f>IFERROR(__xludf.DUMMYFUNCTION("IF(batches!A374="""","""",TEXTJOIN(CHAR(10),TRUE,FILTER(admissions!$G$2:$G$78,admissions!$M$2:$M$78=batches!A374,"""")))"),"")</f>
        <v/>
      </c>
      <c r="B2242" s="101" t="n"/>
      <c r="C2242" s="101" t="n"/>
      <c r="D2242" s="102" t="n"/>
      <c r="G2242" s="105">
        <f>IFERROR(__xludf.DUMMYFUNCTION("IF(batches!A375="""","""",TEXTJOIN(CHAR(10),TRUE,FILTER(admissions!$G$2:$G$78,admissions!$M$2:$M$78=batches!A375,"""")))"),"")</f>
        <v/>
      </c>
      <c r="H2242" s="101" t="n"/>
      <c r="I2242" s="101" t="n"/>
      <c r="J2242" s="102" t="n"/>
    </row>
    <row r="2243" ht="15.75" customHeight="1" s="84"/>
    <row r="2244" ht="15.75" customHeight="1" s="84"/>
    <row r="2245" ht="15.75" customHeight="1" s="84">
      <c r="A2245" s="100">
        <f>IF(batches!A376="","",batches!A376)</f>
        <v/>
      </c>
      <c r="B2245" s="101" t="n"/>
      <c r="C2245" s="101" t="n"/>
      <c r="D2245" s="102" t="n"/>
      <c r="G2245" s="100">
        <f>IF(batches!A377="","",batches!A377)</f>
        <v/>
      </c>
      <c r="H2245" s="101" t="n"/>
      <c r="I2245" s="101" t="n"/>
      <c r="J2245" s="102" t="n"/>
    </row>
    <row r="2246" ht="15.75" customHeight="1" s="84">
      <c r="A2246" s="80" t="inlineStr">
        <is>
          <t>Level / Mode</t>
        </is>
      </c>
      <c r="B2246" s="103">
        <f>IF(A2245="","",batches!B376&amp;" / "&amp;batches!C376)</f>
        <v/>
      </c>
      <c r="C2246" s="101" t="n"/>
      <c r="D2246" s="102" t="n"/>
      <c r="G2246" s="80" t="inlineStr">
        <is>
          <t>Level / Mode</t>
        </is>
      </c>
      <c r="H2246" s="103">
        <f>IF(G2245="","",batches!B377&amp;" / "&amp;batches!C377)</f>
        <v/>
      </c>
      <c r="I2246" s="101" t="n"/>
      <c r="J2246" s="102" t="n"/>
    </row>
    <row r="2247" ht="15.75" customHeight="1" s="84">
      <c r="A2247" s="80" t="inlineStr">
        <is>
          <t>Dates</t>
        </is>
      </c>
      <c r="B2247" s="103">
        <f>IF(A2245="","",TEXT(batches!D376,"yyyy-mm-dd")&amp;" to "&amp;TEXT(batches!E376,"yyyy-mm-dd"))</f>
        <v/>
      </c>
      <c r="C2247" s="101" t="n"/>
      <c r="D2247" s="102" t="n"/>
      <c r="G2247" s="80" t="inlineStr">
        <is>
          <t>Dates</t>
        </is>
      </c>
      <c r="H2247" s="103">
        <f>IF(G2245="","",TEXT(batches!D377,"yyyy-mm-dd")&amp;" to "&amp;TEXT(batches!E377,"yyyy-mm-dd"))</f>
        <v/>
      </c>
      <c r="I2247" s="101" t="n"/>
      <c r="J2247" s="102" t="n"/>
    </row>
    <row r="2248" ht="15.75" customHeight="1" s="84">
      <c r="A2248" s="80" t="inlineStr">
        <is>
          <t>Duration</t>
        </is>
      </c>
      <c r="B2248" s="103">
        <f>IF(OR(batches!D376="",batches!E376=""),"",batches!E376-batches!D376+1&amp;" days")</f>
        <v/>
      </c>
      <c r="C2248" s="101" t="n"/>
      <c r="D2248" s="102" t="n"/>
      <c r="G2248" s="80" t="inlineStr">
        <is>
          <t>Duration</t>
        </is>
      </c>
      <c r="H2248" s="103">
        <f>IF(OR(batches!D377="",batches!E377=""),"",batches!E377-batches!D377+1&amp;" days")</f>
        <v/>
      </c>
      <c r="I2248" s="101" t="n"/>
      <c r="J2248" s="102" t="n"/>
    </row>
    <row r="2249" ht="15.75" customHeight="1" s="84">
      <c r="A2249" s="80" t="inlineStr">
        <is>
          <t>Timing</t>
        </is>
      </c>
      <c r="B2249" s="103">
        <f>IF(A2245="","",batches!F376)</f>
        <v/>
      </c>
      <c r="C2249" s="101" t="n"/>
      <c r="D2249" s="102" t="n"/>
      <c r="G2249" s="80" t="inlineStr">
        <is>
          <t>Timing</t>
        </is>
      </c>
      <c r="H2249" s="103">
        <f>IF(G2245="","",batches!F377)</f>
        <v/>
      </c>
      <c r="I2249" s="101" t="n"/>
      <c r="J2249" s="102" t="n"/>
    </row>
    <row r="2250" ht="15.75" customHeight="1" s="84">
      <c r="A2250" s="80" t="inlineStr">
        <is>
          <t>Capacity</t>
        </is>
      </c>
      <c r="B2250" s="103">
        <f>IF(A2245="","",batches!G376)</f>
        <v/>
      </c>
      <c r="C2250" s="101" t="n"/>
      <c r="D2250" s="102" t="n"/>
      <c r="G2250" s="80" t="inlineStr">
        <is>
          <t>Capacity</t>
        </is>
      </c>
      <c r="H2250" s="103">
        <f>IF(G2245="","",batches!G377)</f>
        <v/>
      </c>
      <c r="I2250" s="101" t="n"/>
      <c r="J2250" s="102" t="n"/>
    </row>
    <row r="2251" ht="15.75" customHeight="1" s="84">
      <c r="A2251" s="80" t="inlineStr">
        <is>
          <t>Enrolled</t>
        </is>
      </c>
      <c r="B2251" s="103">
        <f>IF(A2245="","",COUNTIF(admissions!$M:$M,batches!A376))</f>
        <v/>
      </c>
      <c r="C2251" s="101" t="n"/>
      <c r="D2251" s="102" t="n"/>
      <c r="G2251" s="80" t="inlineStr">
        <is>
          <t>Enrolled</t>
        </is>
      </c>
      <c r="H2251" s="103">
        <f>IF(G2245="","",COUNTIF(admissions!$M:$M,batches!A377))</f>
        <v/>
      </c>
      <c r="I2251" s="101" t="n"/>
      <c r="J2251" s="102" t="n"/>
    </row>
    <row r="2252" ht="15.75" customHeight="1" s="84">
      <c r="A2252" s="80" t="inlineStr">
        <is>
          <t>Available</t>
        </is>
      </c>
      <c r="B2252" s="103">
        <f>IF(OR(batches!A376="",batches!G376=""),"",batches!G376-COUNTIF(admissions!$M:$M,batches!A376))</f>
        <v/>
      </c>
      <c r="C2252" s="101" t="n"/>
      <c r="D2252" s="102" t="n"/>
      <c r="G2252" s="80" t="inlineStr">
        <is>
          <t>Available</t>
        </is>
      </c>
      <c r="H2252" s="103">
        <f>IF(OR(batches!A377="",batches!G377=""),"",batches!G377-COUNTIF(admissions!$M:$M,batches!A377))</f>
        <v/>
      </c>
      <c r="I2252" s="101" t="n"/>
      <c r="J2252" s="102" t="n"/>
    </row>
    <row r="2253" ht="15.75" customHeight="1" s="84">
      <c r="A2253" s="104" t="inlineStr">
        <is>
          <t>Student List</t>
        </is>
      </c>
      <c r="B2253" s="101" t="n"/>
      <c r="C2253" s="101" t="n"/>
      <c r="D2253" s="102" t="n"/>
      <c r="G2253" s="104" t="inlineStr">
        <is>
          <t>Student List</t>
        </is>
      </c>
      <c r="H2253" s="101" t="n"/>
      <c r="I2253" s="101" t="n"/>
      <c r="J2253" s="102" t="n"/>
    </row>
    <row r="2254" ht="15.75" customHeight="1" s="84">
      <c r="A2254" s="105">
        <f>IFERROR(__xludf.DUMMYFUNCTION("IF(batches!A376="""","""",TEXTJOIN(CHAR(10),TRUE,FILTER(admissions!$G$2:$G$78,admissions!$M$2:$M$78=batches!A376,"""")))"),"")</f>
        <v/>
      </c>
      <c r="B2254" s="101" t="n"/>
      <c r="C2254" s="101" t="n"/>
      <c r="D2254" s="102" t="n"/>
      <c r="G2254" s="105">
        <f>IFERROR(__xludf.DUMMYFUNCTION("IF(batches!A377="""","""",TEXTJOIN(CHAR(10),TRUE,FILTER(admissions!$G$2:$G$78,admissions!$M$2:$M$78=batches!A377,"""")))"),"")</f>
        <v/>
      </c>
      <c r="H2254" s="101" t="n"/>
      <c r="I2254" s="101" t="n"/>
      <c r="J2254" s="102" t="n"/>
    </row>
    <row r="2255" ht="15.75" customHeight="1" s="84"/>
    <row r="2256" ht="15.75" customHeight="1" s="84"/>
    <row r="2257" ht="15.75" customHeight="1" s="84">
      <c r="A2257" s="100">
        <f>IF(batches!A378="","",batches!A378)</f>
        <v/>
      </c>
      <c r="B2257" s="101" t="n"/>
      <c r="C2257" s="101" t="n"/>
      <c r="D2257" s="102" t="n"/>
      <c r="G2257" s="100">
        <f>IF(batches!A379="","",batches!A379)</f>
        <v/>
      </c>
      <c r="H2257" s="101" t="n"/>
      <c r="I2257" s="101" t="n"/>
      <c r="J2257" s="102" t="n"/>
    </row>
    <row r="2258" ht="15.75" customHeight="1" s="84">
      <c r="A2258" s="80" t="inlineStr">
        <is>
          <t>Level / Mode</t>
        </is>
      </c>
      <c r="B2258" s="103">
        <f>IF(A2257="","",batches!B378&amp;" / "&amp;batches!C378)</f>
        <v/>
      </c>
      <c r="C2258" s="101" t="n"/>
      <c r="D2258" s="102" t="n"/>
      <c r="G2258" s="80" t="inlineStr">
        <is>
          <t>Level / Mode</t>
        </is>
      </c>
      <c r="H2258" s="103">
        <f>IF(G2257="","",batches!B379&amp;" / "&amp;batches!C379)</f>
        <v/>
      </c>
      <c r="I2258" s="101" t="n"/>
      <c r="J2258" s="102" t="n"/>
    </row>
    <row r="2259" ht="15.75" customHeight="1" s="84">
      <c r="A2259" s="80" t="inlineStr">
        <is>
          <t>Dates</t>
        </is>
      </c>
      <c r="B2259" s="103">
        <f>IF(A2257="","",TEXT(batches!D378,"yyyy-mm-dd")&amp;" to "&amp;TEXT(batches!E378,"yyyy-mm-dd"))</f>
        <v/>
      </c>
      <c r="C2259" s="101" t="n"/>
      <c r="D2259" s="102" t="n"/>
      <c r="G2259" s="80" t="inlineStr">
        <is>
          <t>Dates</t>
        </is>
      </c>
      <c r="H2259" s="103">
        <f>IF(G2257="","",TEXT(batches!D379,"yyyy-mm-dd")&amp;" to "&amp;TEXT(batches!E379,"yyyy-mm-dd"))</f>
        <v/>
      </c>
      <c r="I2259" s="101" t="n"/>
      <c r="J2259" s="102" t="n"/>
    </row>
    <row r="2260" ht="15.75" customHeight="1" s="84">
      <c r="A2260" s="80" t="inlineStr">
        <is>
          <t>Duration</t>
        </is>
      </c>
      <c r="B2260" s="103">
        <f>IF(OR(batches!D378="",batches!E378=""),"",batches!E378-batches!D378+1&amp;" days")</f>
        <v/>
      </c>
      <c r="C2260" s="101" t="n"/>
      <c r="D2260" s="102" t="n"/>
      <c r="G2260" s="80" t="inlineStr">
        <is>
          <t>Duration</t>
        </is>
      </c>
      <c r="H2260" s="103">
        <f>IF(OR(batches!D379="",batches!E379=""),"",batches!E379-batches!D379+1&amp;" days")</f>
        <v/>
      </c>
      <c r="I2260" s="101" t="n"/>
      <c r="J2260" s="102" t="n"/>
    </row>
    <row r="2261" ht="15.75" customHeight="1" s="84">
      <c r="A2261" s="80" t="inlineStr">
        <is>
          <t>Timing</t>
        </is>
      </c>
      <c r="B2261" s="103">
        <f>IF(A2257="","",batches!F378)</f>
        <v/>
      </c>
      <c r="C2261" s="101" t="n"/>
      <c r="D2261" s="102" t="n"/>
      <c r="G2261" s="80" t="inlineStr">
        <is>
          <t>Timing</t>
        </is>
      </c>
      <c r="H2261" s="103">
        <f>IF(G2257="","",batches!F379)</f>
        <v/>
      </c>
      <c r="I2261" s="101" t="n"/>
      <c r="J2261" s="102" t="n"/>
    </row>
    <row r="2262" ht="15.75" customHeight="1" s="84">
      <c r="A2262" s="80" t="inlineStr">
        <is>
          <t>Capacity</t>
        </is>
      </c>
      <c r="B2262" s="103">
        <f>IF(A2257="","",batches!G378)</f>
        <v/>
      </c>
      <c r="C2262" s="101" t="n"/>
      <c r="D2262" s="102" t="n"/>
      <c r="G2262" s="80" t="inlineStr">
        <is>
          <t>Capacity</t>
        </is>
      </c>
      <c r="H2262" s="103">
        <f>IF(G2257="","",batches!G379)</f>
        <v/>
      </c>
      <c r="I2262" s="101" t="n"/>
      <c r="J2262" s="102" t="n"/>
    </row>
    <row r="2263" ht="15.75" customHeight="1" s="84">
      <c r="A2263" s="80" t="inlineStr">
        <is>
          <t>Enrolled</t>
        </is>
      </c>
      <c r="B2263" s="103">
        <f>IF(A2257="","",COUNTIF(admissions!$M:$M,batches!A378))</f>
        <v/>
      </c>
      <c r="C2263" s="101" t="n"/>
      <c r="D2263" s="102" t="n"/>
      <c r="G2263" s="80" t="inlineStr">
        <is>
          <t>Enrolled</t>
        </is>
      </c>
      <c r="H2263" s="103">
        <f>IF(G2257="","",COUNTIF(admissions!$M:$M,batches!A379))</f>
        <v/>
      </c>
      <c r="I2263" s="101" t="n"/>
      <c r="J2263" s="102" t="n"/>
    </row>
    <row r="2264" ht="15.75" customHeight="1" s="84">
      <c r="A2264" s="80" t="inlineStr">
        <is>
          <t>Available</t>
        </is>
      </c>
      <c r="B2264" s="103">
        <f>IF(OR(batches!A378="",batches!G378=""),"",batches!G378-COUNTIF(admissions!$M:$M,batches!A378))</f>
        <v/>
      </c>
      <c r="C2264" s="101" t="n"/>
      <c r="D2264" s="102" t="n"/>
      <c r="G2264" s="80" t="inlineStr">
        <is>
          <t>Available</t>
        </is>
      </c>
      <c r="H2264" s="103">
        <f>IF(OR(batches!A379="",batches!G379=""),"",batches!G379-COUNTIF(admissions!$M:$M,batches!A379))</f>
        <v/>
      </c>
      <c r="I2264" s="101" t="n"/>
      <c r="J2264" s="102" t="n"/>
    </row>
    <row r="2265" ht="15.75" customHeight="1" s="84">
      <c r="A2265" s="104" t="inlineStr">
        <is>
          <t>Student List</t>
        </is>
      </c>
      <c r="B2265" s="101" t="n"/>
      <c r="C2265" s="101" t="n"/>
      <c r="D2265" s="102" t="n"/>
      <c r="G2265" s="104" t="inlineStr">
        <is>
          <t>Student List</t>
        </is>
      </c>
      <c r="H2265" s="101" t="n"/>
      <c r="I2265" s="101" t="n"/>
      <c r="J2265" s="102" t="n"/>
    </row>
    <row r="2266" ht="15.75" customHeight="1" s="84">
      <c r="A2266" s="105">
        <f>IFERROR(__xludf.DUMMYFUNCTION("IF(batches!A378="""","""",TEXTJOIN(CHAR(10),TRUE,FILTER(admissions!$G$2:$G$78,admissions!$M$2:$M$78=batches!A378,"""")))"),"")</f>
        <v/>
      </c>
      <c r="B2266" s="101" t="n"/>
      <c r="C2266" s="101" t="n"/>
      <c r="D2266" s="102" t="n"/>
      <c r="G2266" s="105">
        <f>IFERROR(__xludf.DUMMYFUNCTION("IF(batches!A379="""","""",TEXTJOIN(CHAR(10),TRUE,FILTER(admissions!$G$2:$G$78,admissions!$M$2:$M$78=batches!A379,"""")))"),"")</f>
        <v/>
      </c>
      <c r="H2266" s="101" t="n"/>
      <c r="I2266" s="101" t="n"/>
      <c r="J2266" s="102" t="n"/>
    </row>
    <row r="2267" ht="15.75" customHeight="1" s="84"/>
    <row r="2268" ht="15.75" customHeight="1" s="84"/>
    <row r="2269" ht="15.75" customHeight="1" s="84">
      <c r="A2269" s="100">
        <f>IF(batches!A380="","",batches!A380)</f>
        <v/>
      </c>
      <c r="B2269" s="101" t="n"/>
      <c r="C2269" s="101" t="n"/>
      <c r="D2269" s="102" t="n"/>
      <c r="G2269" s="100">
        <f>IF(batches!A381="","",batches!A381)</f>
        <v/>
      </c>
      <c r="H2269" s="101" t="n"/>
      <c r="I2269" s="101" t="n"/>
      <c r="J2269" s="102" t="n"/>
    </row>
    <row r="2270" ht="15.75" customHeight="1" s="84">
      <c r="A2270" s="80" t="inlineStr">
        <is>
          <t>Level / Mode</t>
        </is>
      </c>
      <c r="B2270" s="103">
        <f>IF(A2269="","",batches!B380&amp;" / "&amp;batches!C380)</f>
        <v/>
      </c>
      <c r="C2270" s="101" t="n"/>
      <c r="D2270" s="102" t="n"/>
      <c r="G2270" s="80" t="inlineStr">
        <is>
          <t>Level / Mode</t>
        </is>
      </c>
      <c r="H2270" s="103">
        <f>IF(G2269="","",batches!B381&amp;" / "&amp;batches!C381)</f>
        <v/>
      </c>
      <c r="I2270" s="101" t="n"/>
      <c r="J2270" s="102" t="n"/>
    </row>
    <row r="2271" ht="15.75" customHeight="1" s="84">
      <c r="A2271" s="80" t="inlineStr">
        <is>
          <t>Dates</t>
        </is>
      </c>
      <c r="B2271" s="103">
        <f>IF(A2269="","",TEXT(batches!D380,"yyyy-mm-dd")&amp;" to "&amp;TEXT(batches!E380,"yyyy-mm-dd"))</f>
        <v/>
      </c>
      <c r="C2271" s="101" t="n"/>
      <c r="D2271" s="102" t="n"/>
      <c r="G2271" s="80" t="inlineStr">
        <is>
          <t>Dates</t>
        </is>
      </c>
      <c r="H2271" s="103">
        <f>IF(G2269="","",TEXT(batches!D381,"yyyy-mm-dd")&amp;" to "&amp;TEXT(batches!E381,"yyyy-mm-dd"))</f>
        <v/>
      </c>
      <c r="I2271" s="101" t="n"/>
      <c r="J2271" s="102" t="n"/>
    </row>
    <row r="2272" ht="15.75" customHeight="1" s="84">
      <c r="A2272" s="80" t="inlineStr">
        <is>
          <t>Duration</t>
        </is>
      </c>
      <c r="B2272" s="103">
        <f>IF(OR(batches!D380="",batches!E380=""),"",batches!E380-batches!D380+1&amp;" days")</f>
        <v/>
      </c>
      <c r="C2272" s="101" t="n"/>
      <c r="D2272" s="102" t="n"/>
      <c r="G2272" s="80" t="inlineStr">
        <is>
          <t>Duration</t>
        </is>
      </c>
      <c r="H2272" s="103">
        <f>IF(OR(batches!D381="",batches!E381=""),"",batches!E381-batches!D381+1&amp;" days")</f>
        <v/>
      </c>
      <c r="I2272" s="101" t="n"/>
      <c r="J2272" s="102" t="n"/>
    </row>
    <row r="2273" ht="15.75" customHeight="1" s="84">
      <c r="A2273" s="80" t="inlineStr">
        <is>
          <t>Timing</t>
        </is>
      </c>
      <c r="B2273" s="103">
        <f>IF(A2269="","",batches!F380)</f>
        <v/>
      </c>
      <c r="C2273" s="101" t="n"/>
      <c r="D2273" s="102" t="n"/>
      <c r="G2273" s="80" t="inlineStr">
        <is>
          <t>Timing</t>
        </is>
      </c>
      <c r="H2273" s="103">
        <f>IF(G2269="","",batches!F381)</f>
        <v/>
      </c>
      <c r="I2273" s="101" t="n"/>
      <c r="J2273" s="102" t="n"/>
    </row>
    <row r="2274" ht="15.75" customHeight="1" s="84">
      <c r="A2274" s="80" t="inlineStr">
        <is>
          <t>Capacity</t>
        </is>
      </c>
      <c r="B2274" s="103">
        <f>IF(A2269="","",batches!G380)</f>
        <v/>
      </c>
      <c r="C2274" s="101" t="n"/>
      <c r="D2274" s="102" t="n"/>
      <c r="G2274" s="80" t="inlineStr">
        <is>
          <t>Capacity</t>
        </is>
      </c>
      <c r="H2274" s="103">
        <f>IF(G2269="","",batches!G381)</f>
        <v/>
      </c>
      <c r="I2274" s="101" t="n"/>
      <c r="J2274" s="102" t="n"/>
    </row>
    <row r="2275" ht="15.75" customHeight="1" s="84">
      <c r="A2275" s="80" t="inlineStr">
        <is>
          <t>Enrolled</t>
        </is>
      </c>
      <c r="B2275" s="103">
        <f>IF(A2269="","",COUNTIF(admissions!$M:$M,batches!A380))</f>
        <v/>
      </c>
      <c r="C2275" s="101" t="n"/>
      <c r="D2275" s="102" t="n"/>
      <c r="G2275" s="80" t="inlineStr">
        <is>
          <t>Enrolled</t>
        </is>
      </c>
      <c r="H2275" s="103">
        <f>IF(G2269="","",COUNTIF(admissions!$M:$M,batches!A381))</f>
        <v/>
      </c>
      <c r="I2275" s="101" t="n"/>
      <c r="J2275" s="102" t="n"/>
    </row>
    <row r="2276" ht="15.75" customHeight="1" s="84">
      <c r="A2276" s="80" t="inlineStr">
        <is>
          <t>Available</t>
        </is>
      </c>
      <c r="B2276" s="103">
        <f>IF(OR(batches!A380="",batches!G380=""),"",batches!G380-COUNTIF(admissions!$M:$M,batches!A380))</f>
        <v/>
      </c>
      <c r="C2276" s="101" t="n"/>
      <c r="D2276" s="102" t="n"/>
      <c r="G2276" s="80" t="inlineStr">
        <is>
          <t>Available</t>
        </is>
      </c>
      <c r="H2276" s="103">
        <f>IF(OR(batches!A381="",batches!G381=""),"",batches!G381-COUNTIF(admissions!$M:$M,batches!A381))</f>
        <v/>
      </c>
      <c r="I2276" s="101" t="n"/>
      <c r="J2276" s="102" t="n"/>
    </row>
    <row r="2277" ht="15.75" customHeight="1" s="84">
      <c r="A2277" s="104" t="inlineStr">
        <is>
          <t>Student List</t>
        </is>
      </c>
      <c r="B2277" s="101" t="n"/>
      <c r="C2277" s="101" t="n"/>
      <c r="D2277" s="102" t="n"/>
      <c r="G2277" s="104" t="inlineStr">
        <is>
          <t>Student List</t>
        </is>
      </c>
      <c r="H2277" s="101" t="n"/>
      <c r="I2277" s="101" t="n"/>
      <c r="J2277" s="102" t="n"/>
    </row>
    <row r="2278" ht="15.75" customHeight="1" s="84">
      <c r="A2278" s="105">
        <f>IFERROR(__xludf.DUMMYFUNCTION("IF(batches!A380="""","""",TEXTJOIN(CHAR(10),TRUE,FILTER(admissions!$G$2:$G$78,admissions!$M$2:$M$78=batches!A380,"""")))"),"")</f>
        <v/>
      </c>
      <c r="B2278" s="101" t="n"/>
      <c r="C2278" s="101" t="n"/>
      <c r="D2278" s="102" t="n"/>
      <c r="G2278" s="105">
        <f>IFERROR(__xludf.DUMMYFUNCTION("IF(batches!A381="""","""",TEXTJOIN(CHAR(10),TRUE,FILTER(admissions!$G$2:$G$78,admissions!$M$2:$M$78=batches!A381,"""")))"),"")</f>
        <v/>
      </c>
      <c r="H2278" s="101" t="n"/>
      <c r="I2278" s="101" t="n"/>
      <c r="J2278" s="102" t="n"/>
    </row>
    <row r="2279" ht="15.75" customHeight="1" s="84"/>
    <row r="2280" ht="15.75" customHeight="1" s="84"/>
    <row r="2281" ht="15.75" customHeight="1" s="84">
      <c r="A2281" s="100">
        <f>IF(batches!A382="","",batches!A382)</f>
        <v/>
      </c>
      <c r="B2281" s="101" t="n"/>
      <c r="C2281" s="101" t="n"/>
      <c r="D2281" s="102" t="n"/>
      <c r="G2281" s="100">
        <f>IF(batches!A383="","",batches!A383)</f>
        <v/>
      </c>
      <c r="H2281" s="101" t="n"/>
      <c r="I2281" s="101" t="n"/>
      <c r="J2281" s="102" t="n"/>
    </row>
    <row r="2282" ht="15.75" customHeight="1" s="84">
      <c r="A2282" s="80" t="inlineStr">
        <is>
          <t>Level / Mode</t>
        </is>
      </c>
      <c r="B2282" s="103">
        <f>IF(A2281="","",batches!B382&amp;" / "&amp;batches!C382)</f>
        <v/>
      </c>
      <c r="C2282" s="101" t="n"/>
      <c r="D2282" s="102" t="n"/>
      <c r="G2282" s="80" t="inlineStr">
        <is>
          <t>Level / Mode</t>
        </is>
      </c>
      <c r="H2282" s="103">
        <f>IF(G2281="","",batches!B383&amp;" / "&amp;batches!C383)</f>
        <v/>
      </c>
      <c r="I2282" s="101" t="n"/>
      <c r="J2282" s="102" t="n"/>
    </row>
    <row r="2283" ht="15.75" customHeight="1" s="84">
      <c r="A2283" s="80" t="inlineStr">
        <is>
          <t>Dates</t>
        </is>
      </c>
      <c r="B2283" s="103">
        <f>IF(A2281="","",TEXT(batches!D382,"yyyy-mm-dd")&amp;" to "&amp;TEXT(batches!E382,"yyyy-mm-dd"))</f>
        <v/>
      </c>
      <c r="C2283" s="101" t="n"/>
      <c r="D2283" s="102" t="n"/>
      <c r="G2283" s="80" t="inlineStr">
        <is>
          <t>Dates</t>
        </is>
      </c>
      <c r="H2283" s="103">
        <f>IF(G2281="","",TEXT(batches!D383,"yyyy-mm-dd")&amp;" to "&amp;TEXT(batches!E383,"yyyy-mm-dd"))</f>
        <v/>
      </c>
      <c r="I2283" s="101" t="n"/>
      <c r="J2283" s="102" t="n"/>
    </row>
    <row r="2284" ht="15.75" customHeight="1" s="84">
      <c r="A2284" s="80" t="inlineStr">
        <is>
          <t>Duration</t>
        </is>
      </c>
      <c r="B2284" s="103">
        <f>IF(OR(batches!D382="",batches!E382=""),"",batches!E382-batches!D382+1&amp;" days")</f>
        <v/>
      </c>
      <c r="C2284" s="101" t="n"/>
      <c r="D2284" s="102" t="n"/>
      <c r="G2284" s="80" t="inlineStr">
        <is>
          <t>Duration</t>
        </is>
      </c>
      <c r="H2284" s="103">
        <f>IF(OR(batches!D383="",batches!E383=""),"",batches!E383-batches!D383+1&amp;" days")</f>
        <v/>
      </c>
      <c r="I2284" s="101" t="n"/>
      <c r="J2284" s="102" t="n"/>
    </row>
    <row r="2285" ht="15.75" customHeight="1" s="84">
      <c r="A2285" s="80" t="inlineStr">
        <is>
          <t>Timing</t>
        </is>
      </c>
      <c r="B2285" s="103">
        <f>IF(A2281="","",batches!F382)</f>
        <v/>
      </c>
      <c r="C2285" s="101" t="n"/>
      <c r="D2285" s="102" t="n"/>
      <c r="G2285" s="80" t="inlineStr">
        <is>
          <t>Timing</t>
        </is>
      </c>
      <c r="H2285" s="103">
        <f>IF(G2281="","",batches!F383)</f>
        <v/>
      </c>
      <c r="I2285" s="101" t="n"/>
      <c r="J2285" s="102" t="n"/>
    </row>
    <row r="2286" ht="15.75" customHeight="1" s="84">
      <c r="A2286" s="80" t="inlineStr">
        <is>
          <t>Capacity</t>
        </is>
      </c>
      <c r="B2286" s="103">
        <f>IF(A2281="","",batches!G382)</f>
        <v/>
      </c>
      <c r="C2286" s="101" t="n"/>
      <c r="D2286" s="102" t="n"/>
      <c r="G2286" s="80" t="inlineStr">
        <is>
          <t>Capacity</t>
        </is>
      </c>
      <c r="H2286" s="103">
        <f>IF(G2281="","",batches!G383)</f>
        <v/>
      </c>
      <c r="I2286" s="101" t="n"/>
      <c r="J2286" s="102" t="n"/>
    </row>
    <row r="2287" ht="15.75" customHeight="1" s="84">
      <c r="A2287" s="80" t="inlineStr">
        <is>
          <t>Enrolled</t>
        </is>
      </c>
      <c r="B2287" s="103">
        <f>IF(A2281="","",COUNTIF(admissions!$M:$M,batches!A382))</f>
        <v/>
      </c>
      <c r="C2287" s="101" t="n"/>
      <c r="D2287" s="102" t="n"/>
      <c r="G2287" s="80" t="inlineStr">
        <is>
          <t>Enrolled</t>
        </is>
      </c>
      <c r="H2287" s="103">
        <f>IF(G2281="","",COUNTIF(admissions!$M:$M,batches!A383))</f>
        <v/>
      </c>
      <c r="I2287" s="101" t="n"/>
      <c r="J2287" s="102" t="n"/>
    </row>
    <row r="2288" ht="15.75" customHeight="1" s="84">
      <c r="A2288" s="80" t="inlineStr">
        <is>
          <t>Available</t>
        </is>
      </c>
      <c r="B2288" s="103">
        <f>IF(OR(batches!A382="",batches!G382=""),"",batches!G382-COUNTIF(admissions!$M:$M,batches!A382))</f>
        <v/>
      </c>
      <c r="C2288" s="101" t="n"/>
      <c r="D2288" s="102" t="n"/>
      <c r="G2288" s="80" t="inlineStr">
        <is>
          <t>Available</t>
        </is>
      </c>
      <c r="H2288" s="103">
        <f>IF(OR(batches!A383="",batches!G383=""),"",batches!G383-COUNTIF(admissions!$M:$M,batches!A383))</f>
        <v/>
      </c>
      <c r="I2288" s="101" t="n"/>
      <c r="J2288" s="102" t="n"/>
    </row>
    <row r="2289" ht="15.75" customHeight="1" s="84">
      <c r="A2289" s="104" t="inlineStr">
        <is>
          <t>Student List</t>
        </is>
      </c>
      <c r="B2289" s="101" t="n"/>
      <c r="C2289" s="101" t="n"/>
      <c r="D2289" s="102" t="n"/>
      <c r="G2289" s="104" t="inlineStr">
        <is>
          <t>Student List</t>
        </is>
      </c>
      <c r="H2289" s="101" t="n"/>
      <c r="I2289" s="101" t="n"/>
      <c r="J2289" s="102" t="n"/>
    </row>
    <row r="2290" ht="15.75" customHeight="1" s="84">
      <c r="A2290" s="105">
        <f>IFERROR(__xludf.DUMMYFUNCTION("IF(batches!A382="""","""",TEXTJOIN(CHAR(10),TRUE,FILTER(admissions!$G$2:$G$78,admissions!$M$2:$M$78=batches!A382,"""")))"),"")</f>
        <v/>
      </c>
      <c r="B2290" s="101" t="n"/>
      <c r="C2290" s="101" t="n"/>
      <c r="D2290" s="102" t="n"/>
      <c r="G2290" s="105">
        <f>IFERROR(__xludf.DUMMYFUNCTION("IF(batches!A383="""","""",TEXTJOIN(CHAR(10),TRUE,FILTER(admissions!$G$2:$G$78,admissions!$M$2:$M$78=batches!A383,"""")))"),"")</f>
        <v/>
      </c>
      <c r="H2290" s="101" t="n"/>
      <c r="I2290" s="101" t="n"/>
      <c r="J2290" s="102" t="n"/>
    </row>
    <row r="2291" ht="15.75" customHeight="1" s="84"/>
    <row r="2292" ht="15.75" customHeight="1" s="84"/>
    <row r="2293" ht="15.75" customHeight="1" s="84">
      <c r="A2293" s="100">
        <f>IF(batches!A384="","",batches!A384)</f>
        <v/>
      </c>
      <c r="B2293" s="101" t="n"/>
      <c r="C2293" s="101" t="n"/>
      <c r="D2293" s="102" t="n"/>
      <c r="G2293" s="100">
        <f>IF(batches!A385="","",batches!A385)</f>
        <v/>
      </c>
      <c r="H2293" s="101" t="n"/>
      <c r="I2293" s="101" t="n"/>
      <c r="J2293" s="102" t="n"/>
    </row>
    <row r="2294" ht="15.75" customHeight="1" s="84">
      <c r="A2294" s="80" t="inlineStr">
        <is>
          <t>Level / Mode</t>
        </is>
      </c>
      <c r="B2294" s="103">
        <f>IF(A2293="","",batches!B384&amp;" / "&amp;batches!C384)</f>
        <v/>
      </c>
      <c r="C2294" s="101" t="n"/>
      <c r="D2294" s="102" t="n"/>
      <c r="G2294" s="80" t="inlineStr">
        <is>
          <t>Level / Mode</t>
        </is>
      </c>
      <c r="H2294" s="103">
        <f>IF(G2293="","",batches!B385&amp;" / "&amp;batches!C385)</f>
        <v/>
      </c>
      <c r="I2294" s="101" t="n"/>
      <c r="J2294" s="102" t="n"/>
    </row>
    <row r="2295" ht="15.75" customHeight="1" s="84">
      <c r="A2295" s="80" t="inlineStr">
        <is>
          <t>Dates</t>
        </is>
      </c>
      <c r="B2295" s="103">
        <f>IF(A2293="","",TEXT(batches!D384,"yyyy-mm-dd")&amp;" to "&amp;TEXT(batches!E384,"yyyy-mm-dd"))</f>
        <v/>
      </c>
      <c r="C2295" s="101" t="n"/>
      <c r="D2295" s="102" t="n"/>
      <c r="G2295" s="80" t="inlineStr">
        <is>
          <t>Dates</t>
        </is>
      </c>
      <c r="H2295" s="103">
        <f>IF(G2293="","",TEXT(batches!D385,"yyyy-mm-dd")&amp;" to "&amp;TEXT(batches!E385,"yyyy-mm-dd"))</f>
        <v/>
      </c>
      <c r="I2295" s="101" t="n"/>
      <c r="J2295" s="102" t="n"/>
    </row>
    <row r="2296" ht="15.75" customHeight="1" s="84">
      <c r="A2296" s="80" t="inlineStr">
        <is>
          <t>Duration</t>
        </is>
      </c>
      <c r="B2296" s="103">
        <f>IF(OR(batches!D384="",batches!E384=""),"",batches!E384-batches!D384+1&amp;" days")</f>
        <v/>
      </c>
      <c r="C2296" s="101" t="n"/>
      <c r="D2296" s="102" t="n"/>
      <c r="G2296" s="80" t="inlineStr">
        <is>
          <t>Duration</t>
        </is>
      </c>
      <c r="H2296" s="103">
        <f>IF(OR(batches!D385="",batches!E385=""),"",batches!E385-batches!D385+1&amp;" days")</f>
        <v/>
      </c>
      <c r="I2296" s="101" t="n"/>
      <c r="J2296" s="102" t="n"/>
    </row>
    <row r="2297" ht="15.75" customHeight="1" s="84">
      <c r="A2297" s="80" t="inlineStr">
        <is>
          <t>Timing</t>
        </is>
      </c>
      <c r="B2297" s="103">
        <f>IF(A2293="","",batches!F384)</f>
        <v/>
      </c>
      <c r="C2297" s="101" t="n"/>
      <c r="D2297" s="102" t="n"/>
      <c r="G2297" s="80" t="inlineStr">
        <is>
          <t>Timing</t>
        </is>
      </c>
      <c r="H2297" s="103">
        <f>IF(G2293="","",batches!F385)</f>
        <v/>
      </c>
      <c r="I2297" s="101" t="n"/>
      <c r="J2297" s="102" t="n"/>
    </row>
    <row r="2298" ht="15.75" customHeight="1" s="84">
      <c r="A2298" s="80" t="inlineStr">
        <is>
          <t>Capacity</t>
        </is>
      </c>
      <c r="B2298" s="103">
        <f>IF(A2293="","",batches!G384)</f>
        <v/>
      </c>
      <c r="C2298" s="101" t="n"/>
      <c r="D2298" s="102" t="n"/>
      <c r="G2298" s="80" t="inlineStr">
        <is>
          <t>Capacity</t>
        </is>
      </c>
      <c r="H2298" s="103">
        <f>IF(G2293="","",batches!G385)</f>
        <v/>
      </c>
      <c r="I2298" s="101" t="n"/>
      <c r="J2298" s="102" t="n"/>
    </row>
    <row r="2299" ht="15.75" customHeight="1" s="84">
      <c r="A2299" s="80" t="inlineStr">
        <is>
          <t>Enrolled</t>
        </is>
      </c>
      <c r="B2299" s="103">
        <f>IF(A2293="","",COUNTIF(admissions!$M:$M,batches!A384))</f>
        <v/>
      </c>
      <c r="C2299" s="101" t="n"/>
      <c r="D2299" s="102" t="n"/>
      <c r="G2299" s="80" t="inlineStr">
        <is>
          <t>Enrolled</t>
        </is>
      </c>
      <c r="H2299" s="103">
        <f>IF(G2293="","",COUNTIF(admissions!$M:$M,batches!A385))</f>
        <v/>
      </c>
      <c r="I2299" s="101" t="n"/>
      <c r="J2299" s="102" t="n"/>
    </row>
    <row r="2300" ht="15.75" customHeight="1" s="84">
      <c r="A2300" s="80" t="inlineStr">
        <is>
          <t>Available</t>
        </is>
      </c>
      <c r="B2300" s="103">
        <f>IF(OR(batches!A384="",batches!G384=""),"",batches!G384-COUNTIF(admissions!$M:$M,batches!A384))</f>
        <v/>
      </c>
      <c r="C2300" s="101" t="n"/>
      <c r="D2300" s="102" t="n"/>
      <c r="G2300" s="80" t="inlineStr">
        <is>
          <t>Available</t>
        </is>
      </c>
      <c r="H2300" s="103">
        <f>IF(OR(batches!A385="",batches!G385=""),"",batches!G385-COUNTIF(admissions!$M:$M,batches!A385))</f>
        <v/>
      </c>
      <c r="I2300" s="101" t="n"/>
      <c r="J2300" s="102" t="n"/>
    </row>
    <row r="2301" ht="15.75" customHeight="1" s="84">
      <c r="A2301" s="104" t="inlineStr">
        <is>
          <t>Student List</t>
        </is>
      </c>
      <c r="B2301" s="101" t="n"/>
      <c r="C2301" s="101" t="n"/>
      <c r="D2301" s="102" t="n"/>
      <c r="G2301" s="104" t="inlineStr">
        <is>
          <t>Student List</t>
        </is>
      </c>
      <c r="H2301" s="101" t="n"/>
      <c r="I2301" s="101" t="n"/>
      <c r="J2301" s="102" t="n"/>
    </row>
    <row r="2302" ht="15.75" customHeight="1" s="84">
      <c r="A2302" s="105">
        <f>IFERROR(__xludf.DUMMYFUNCTION("IF(batches!A384="""","""",TEXTJOIN(CHAR(10),TRUE,FILTER(admissions!$G$2:$G$78,admissions!$M$2:$M$78=batches!A384,"""")))"),"")</f>
        <v/>
      </c>
      <c r="B2302" s="101" t="n"/>
      <c r="C2302" s="101" t="n"/>
      <c r="D2302" s="102" t="n"/>
      <c r="G2302" s="105">
        <f>IFERROR(__xludf.DUMMYFUNCTION("IF(batches!A385="""","""",TEXTJOIN(CHAR(10),TRUE,FILTER(admissions!$G$2:$G$78,admissions!$M$2:$M$78=batches!A385,"""")))"),"")</f>
        <v/>
      </c>
      <c r="H2302" s="101" t="n"/>
      <c r="I2302" s="101" t="n"/>
      <c r="J2302" s="102" t="n"/>
    </row>
    <row r="2303" ht="15.75" customHeight="1" s="84"/>
    <row r="2304" ht="15.75" customHeight="1" s="84"/>
    <row r="2305" ht="15.75" customHeight="1" s="84">
      <c r="A2305" s="100">
        <f>IF(batches!A386="","",batches!A386)</f>
        <v/>
      </c>
      <c r="B2305" s="101" t="n"/>
      <c r="C2305" s="101" t="n"/>
      <c r="D2305" s="102" t="n"/>
      <c r="G2305" s="100">
        <f>IF(batches!A387="","",batches!A387)</f>
        <v/>
      </c>
      <c r="H2305" s="101" t="n"/>
      <c r="I2305" s="101" t="n"/>
      <c r="J2305" s="102" t="n"/>
    </row>
    <row r="2306" ht="15.75" customHeight="1" s="84">
      <c r="A2306" s="80" t="inlineStr">
        <is>
          <t>Level / Mode</t>
        </is>
      </c>
      <c r="B2306" s="103">
        <f>IF(A2305="","",batches!B386&amp;" / "&amp;batches!C386)</f>
        <v/>
      </c>
      <c r="C2306" s="101" t="n"/>
      <c r="D2306" s="102" t="n"/>
      <c r="G2306" s="80" t="inlineStr">
        <is>
          <t>Level / Mode</t>
        </is>
      </c>
      <c r="H2306" s="103">
        <f>IF(G2305="","",batches!B387&amp;" / "&amp;batches!C387)</f>
        <v/>
      </c>
      <c r="I2306" s="101" t="n"/>
      <c r="J2306" s="102" t="n"/>
    </row>
    <row r="2307" ht="15.75" customHeight="1" s="84">
      <c r="A2307" s="80" t="inlineStr">
        <is>
          <t>Dates</t>
        </is>
      </c>
      <c r="B2307" s="103">
        <f>IF(A2305="","",TEXT(batches!D386,"yyyy-mm-dd")&amp;" to "&amp;TEXT(batches!E386,"yyyy-mm-dd"))</f>
        <v/>
      </c>
      <c r="C2307" s="101" t="n"/>
      <c r="D2307" s="102" t="n"/>
      <c r="G2307" s="80" t="inlineStr">
        <is>
          <t>Dates</t>
        </is>
      </c>
      <c r="H2307" s="103">
        <f>IF(G2305="","",TEXT(batches!D387,"yyyy-mm-dd")&amp;" to "&amp;TEXT(batches!E387,"yyyy-mm-dd"))</f>
        <v/>
      </c>
      <c r="I2307" s="101" t="n"/>
      <c r="J2307" s="102" t="n"/>
    </row>
    <row r="2308" ht="15.75" customHeight="1" s="84">
      <c r="A2308" s="80" t="inlineStr">
        <is>
          <t>Duration</t>
        </is>
      </c>
      <c r="B2308" s="103">
        <f>IF(OR(batches!D386="",batches!E386=""),"",batches!E386-batches!D386+1&amp;" days")</f>
        <v/>
      </c>
      <c r="C2308" s="101" t="n"/>
      <c r="D2308" s="102" t="n"/>
      <c r="G2308" s="80" t="inlineStr">
        <is>
          <t>Duration</t>
        </is>
      </c>
      <c r="H2308" s="103">
        <f>IF(OR(batches!D387="",batches!E387=""),"",batches!E387-batches!D387+1&amp;" days")</f>
        <v/>
      </c>
      <c r="I2308" s="101" t="n"/>
      <c r="J2308" s="102" t="n"/>
    </row>
    <row r="2309" ht="15.75" customHeight="1" s="84">
      <c r="A2309" s="80" t="inlineStr">
        <is>
          <t>Timing</t>
        </is>
      </c>
      <c r="B2309" s="103">
        <f>IF(A2305="","",batches!F386)</f>
        <v/>
      </c>
      <c r="C2309" s="101" t="n"/>
      <c r="D2309" s="102" t="n"/>
      <c r="G2309" s="80" t="inlineStr">
        <is>
          <t>Timing</t>
        </is>
      </c>
      <c r="H2309" s="103">
        <f>IF(G2305="","",batches!F387)</f>
        <v/>
      </c>
      <c r="I2309" s="101" t="n"/>
      <c r="J2309" s="102" t="n"/>
    </row>
    <row r="2310" ht="15.75" customHeight="1" s="84">
      <c r="A2310" s="80" t="inlineStr">
        <is>
          <t>Capacity</t>
        </is>
      </c>
      <c r="B2310" s="103">
        <f>IF(A2305="","",batches!G386)</f>
        <v/>
      </c>
      <c r="C2310" s="101" t="n"/>
      <c r="D2310" s="102" t="n"/>
      <c r="G2310" s="80" t="inlineStr">
        <is>
          <t>Capacity</t>
        </is>
      </c>
      <c r="H2310" s="103">
        <f>IF(G2305="","",batches!G387)</f>
        <v/>
      </c>
      <c r="I2310" s="101" t="n"/>
      <c r="J2310" s="102" t="n"/>
    </row>
    <row r="2311" ht="15.75" customHeight="1" s="84">
      <c r="A2311" s="80" t="inlineStr">
        <is>
          <t>Enrolled</t>
        </is>
      </c>
      <c r="B2311" s="103">
        <f>IF(A2305="","",COUNTIF(admissions!$M:$M,batches!A386))</f>
        <v/>
      </c>
      <c r="C2311" s="101" t="n"/>
      <c r="D2311" s="102" t="n"/>
      <c r="G2311" s="80" t="inlineStr">
        <is>
          <t>Enrolled</t>
        </is>
      </c>
      <c r="H2311" s="103">
        <f>IF(G2305="","",COUNTIF(admissions!$M:$M,batches!A387))</f>
        <v/>
      </c>
      <c r="I2311" s="101" t="n"/>
      <c r="J2311" s="102" t="n"/>
    </row>
    <row r="2312" ht="15.75" customHeight="1" s="84">
      <c r="A2312" s="80" t="inlineStr">
        <is>
          <t>Available</t>
        </is>
      </c>
      <c r="B2312" s="103">
        <f>IF(OR(batches!A386="",batches!G386=""),"",batches!G386-COUNTIF(admissions!$M:$M,batches!A386))</f>
        <v/>
      </c>
      <c r="C2312" s="101" t="n"/>
      <c r="D2312" s="102" t="n"/>
      <c r="G2312" s="80" t="inlineStr">
        <is>
          <t>Available</t>
        </is>
      </c>
      <c r="H2312" s="103">
        <f>IF(OR(batches!A387="",batches!G387=""),"",batches!G387-COUNTIF(admissions!$M:$M,batches!A387))</f>
        <v/>
      </c>
      <c r="I2312" s="101" t="n"/>
      <c r="J2312" s="102" t="n"/>
    </row>
    <row r="2313" ht="15.75" customHeight="1" s="84">
      <c r="A2313" s="104" t="inlineStr">
        <is>
          <t>Student List</t>
        </is>
      </c>
      <c r="B2313" s="101" t="n"/>
      <c r="C2313" s="101" t="n"/>
      <c r="D2313" s="102" t="n"/>
      <c r="G2313" s="104" t="inlineStr">
        <is>
          <t>Student List</t>
        </is>
      </c>
      <c r="H2313" s="101" t="n"/>
      <c r="I2313" s="101" t="n"/>
      <c r="J2313" s="102" t="n"/>
    </row>
    <row r="2314" ht="15.75" customHeight="1" s="84">
      <c r="A2314" s="105">
        <f>IFERROR(__xludf.DUMMYFUNCTION("IF(batches!A386="""","""",TEXTJOIN(CHAR(10),TRUE,FILTER(admissions!$G$2:$G$78,admissions!$M$2:$M$78=batches!A386,"""")))"),"")</f>
        <v/>
      </c>
      <c r="B2314" s="101" t="n"/>
      <c r="C2314" s="101" t="n"/>
      <c r="D2314" s="102" t="n"/>
      <c r="G2314" s="105">
        <f>IFERROR(__xludf.DUMMYFUNCTION("IF(batches!A387="""","""",TEXTJOIN(CHAR(10),TRUE,FILTER(admissions!$G$2:$G$78,admissions!$M$2:$M$78=batches!A387,"""")))"),"")</f>
        <v/>
      </c>
      <c r="H2314" s="101" t="n"/>
      <c r="I2314" s="101" t="n"/>
      <c r="J2314" s="102" t="n"/>
    </row>
    <row r="2315" ht="15.75" customHeight="1" s="84"/>
    <row r="2316" ht="15.75" customHeight="1" s="84"/>
    <row r="2317" ht="15.75" customHeight="1" s="84">
      <c r="A2317" s="100">
        <f>IF(batches!A388="","",batches!A388)</f>
        <v/>
      </c>
      <c r="B2317" s="101" t="n"/>
      <c r="C2317" s="101" t="n"/>
      <c r="D2317" s="102" t="n"/>
      <c r="G2317" s="100">
        <f>IF(batches!A389="","",batches!A389)</f>
        <v/>
      </c>
      <c r="H2317" s="101" t="n"/>
      <c r="I2317" s="101" t="n"/>
      <c r="J2317" s="102" t="n"/>
    </row>
    <row r="2318" ht="15.75" customHeight="1" s="84">
      <c r="A2318" s="80" t="inlineStr">
        <is>
          <t>Level / Mode</t>
        </is>
      </c>
      <c r="B2318" s="103">
        <f>IF(A2317="","",batches!B388&amp;" / "&amp;batches!C388)</f>
        <v/>
      </c>
      <c r="C2318" s="101" t="n"/>
      <c r="D2318" s="102" t="n"/>
      <c r="G2318" s="80" t="inlineStr">
        <is>
          <t>Level / Mode</t>
        </is>
      </c>
      <c r="H2318" s="103">
        <f>IF(G2317="","",batches!B389&amp;" / "&amp;batches!C389)</f>
        <v/>
      </c>
      <c r="I2318" s="101" t="n"/>
      <c r="J2318" s="102" t="n"/>
    </row>
    <row r="2319" ht="15.75" customHeight="1" s="84">
      <c r="A2319" s="80" t="inlineStr">
        <is>
          <t>Dates</t>
        </is>
      </c>
      <c r="B2319" s="103">
        <f>IF(A2317="","",TEXT(batches!D388,"yyyy-mm-dd")&amp;" to "&amp;TEXT(batches!E388,"yyyy-mm-dd"))</f>
        <v/>
      </c>
      <c r="C2319" s="101" t="n"/>
      <c r="D2319" s="102" t="n"/>
      <c r="G2319" s="80" t="inlineStr">
        <is>
          <t>Dates</t>
        </is>
      </c>
      <c r="H2319" s="103">
        <f>IF(G2317="","",TEXT(batches!D389,"yyyy-mm-dd")&amp;" to "&amp;TEXT(batches!E389,"yyyy-mm-dd"))</f>
        <v/>
      </c>
      <c r="I2319" s="101" t="n"/>
      <c r="J2319" s="102" t="n"/>
    </row>
    <row r="2320" ht="15.75" customHeight="1" s="84">
      <c r="A2320" s="80" t="inlineStr">
        <is>
          <t>Duration</t>
        </is>
      </c>
      <c r="B2320" s="103">
        <f>IF(OR(batches!D388="",batches!E388=""),"",batches!E388-batches!D388+1&amp;" days")</f>
        <v/>
      </c>
      <c r="C2320" s="101" t="n"/>
      <c r="D2320" s="102" t="n"/>
      <c r="G2320" s="80" t="inlineStr">
        <is>
          <t>Duration</t>
        </is>
      </c>
      <c r="H2320" s="103">
        <f>IF(OR(batches!D389="",batches!E389=""),"",batches!E389-batches!D389+1&amp;" days")</f>
        <v/>
      </c>
      <c r="I2320" s="101" t="n"/>
      <c r="J2320" s="102" t="n"/>
    </row>
    <row r="2321" ht="15.75" customHeight="1" s="84">
      <c r="A2321" s="80" t="inlineStr">
        <is>
          <t>Timing</t>
        </is>
      </c>
      <c r="B2321" s="103">
        <f>IF(A2317="","",batches!F388)</f>
        <v/>
      </c>
      <c r="C2321" s="101" t="n"/>
      <c r="D2321" s="102" t="n"/>
      <c r="G2321" s="80" t="inlineStr">
        <is>
          <t>Timing</t>
        </is>
      </c>
      <c r="H2321" s="103">
        <f>IF(G2317="","",batches!F389)</f>
        <v/>
      </c>
      <c r="I2321" s="101" t="n"/>
      <c r="J2321" s="102" t="n"/>
    </row>
    <row r="2322" ht="15.75" customHeight="1" s="84">
      <c r="A2322" s="80" t="inlineStr">
        <is>
          <t>Capacity</t>
        </is>
      </c>
      <c r="B2322" s="103">
        <f>IF(A2317="","",batches!G388)</f>
        <v/>
      </c>
      <c r="C2322" s="101" t="n"/>
      <c r="D2322" s="102" t="n"/>
      <c r="G2322" s="80" t="inlineStr">
        <is>
          <t>Capacity</t>
        </is>
      </c>
      <c r="H2322" s="103">
        <f>IF(G2317="","",batches!G389)</f>
        <v/>
      </c>
      <c r="I2322" s="101" t="n"/>
      <c r="J2322" s="102" t="n"/>
    </row>
    <row r="2323" ht="15.75" customHeight="1" s="84">
      <c r="A2323" s="80" t="inlineStr">
        <is>
          <t>Enrolled</t>
        </is>
      </c>
      <c r="B2323" s="103">
        <f>IF(A2317="","",COUNTIF(admissions!$M:$M,batches!A388))</f>
        <v/>
      </c>
      <c r="C2323" s="101" t="n"/>
      <c r="D2323" s="102" t="n"/>
      <c r="G2323" s="80" t="inlineStr">
        <is>
          <t>Enrolled</t>
        </is>
      </c>
      <c r="H2323" s="103">
        <f>IF(G2317="","",COUNTIF(admissions!$M:$M,batches!A389))</f>
        <v/>
      </c>
      <c r="I2323" s="101" t="n"/>
      <c r="J2323" s="102" t="n"/>
    </row>
    <row r="2324" ht="15.75" customHeight="1" s="84">
      <c r="A2324" s="80" t="inlineStr">
        <is>
          <t>Available</t>
        </is>
      </c>
      <c r="B2324" s="103">
        <f>IF(OR(batches!A388="",batches!G388=""),"",batches!G388-COUNTIF(admissions!$M:$M,batches!A388))</f>
        <v/>
      </c>
      <c r="C2324" s="101" t="n"/>
      <c r="D2324" s="102" t="n"/>
      <c r="G2324" s="80" t="inlineStr">
        <is>
          <t>Available</t>
        </is>
      </c>
      <c r="H2324" s="103">
        <f>IF(OR(batches!A389="",batches!G389=""),"",batches!G389-COUNTIF(admissions!$M:$M,batches!A389))</f>
        <v/>
      </c>
      <c r="I2324" s="101" t="n"/>
      <c r="J2324" s="102" t="n"/>
    </row>
    <row r="2325" ht="15.75" customHeight="1" s="84">
      <c r="A2325" s="104" t="inlineStr">
        <is>
          <t>Student List</t>
        </is>
      </c>
      <c r="B2325" s="101" t="n"/>
      <c r="C2325" s="101" t="n"/>
      <c r="D2325" s="102" t="n"/>
      <c r="G2325" s="104" t="inlineStr">
        <is>
          <t>Student List</t>
        </is>
      </c>
      <c r="H2325" s="101" t="n"/>
      <c r="I2325" s="101" t="n"/>
      <c r="J2325" s="102" t="n"/>
    </row>
    <row r="2326" ht="15.75" customHeight="1" s="84">
      <c r="A2326" s="105">
        <f>IFERROR(__xludf.DUMMYFUNCTION("IF(batches!A388="""","""",TEXTJOIN(CHAR(10),TRUE,FILTER(admissions!$G$2:$G$78,admissions!$M$2:$M$78=batches!A388,"""")))"),"")</f>
        <v/>
      </c>
      <c r="B2326" s="101" t="n"/>
      <c r="C2326" s="101" t="n"/>
      <c r="D2326" s="102" t="n"/>
      <c r="G2326" s="105">
        <f>IFERROR(__xludf.DUMMYFUNCTION("IF(batches!A389="""","""",TEXTJOIN(CHAR(10),TRUE,FILTER(admissions!$G$2:$G$78,admissions!$M$2:$M$78=batches!A389,"""")))"),"")</f>
        <v/>
      </c>
      <c r="H2326" s="101" t="n"/>
      <c r="I2326" s="101" t="n"/>
      <c r="J2326" s="102" t="n"/>
    </row>
    <row r="2327" ht="15.75" customHeight="1" s="84"/>
    <row r="2328" ht="15.75" customHeight="1" s="84"/>
    <row r="2329" ht="15.75" customHeight="1" s="84">
      <c r="A2329" s="100">
        <f>IF(batches!A390="","",batches!A390)</f>
        <v/>
      </c>
      <c r="B2329" s="101" t="n"/>
      <c r="C2329" s="101" t="n"/>
      <c r="D2329" s="102" t="n"/>
      <c r="G2329" s="100">
        <f>IF(batches!A391="","",batches!A391)</f>
        <v/>
      </c>
      <c r="H2329" s="101" t="n"/>
      <c r="I2329" s="101" t="n"/>
      <c r="J2329" s="102" t="n"/>
    </row>
    <row r="2330" ht="15.75" customHeight="1" s="84">
      <c r="A2330" s="80" t="inlineStr">
        <is>
          <t>Level / Mode</t>
        </is>
      </c>
      <c r="B2330" s="103">
        <f>IF(A2329="","",batches!B390&amp;" / "&amp;batches!C390)</f>
        <v/>
      </c>
      <c r="C2330" s="101" t="n"/>
      <c r="D2330" s="102" t="n"/>
      <c r="G2330" s="80" t="inlineStr">
        <is>
          <t>Level / Mode</t>
        </is>
      </c>
      <c r="H2330" s="103">
        <f>IF(G2329="","",batches!B391&amp;" / "&amp;batches!C391)</f>
        <v/>
      </c>
      <c r="I2330" s="101" t="n"/>
      <c r="J2330" s="102" t="n"/>
    </row>
    <row r="2331" ht="15.75" customHeight="1" s="84">
      <c r="A2331" s="80" t="inlineStr">
        <is>
          <t>Dates</t>
        </is>
      </c>
      <c r="B2331" s="103">
        <f>IF(A2329="","",TEXT(batches!D390,"yyyy-mm-dd")&amp;" to "&amp;TEXT(batches!E390,"yyyy-mm-dd"))</f>
        <v/>
      </c>
      <c r="C2331" s="101" t="n"/>
      <c r="D2331" s="102" t="n"/>
      <c r="G2331" s="80" t="inlineStr">
        <is>
          <t>Dates</t>
        </is>
      </c>
      <c r="H2331" s="103">
        <f>IF(G2329="","",TEXT(batches!D391,"yyyy-mm-dd")&amp;" to "&amp;TEXT(batches!E391,"yyyy-mm-dd"))</f>
        <v/>
      </c>
      <c r="I2331" s="101" t="n"/>
      <c r="J2331" s="102" t="n"/>
    </row>
    <row r="2332" ht="15.75" customHeight="1" s="84">
      <c r="A2332" s="80" t="inlineStr">
        <is>
          <t>Duration</t>
        </is>
      </c>
      <c r="B2332" s="103">
        <f>IF(OR(batches!D390="",batches!E390=""),"",batches!E390-batches!D390+1&amp;" days")</f>
        <v/>
      </c>
      <c r="C2332" s="101" t="n"/>
      <c r="D2332" s="102" t="n"/>
      <c r="G2332" s="80" t="inlineStr">
        <is>
          <t>Duration</t>
        </is>
      </c>
      <c r="H2332" s="103">
        <f>IF(OR(batches!D391="",batches!E391=""),"",batches!E391-batches!D391+1&amp;" days")</f>
        <v/>
      </c>
      <c r="I2332" s="101" t="n"/>
      <c r="J2332" s="102" t="n"/>
    </row>
    <row r="2333" ht="15.75" customHeight="1" s="84">
      <c r="A2333" s="80" t="inlineStr">
        <is>
          <t>Timing</t>
        </is>
      </c>
      <c r="B2333" s="103">
        <f>IF(A2329="","",batches!F390)</f>
        <v/>
      </c>
      <c r="C2333" s="101" t="n"/>
      <c r="D2333" s="102" t="n"/>
      <c r="G2333" s="80" t="inlineStr">
        <is>
          <t>Timing</t>
        </is>
      </c>
      <c r="H2333" s="103">
        <f>IF(G2329="","",batches!F391)</f>
        <v/>
      </c>
      <c r="I2333" s="101" t="n"/>
      <c r="J2333" s="102" t="n"/>
    </row>
    <row r="2334" ht="15.75" customHeight="1" s="84">
      <c r="A2334" s="80" t="inlineStr">
        <is>
          <t>Capacity</t>
        </is>
      </c>
      <c r="B2334" s="103">
        <f>IF(A2329="","",batches!G390)</f>
        <v/>
      </c>
      <c r="C2334" s="101" t="n"/>
      <c r="D2334" s="102" t="n"/>
      <c r="G2334" s="80" t="inlineStr">
        <is>
          <t>Capacity</t>
        </is>
      </c>
      <c r="H2334" s="103">
        <f>IF(G2329="","",batches!G391)</f>
        <v/>
      </c>
      <c r="I2334" s="101" t="n"/>
      <c r="J2334" s="102" t="n"/>
    </row>
    <row r="2335" ht="15.75" customHeight="1" s="84">
      <c r="A2335" s="80" t="inlineStr">
        <is>
          <t>Enrolled</t>
        </is>
      </c>
      <c r="B2335" s="103">
        <f>IF(A2329="","",COUNTIF(admissions!$M:$M,batches!A390))</f>
        <v/>
      </c>
      <c r="C2335" s="101" t="n"/>
      <c r="D2335" s="102" t="n"/>
      <c r="G2335" s="80" t="inlineStr">
        <is>
          <t>Enrolled</t>
        </is>
      </c>
      <c r="H2335" s="103">
        <f>IF(G2329="","",COUNTIF(admissions!$M:$M,batches!A391))</f>
        <v/>
      </c>
      <c r="I2335" s="101" t="n"/>
      <c r="J2335" s="102" t="n"/>
    </row>
    <row r="2336" ht="15.75" customHeight="1" s="84">
      <c r="A2336" s="80" t="inlineStr">
        <is>
          <t>Available</t>
        </is>
      </c>
      <c r="B2336" s="103">
        <f>IF(OR(batches!A390="",batches!G390=""),"",batches!G390-COUNTIF(admissions!$M:$M,batches!A390))</f>
        <v/>
      </c>
      <c r="C2336" s="101" t="n"/>
      <c r="D2336" s="102" t="n"/>
      <c r="G2336" s="80" t="inlineStr">
        <is>
          <t>Available</t>
        </is>
      </c>
      <c r="H2336" s="103">
        <f>IF(OR(batches!A391="",batches!G391=""),"",batches!G391-COUNTIF(admissions!$M:$M,batches!A391))</f>
        <v/>
      </c>
      <c r="I2336" s="101" t="n"/>
      <c r="J2336" s="102" t="n"/>
    </row>
    <row r="2337" ht="15.75" customHeight="1" s="84">
      <c r="A2337" s="104" t="inlineStr">
        <is>
          <t>Student List</t>
        </is>
      </c>
      <c r="B2337" s="101" t="n"/>
      <c r="C2337" s="101" t="n"/>
      <c r="D2337" s="102" t="n"/>
      <c r="G2337" s="104" t="inlineStr">
        <is>
          <t>Student List</t>
        </is>
      </c>
      <c r="H2337" s="101" t="n"/>
      <c r="I2337" s="101" t="n"/>
      <c r="J2337" s="102" t="n"/>
    </row>
    <row r="2338" ht="15.75" customHeight="1" s="84">
      <c r="A2338" s="105">
        <f>IFERROR(__xludf.DUMMYFUNCTION("IF(batches!A390="""","""",TEXTJOIN(CHAR(10),TRUE,FILTER(admissions!$G$2:$G$78,admissions!$M$2:$M$78=batches!A390,"""")))"),"")</f>
        <v/>
      </c>
      <c r="B2338" s="101" t="n"/>
      <c r="C2338" s="101" t="n"/>
      <c r="D2338" s="102" t="n"/>
      <c r="G2338" s="105">
        <f>IFERROR(__xludf.DUMMYFUNCTION("IF(batches!A391="""","""",TEXTJOIN(CHAR(10),TRUE,FILTER(admissions!$G$2:$G$78,admissions!$M$2:$M$78=batches!A391,"""")))"),"")</f>
        <v/>
      </c>
      <c r="H2338" s="101" t="n"/>
      <c r="I2338" s="101" t="n"/>
      <c r="J2338" s="102" t="n"/>
    </row>
    <row r="2339" ht="15.75" customHeight="1" s="84"/>
    <row r="2340" ht="15.75" customHeight="1" s="84"/>
    <row r="2341" ht="15.75" customHeight="1" s="84">
      <c r="A2341" s="100">
        <f>IF(batches!A392="","",batches!A392)</f>
        <v/>
      </c>
      <c r="B2341" s="101" t="n"/>
      <c r="C2341" s="101" t="n"/>
      <c r="D2341" s="102" t="n"/>
      <c r="G2341" s="100">
        <f>IF(batches!A393="","",batches!A393)</f>
        <v/>
      </c>
      <c r="H2341" s="101" t="n"/>
      <c r="I2341" s="101" t="n"/>
      <c r="J2341" s="102" t="n"/>
    </row>
    <row r="2342" ht="15.75" customHeight="1" s="84">
      <c r="A2342" s="80" t="inlineStr">
        <is>
          <t>Level / Mode</t>
        </is>
      </c>
      <c r="B2342" s="103">
        <f>IF(A2341="","",batches!B392&amp;" / "&amp;batches!C392)</f>
        <v/>
      </c>
      <c r="C2342" s="101" t="n"/>
      <c r="D2342" s="102" t="n"/>
      <c r="G2342" s="80" t="inlineStr">
        <is>
          <t>Level / Mode</t>
        </is>
      </c>
      <c r="H2342" s="103">
        <f>IF(G2341="","",batches!B393&amp;" / "&amp;batches!C393)</f>
        <v/>
      </c>
      <c r="I2342" s="101" t="n"/>
      <c r="J2342" s="102" t="n"/>
    </row>
    <row r="2343" ht="15.75" customHeight="1" s="84">
      <c r="A2343" s="80" t="inlineStr">
        <is>
          <t>Dates</t>
        </is>
      </c>
      <c r="B2343" s="103">
        <f>IF(A2341="","",TEXT(batches!D392,"yyyy-mm-dd")&amp;" to "&amp;TEXT(batches!E392,"yyyy-mm-dd"))</f>
        <v/>
      </c>
      <c r="C2343" s="101" t="n"/>
      <c r="D2343" s="102" t="n"/>
      <c r="G2343" s="80" t="inlineStr">
        <is>
          <t>Dates</t>
        </is>
      </c>
      <c r="H2343" s="103">
        <f>IF(G2341="","",TEXT(batches!D393,"yyyy-mm-dd")&amp;" to "&amp;TEXT(batches!E393,"yyyy-mm-dd"))</f>
        <v/>
      </c>
      <c r="I2343" s="101" t="n"/>
      <c r="J2343" s="102" t="n"/>
    </row>
    <row r="2344" ht="15.75" customHeight="1" s="84">
      <c r="A2344" s="80" t="inlineStr">
        <is>
          <t>Duration</t>
        </is>
      </c>
      <c r="B2344" s="103">
        <f>IF(OR(batches!D392="",batches!E392=""),"",batches!E392-batches!D392+1&amp;" days")</f>
        <v/>
      </c>
      <c r="C2344" s="101" t="n"/>
      <c r="D2344" s="102" t="n"/>
      <c r="G2344" s="80" t="inlineStr">
        <is>
          <t>Duration</t>
        </is>
      </c>
      <c r="H2344" s="103">
        <f>IF(OR(batches!D393="",batches!E393=""),"",batches!E393-batches!D393+1&amp;" days")</f>
        <v/>
      </c>
      <c r="I2344" s="101" t="n"/>
      <c r="J2344" s="102" t="n"/>
    </row>
    <row r="2345" ht="15.75" customHeight="1" s="84">
      <c r="A2345" s="80" t="inlineStr">
        <is>
          <t>Timing</t>
        </is>
      </c>
      <c r="B2345" s="103">
        <f>IF(A2341="","",batches!F392)</f>
        <v/>
      </c>
      <c r="C2345" s="101" t="n"/>
      <c r="D2345" s="102" t="n"/>
      <c r="G2345" s="80" t="inlineStr">
        <is>
          <t>Timing</t>
        </is>
      </c>
      <c r="H2345" s="103">
        <f>IF(G2341="","",batches!F393)</f>
        <v/>
      </c>
      <c r="I2345" s="101" t="n"/>
      <c r="J2345" s="102" t="n"/>
    </row>
    <row r="2346" ht="15.75" customHeight="1" s="84">
      <c r="A2346" s="80" t="inlineStr">
        <is>
          <t>Capacity</t>
        </is>
      </c>
      <c r="B2346" s="103">
        <f>IF(A2341="","",batches!G392)</f>
        <v/>
      </c>
      <c r="C2346" s="101" t="n"/>
      <c r="D2346" s="102" t="n"/>
      <c r="G2346" s="80" t="inlineStr">
        <is>
          <t>Capacity</t>
        </is>
      </c>
      <c r="H2346" s="103">
        <f>IF(G2341="","",batches!G393)</f>
        <v/>
      </c>
      <c r="I2346" s="101" t="n"/>
      <c r="J2346" s="102" t="n"/>
    </row>
    <row r="2347" ht="15.75" customHeight="1" s="84">
      <c r="A2347" s="80" t="inlineStr">
        <is>
          <t>Enrolled</t>
        </is>
      </c>
      <c r="B2347" s="103">
        <f>IF(A2341="","",COUNTIF(admissions!$M:$M,batches!A392))</f>
        <v/>
      </c>
      <c r="C2347" s="101" t="n"/>
      <c r="D2347" s="102" t="n"/>
      <c r="G2347" s="80" t="inlineStr">
        <is>
          <t>Enrolled</t>
        </is>
      </c>
      <c r="H2347" s="103">
        <f>IF(G2341="","",COUNTIF(admissions!$M:$M,batches!A393))</f>
        <v/>
      </c>
      <c r="I2347" s="101" t="n"/>
      <c r="J2347" s="102" t="n"/>
    </row>
    <row r="2348" ht="15.75" customHeight="1" s="84">
      <c r="A2348" s="80" t="inlineStr">
        <is>
          <t>Available</t>
        </is>
      </c>
      <c r="B2348" s="103">
        <f>IF(OR(batches!A392="",batches!G392=""),"",batches!G392-COUNTIF(admissions!$M:$M,batches!A392))</f>
        <v/>
      </c>
      <c r="C2348" s="101" t="n"/>
      <c r="D2348" s="102" t="n"/>
      <c r="G2348" s="80" t="inlineStr">
        <is>
          <t>Available</t>
        </is>
      </c>
      <c r="H2348" s="103">
        <f>IF(OR(batches!A393="",batches!G393=""),"",batches!G393-COUNTIF(admissions!$M:$M,batches!A393))</f>
        <v/>
      </c>
      <c r="I2348" s="101" t="n"/>
      <c r="J2348" s="102" t="n"/>
    </row>
    <row r="2349" ht="15.75" customHeight="1" s="84">
      <c r="A2349" s="104" t="inlineStr">
        <is>
          <t>Student List</t>
        </is>
      </c>
      <c r="B2349" s="101" t="n"/>
      <c r="C2349" s="101" t="n"/>
      <c r="D2349" s="102" t="n"/>
      <c r="G2349" s="104" t="inlineStr">
        <is>
          <t>Student List</t>
        </is>
      </c>
      <c r="H2349" s="101" t="n"/>
      <c r="I2349" s="101" t="n"/>
      <c r="J2349" s="102" t="n"/>
    </row>
    <row r="2350" ht="15.75" customHeight="1" s="84">
      <c r="A2350" s="105">
        <f>IFERROR(__xludf.DUMMYFUNCTION("IF(batches!A392="""","""",TEXTJOIN(CHAR(10),TRUE,FILTER(admissions!$G$2:$G$78,admissions!$M$2:$M$78=batches!A392,"""")))"),"")</f>
        <v/>
      </c>
      <c r="B2350" s="101" t="n"/>
      <c r="C2350" s="101" t="n"/>
      <c r="D2350" s="102" t="n"/>
      <c r="G2350" s="105">
        <f>IFERROR(__xludf.DUMMYFUNCTION("IF(batches!A393="""","""",TEXTJOIN(CHAR(10),TRUE,FILTER(admissions!$G$2:$G$78,admissions!$M$2:$M$78=batches!A393,"""")))"),"")</f>
        <v/>
      </c>
      <c r="H2350" s="101" t="n"/>
      <c r="I2350" s="101" t="n"/>
      <c r="J2350" s="102" t="n"/>
    </row>
    <row r="2351" ht="15.75" customHeight="1" s="84"/>
    <row r="2352" ht="15.75" customHeight="1" s="84"/>
    <row r="2353" ht="15.75" customHeight="1" s="84">
      <c r="A2353" s="100">
        <f>IF(batches!A394="","",batches!A394)</f>
        <v/>
      </c>
      <c r="B2353" s="101" t="n"/>
      <c r="C2353" s="101" t="n"/>
      <c r="D2353" s="102" t="n"/>
      <c r="G2353" s="100">
        <f>IF(batches!A395="","",batches!A395)</f>
        <v/>
      </c>
      <c r="H2353" s="101" t="n"/>
      <c r="I2353" s="101" t="n"/>
      <c r="J2353" s="102" t="n"/>
    </row>
    <row r="2354" ht="15.75" customHeight="1" s="84">
      <c r="A2354" s="80" t="inlineStr">
        <is>
          <t>Level / Mode</t>
        </is>
      </c>
      <c r="B2354" s="103">
        <f>IF(A2353="","",batches!B394&amp;" / "&amp;batches!C394)</f>
        <v/>
      </c>
      <c r="C2354" s="101" t="n"/>
      <c r="D2354" s="102" t="n"/>
      <c r="G2354" s="80" t="inlineStr">
        <is>
          <t>Level / Mode</t>
        </is>
      </c>
      <c r="H2354" s="103">
        <f>IF(G2353="","",batches!B395&amp;" / "&amp;batches!C395)</f>
        <v/>
      </c>
      <c r="I2354" s="101" t="n"/>
      <c r="J2354" s="102" t="n"/>
    </row>
    <row r="2355" ht="15.75" customHeight="1" s="84">
      <c r="A2355" s="80" t="inlineStr">
        <is>
          <t>Dates</t>
        </is>
      </c>
      <c r="B2355" s="103">
        <f>IF(A2353="","",TEXT(batches!D394,"yyyy-mm-dd")&amp;" to "&amp;TEXT(batches!E394,"yyyy-mm-dd"))</f>
        <v/>
      </c>
      <c r="C2355" s="101" t="n"/>
      <c r="D2355" s="102" t="n"/>
      <c r="G2355" s="80" t="inlineStr">
        <is>
          <t>Dates</t>
        </is>
      </c>
      <c r="H2355" s="103">
        <f>IF(G2353="","",TEXT(batches!D395,"yyyy-mm-dd")&amp;" to "&amp;TEXT(batches!E395,"yyyy-mm-dd"))</f>
        <v/>
      </c>
      <c r="I2355" s="101" t="n"/>
      <c r="J2355" s="102" t="n"/>
    </row>
    <row r="2356" ht="15.75" customHeight="1" s="84">
      <c r="A2356" s="80" t="inlineStr">
        <is>
          <t>Duration</t>
        </is>
      </c>
      <c r="B2356" s="103">
        <f>IF(OR(batches!D394="",batches!E394=""),"",batches!E394-batches!D394+1&amp;" days")</f>
        <v/>
      </c>
      <c r="C2356" s="101" t="n"/>
      <c r="D2356" s="102" t="n"/>
      <c r="G2356" s="80" t="inlineStr">
        <is>
          <t>Duration</t>
        </is>
      </c>
      <c r="H2356" s="103">
        <f>IF(OR(batches!D395="",batches!E395=""),"",batches!E395-batches!D395+1&amp;" days")</f>
        <v/>
      </c>
      <c r="I2356" s="101" t="n"/>
      <c r="J2356" s="102" t="n"/>
    </row>
    <row r="2357" ht="15.75" customHeight="1" s="84">
      <c r="A2357" s="80" t="inlineStr">
        <is>
          <t>Timing</t>
        </is>
      </c>
      <c r="B2357" s="103">
        <f>IF(A2353="","",batches!F394)</f>
        <v/>
      </c>
      <c r="C2357" s="101" t="n"/>
      <c r="D2357" s="102" t="n"/>
      <c r="G2357" s="80" t="inlineStr">
        <is>
          <t>Timing</t>
        </is>
      </c>
      <c r="H2357" s="103">
        <f>IF(G2353="","",batches!F395)</f>
        <v/>
      </c>
      <c r="I2357" s="101" t="n"/>
      <c r="J2357" s="102" t="n"/>
    </row>
    <row r="2358" ht="15.75" customHeight="1" s="84">
      <c r="A2358" s="80" t="inlineStr">
        <is>
          <t>Capacity</t>
        </is>
      </c>
      <c r="B2358" s="103">
        <f>IF(A2353="","",batches!G394)</f>
        <v/>
      </c>
      <c r="C2358" s="101" t="n"/>
      <c r="D2358" s="102" t="n"/>
      <c r="G2358" s="80" t="inlineStr">
        <is>
          <t>Capacity</t>
        </is>
      </c>
      <c r="H2358" s="103">
        <f>IF(G2353="","",batches!G395)</f>
        <v/>
      </c>
      <c r="I2358" s="101" t="n"/>
      <c r="J2358" s="102" t="n"/>
    </row>
    <row r="2359" ht="15.75" customHeight="1" s="84">
      <c r="A2359" s="80" t="inlineStr">
        <is>
          <t>Enrolled</t>
        </is>
      </c>
      <c r="B2359" s="103">
        <f>IF(A2353="","",COUNTIF(admissions!$M:$M,batches!A394))</f>
        <v/>
      </c>
      <c r="C2359" s="101" t="n"/>
      <c r="D2359" s="102" t="n"/>
      <c r="G2359" s="80" t="inlineStr">
        <is>
          <t>Enrolled</t>
        </is>
      </c>
      <c r="H2359" s="103">
        <f>IF(G2353="","",COUNTIF(admissions!$M:$M,batches!A395))</f>
        <v/>
      </c>
      <c r="I2359" s="101" t="n"/>
      <c r="J2359" s="102" t="n"/>
    </row>
    <row r="2360" ht="15.75" customHeight="1" s="84">
      <c r="A2360" s="80" t="inlineStr">
        <is>
          <t>Available</t>
        </is>
      </c>
      <c r="B2360" s="103">
        <f>IF(OR(batches!A394="",batches!G394=""),"",batches!G394-COUNTIF(admissions!$M:$M,batches!A394))</f>
        <v/>
      </c>
      <c r="C2360" s="101" t="n"/>
      <c r="D2360" s="102" t="n"/>
      <c r="G2360" s="80" t="inlineStr">
        <is>
          <t>Available</t>
        </is>
      </c>
      <c r="H2360" s="103">
        <f>IF(OR(batches!A395="",batches!G395=""),"",batches!G395-COUNTIF(admissions!$M:$M,batches!A395))</f>
        <v/>
      </c>
      <c r="I2360" s="101" t="n"/>
      <c r="J2360" s="102" t="n"/>
    </row>
    <row r="2361" ht="15.75" customHeight="1" s="84">
      <c r="A2361" s="104" t="inlineStr">
        <is>
          <t>Student List</t>
        </is>
      </c>
      <c r="B2361" s="101" t="n"/>
      <c r="C2361" s="101" t="n"/>
      <c r="D2361" s="102" t="n"/>
      <c r="G2361" s="104" t="inlineStr">
        <is>
          <t>Student List</t>
        </is>
      </c>
      <c r="H2361" s="101" t="n"/>
      <c r="I2361" s="101" t="n"/>
      <c r="J2361" s="102" t="n"/>
    </row>
    <row r="2362" ht="15.75" customHeight="1" s="84">
      <c r="A2362" s="105">
        <f>IFERROR(__xludf.DUMMYFUNCTION("IF(batches!A394="""","""",TEXTJOIN(CHAR(10),TRUE,FILTER(admissions!$G$2:$G$78,admissions!$M$2:$M$78=batches!A394,"""")))"),"")</f>
        <v/>
      </c>
      <c r="B2362" s="101" t="n"/>
      <c r="C2362" s="101" t="n"/>
      <c r="D2362" s="102" t="n"/>
      <c r="G2362" s="105">
        <f>IFERROR(__xludf.DUMMYFUNCTION("IF(batches!A395="""","""",TEXTJOIN(CHAR(10),TRUE,FILTER(admissions!$G$2:$G$78,admissions!$M$2:$M$78=batches!A395,"""")))"),"")</f>
        <v/>
      </c>
      <c r="H2362" s="101" t="n"/>
      <c r="I2362" s="101" t="n"/>
      <c r="J2362" s="102" t="n"/>
    </row>
    <row r="2363" ht="15.75" customHeight="1" s="84"/>
    <row r="2364" ht="15.75" customHeight="1" s="84"/>
    <row r="2365" ht="15.75" customHeight="1" s="84">
      <c r="A2365" s="100">
        <f>IF(batches!A396="","",batches!A396)</f>
        <v/>
      </c>
      <c r="B2365" s="101" t="n"/>
      <c r="C2365" s="101" t="n"/>
      <c r="D2365" s="102" t="n"/>
      <c r="G2365" s="100">
        <f>IF(batches!A397="","",batches!A397)</f>
        <v/>
      </c>
      <c r="H2365" s="101" t="n"/>
      <c r="I2365" s="101" t="n"/>
      <c r="J2365" s="102" t="n"/>
    </row>
    <row r="2366" ht="15.75" customHeight="1" s="84">
      <c r="A2366" s="80" t="inlineStr">
        <is>
          <t>Level / Mode</t>
        </is>
      </c>
      <c r="B2366" s="103">
        <f>IF(A2365="","",batches!B396&amp;" / "&amp;batches!C396)</f>
        <v/>
      </c>
      <c r="C2366" s="101" t="n"/>
      <c r="D2366" s="102" t="n"/>
      <c r="G2366" s="80" t="inlineStr">
        <is>
          <t>Level / Mode</t>
        </is>
      </c>
      <c r="H2366" s="103">
        <f>IF(G2365="","",batches!B397&amp;" / "&amp;batches!C397)</f>
        <v/>
      </c>
      <c r="I2366" s="101" t="n"/>
      <c r="J2366" s="102" t="n"/>
    </row>
    <row r="2367" ht="15.75" customHeight="1" s="84">
      <c r="A2367" s="80" t="inlineStr">
        <is>
          <t>Dates</t>
        </is>
      </c>
      <c r="B2367" s="103">
        <f>IF(A2365="","",TEXT(batches!D396,"yyyy-mm-dd")&amp;" to "&amp;TEXT(batches!E396,"yyyy-mm-dd"))</f>
        <v/>
      </c>
      <c r="C2367" s="101" t="n"/>
      <c r="D2367" s="102" t="n"/>
      <c r="G2367" s="80" t="inlineStr">
        <is>
          <t>Dates</t>
        </is>
      </c>
      <c r="H2367" s="103">
        <f>IF(G2365="","",TEXT(batches!D397,"yyyy-mm-dd")&amp;" to "&amp;TEXT(batches!E397,"yyyy-mm-dd"))</f>
        <v/>
      </c>
      <c r="I2367" s="101" t="n"/>
      <c r="J2367" s="102" t="n"/>
    </row>
    <row r="2368" ht="15.75" customHeight="1" s="84">
      <c r="A2368" s="80" t="inlineStr">
        <is>
          <t>Duration</t>
        </is>
      </c>
      <c r="B2368" s="103">
        <f>IF(OR(batches!D396="",batches!E396=""),"",batches!E396-batches!D396+1&amp;" days")</f>
        <v/>
      </c>
      <c r="C2368" s="101" t="n"/>
      <c r="D2368" s="102" t="n"/>
      <c r="G2368" s="80" t="inlineStr">
        <is>
          <t>Duration</t>
        </is>
      </c>
      <c r="H2368" s="103">
        <f>IF(OR(batches!D397="",batches!E397=""),"",batches!E397-batches!D397+1&amp;" days")</f>
        <v/>
      </c>
      <c r="I2368" s="101" t="n"/>
      <c r="J2368" s="102" t="n"/>
    </row>
    <row r="2369" ht="15.75" customHeight="1" s="84">
      <c r="A2369" s="80" t="inlineStr">
        <is>
          <t>Timing</t>
        </is>
      </c>
      <c r="B2369" s="103">
        <f>IF(A2365="","",batches!F396)</f>
        <v/>
      </c>
      <c r="C2369" s="101" t="n"/>
      <c r="D2369" s="102" t="n"/>
      <c r="G2369" s="80" t="inlineStr">
        <is>
          <t>Timing</t>
        </is>
      </c>
      <c r="H2369" s="103">
        <f>IF(G2365="","",batches!F397)</f>
        <v/>
      </c>
      <c r="I2369" s="101" t="n"/>
      <c r="J2369" s="102" t="n"/>
    </row>
    <row r="2370" ht="15.75" customHeight="1" s="84">
      <c r="A2370" s="80" t="inlineStr">
        <is>
          <t>Capacity</t>
        </is>
      </c>
      <c r="B2370" s="103">
        <f>IF(A2365="","",batches!G396)</f>
        <v/>
      </c>
      <c r="C2370" s="101" t="n"/>
      <c r="D2370" s="102" t="n"/>
      <c r="G2370" s="80" t="inlineStr">
        <is>
          <t>Capacity</t>
        </is>
      </c>
      <c r="H2370" s="103">
        <f>IF(G2365="","",batches!G397)</f>
        <v/>
      </c>
      <c r="I2370" s="101" t="n"/>
      <c r="J2370" s="102" t="n"/>
    </row>
    <row r="2371" ht="15.75" customHeight="1" s="84">
      <c r="A2371" s="80" t="inlineStr">
        <is>
          <t>Enrolled</t>
        </is>
      </c>
      <c r="B2371" s="103">
        <f>IF(A2365="","",COUNTIF(admissions!$M:$M,batches!A396))</f>
        <v/>
      </c>
      <c r="C2371" s="101" t="n"/>
      <c r="D2371" s="102" t="n"/>
      <c r="G2371" s="80" t="inlineStr">
        <is>
          <t>Enrolled</t>
        </is>
      </c>
      <c r="H2371" s="103">
        <f>IF(G2365="","",COUNTIF(admissions!$M:$M,batches!A397))</f>
        <v/>
      </c>
      <c r="I2371" s="101" t="n"/>
      <c r="J2371" s="102" t="n"/>
    </row>
    <row r="2372" ht="15.75" customHeight="1" s="84">
      <c r="A2372" s="80" t="inlineStr">
        <is>
          <t>Available</t>
        </is>
      </c>
      <c r="B2372" s="103">
        <f>IF(OR(batches!A396="",batches!G396=""),"",batches!G396-COUNTIF(admissions!$M:$M,batches!A396))</f>
        <v/>
      </c>
      <c r="C2372" s="101" t="n"/>
      <c r="D2372" s="102" t="n"/>
      <c r="G2372" s="80" t="inlineStr">
        <is>
          <t>Available</t>
        </is>
      </c>
      <c r="H2372" s="103">
        <f>IF(OR(batches!A397="",batches!G397=""),"",batches!G397-COUNTIF(admissions!$M:$M,batches!A397))</f>
        <v/>
      </c>
      <c r="I2372" s="101" t="n"/>
      <c r="J2372" s="102" t="n"/>
    </row>
    <row r="2373" ht="15.75" customHeight="1" s="84">
      <c r="A2373" s="104" t="inlineStr">
        <is>
          <t>Student List</t>
        </is>
      </c>
      <c r="B2373" s="101" t="n"/>
      <c r="C2373" s="101" t="n"/>
      <c r="D2373" s="102" t="n"/>
      <c r="G2373" s="104" t="inlineStr">
        <is>
          <t>Student List</t>
        </is>
      </c>
      <c r="H2373" s="101" t="n"/>
      <c r="I2373" s="101" t="n"/>
      <c r="J2373" s="102" t="n"/>
    </row>
    <row r="2374" ht="15.75" customHeight="1" s="84">
      <c r="A2374" s="105">
        <f>IFERROR(__xludf.DUMMYFUNCTION("IF(batches!A396="""","""",TEXTJOIN(CHAR(10),TRUE,FILTER(admissions!$G$2:$G$78,admissions!$M$2:$M$78=batches!A396,"""")))"),"")</f>
        <v/>
      </c>
      <c r="B2374" s="101" t="n"/>
      <c r="C2374" s="101" t="n"/>
      <c r="D2374" s="102" t="n"/>
      <c r="G2374" s="105">
        <f>IFERROR(__xludf.DUMMYFUNCTION("IF(batches!A397="""","""",TEXTJOIN(CHAR(10),TRUE,FILTER(admissions!$G$2:$G$78,admissions!$M$2:$M$78=batches!A397,"""")))"),"")</f>
        <v/>
      </c>
      <c r="H2374" s="101" t="n"/>
      <c r="I2374" s="101" t="n"/>
      <c r="J2374" s="102" t="n"/>
    </row>
    <row r="2375" ht="15.75" customHeight="1" s="84"/>
    <row r="2376" ht="15.75" customHeight="1" s="84"/>
    <row r="2377" ht="15.75" customHeight="1" s="84">
      <c r="A2377" s="100">
        <f>IF(batches!A398="","",batches!A398)</f>
        <v/>
      </c>
      <c r="B2377" s="101" t="n"/>
      <c r="C2377" s="101" t="n"/>
      <c r="D2377" s="102" t="n"/>
      <c r="G2377" s="100">
        <f>IF(batches!A399="","",batches!A399)</f>
        <v/>
      </c>
      <c r="H2377" s="101" t="n"/>
      <c r="I2377" s="101" t="n"/>
      <c r="J2377" s="102" t="n"/>
    </row>
    <row r="2378" ht="15.75" customHeight="1" s="84">
      <c r="A2378" s="80" t="inlineStr">
        <is>
          <t>Level / Mode</t>
        </is>
      </c>
      <c r="B2378" s="103">
        <f>IF(A2377="","",batches!B398&amp;" / "&amp;batches!C398)</f>
        <v/>
      </c>
      <c r="C2378" s="101" t="n"/>
      <c r="D2378" s="102" t="n"/>
      <c r="G2378" s="80" t="inlineStr">
        <is>
          <t>Level / Mode</t>
        </is>
      </c>
      <c r="H2378" s="103">
        <f>IF(G2377="","",batches!B399&amp;" / "&amp;batches!C399)</f>
        <v/>
      </c>
      <c r="I2378" s="101" t="n"/>
      <c r="J2378" s="102" t="n"/>
    </row>
    <row r="2379" ht="15.75" customHeight="1" s="84">
      <c r="A2379" s="80" t="inlineStr">
        <is>
          <t>Dates</t>
        </is>
      </c>
      <c r="B2379" s="103">
        <f>IF(A2377="","",TEXT(batches!D398,"yyyy-mm-dd")&amp;" to "&amp;TEXT(batches!E398,"yyyy-mm-dd"))</f>
        <v/>
      </c>
      <c r="C2379" s="101" t="n"/>
      <c r="D2379" s="102" t="n"/>
      <c r="G2379" s="80" t="inlineStr">
        <is>
          <t>Dates</t>
        </is>
      </c>
      <c r="H2379" s="103">
        <f>IF(G2377="","",TEXT(batches!D399,"yyyy-mm-dd")&amp;" to "&amp;TEXT(batches!E399,"yyyy-mm-dd"))</f>
        <v/>
      </c>
      <c r="I2379" s="101" t="n"/>
      <c r="J2379" s="102" t="n"/>
    </row>
    <row r="2380" ht="15.75" customHeight="1" s="84">
      <c r="A2380" s="80" t="inlineStr">
        <is>
          <t>Duration</t>
        </is>
      </c>
      <c r="B2380" s="103">
        <f>IF(OR(batches!D398="",batches!E398=""),"",batches!E398-batches!D398+1&amp;" days")</f>
        <v/>
      </c>
      <c r="C2380" s="101" t="n"/>
      <c r="D2380" s="102" t="n"/>
      <c r="G2380" s="80" t="inlineStr">
        <is>
          <t>Duration</t>
        </is>
      </c>
      <c r="H2380" s="103">
        <f>IF(OR(batches!D399="",batches!E399=""),"",batches!E399-batches!D399+1&amp;" days")</f>
        <v/>
      </c>
      <c r="I2380" s="101" t="n"/>
      <c r="J2380" s="102" t="n"/>
    </row>
    <row r="2381" ht="15.75" customHeight="1" s="84">
      <c r="A2381" s="80" t="inlineStr">
        <is>
          <t>Timing</t>
        </is>
      </c>
      <c r="B2381" s="103">
        <f>IF(A2377="","",batches!F398)</f>
        <v/>
      </c>
      <c r="C2381" s="101" t="n"/>
      <c r="D2381" s="102" t="n"/>
      <c r="G2381" s="80" t="inlineStr">
        <is>
          <t>Timing</t>
        </is>
      </c>
      <c r="H2381" s="103">
        <f>IF(G2377="","",batches!F399)</f>
        <v/>
      </c>
      <c r="I2381" s="101" t="n"/>
      <c r="J2381" s="102" t="n"/>
    </row>
    <row r="2382" ht="15.75" customHeight="1" s="84">
      <c r="A2382" s="80" t="inlineStr">
        <is>
          <t>Capacity</t>
        </is>
      </c>
      <c r="B2382" s="103">
        <f>IF(A2377="","",batches!G398)</f>
        <v/>
      </c>
      <c r="C2382" s="101" t="n"/>
      <c r="D2382" s="102" t="n"/>
      <c r="G2382" s="80" t="inlineStr">
        <is>
          <t>Capacity</t>
        </is>
      </c>
      <c r="H2382" s="103">
        <f>IF(G2377="","",batches!G399)</f>
        <v/>
      </c>
      <c r="I2382" s="101" t="n"/>
      <c r="J2382" s="102" t="n"/>
    </row>
    <row r="2383" ht="15.75" customHeight="1" s="84">
      <c r="A2383" s="80" t="inlineStr">
        <is>
          <t>Enrolled</t>
        </is>
      </c>
      <c r="B2383" s="103">
        <f>IF(A2377="","",COUNTIF(admissions!$M:$M,batches!A398))</f>
        <v/>
      </c>
      <c r="C2383" s="101" t="n"/>
      <c r="D2383" s="102" t="n"/>
      <c r="G2383" s="80" t="inlineStr">
        <is>
          <t>Enrolled</t>
        </is>
      </c>
      <c r="H2383" s="103">
        <f>IF(G2377="","",COUNTIF(admissions!$M:$M,batches!A399))</f>
        <v/>
      </c>
      <c r="I2383" s="101" t="n"/>
      <c r="J2383" s="102" t="n"/>
    </row>
    <row r="2384" ht="15.75" customHeight="1" s="84">
      <c r="A2384" s="80" t="inlineStr">
        <is>
          <t>Available</t>
        </is>
      </c>
      <c r="B2384" s="103">
        <f>IF(OR(batches!A398="",batches!G398=""),"",batches!G398-COUNTIF(admissions!$M:$M,batches!A398))</f>
        <v/>
      </c>
      <c r="C2384" s="101" t="n"/>
      <c r="D2384" s="102" t="n"/>
      <c r="G2384" s="80" t="inlineStr">
        <is>
          <t>Available</t>
        </is>
      </c>
      <c r="H2384" s="103">
        <f>IF(OR(batches!A399="",batches!G399=""),"",batches!G399-COUNTIF(admissions!$M:$M,batches!A399))</f>
        <v/>
      </c>
      <c r="I2384" s="101" t="n"/>
      <c r="J2384" s="102" t="n"/>
    </row>
    <row r="2385" ht="15.75" customHeight="1" s="84">
      <c r="A2385" s="104" t="inlineStr">
        <is>
          <t>Student List</t>
        </is>
      </c>
      <c r="B2385" s="101" t="n"/>
      <c r="C2385" s="101" t="n"/>
      <c r="D2385" s="102" t="n"/>
      <c r="G2385" s="104" t="inlineStr">
        <is>
          <t>Student List</t>
        </is>
      </c>
      <c r="H2385" s="101" t="n"/>
      <c r="I2385" s="101" t="n"/>
      <c r="J2385" s="102" t="n"/>
    </row>
    <row r="2386" ht="15.75" customHeight="1" s="84">
      <c r="A2386" s="105">
        <f>IFERROR(__xludf.DUMMYFUNCTION("IF(batches!A398="""","""",TEXTJOIN(CHAR(10),TRUE,FILTER(admissions!$G$2:$G$78,admissions!$M$2:$M$78=batches!A398,"""")))"),"")</f>
        <v/>
      </c>
      <c r="B2386" s="101" t="n"/>
      <c r="C2386" s="101" t="n"/>
      <c r="D2386" s="102" t="n"/>
      <c r="G2386" s="105">
        <f>IFERROR(__xludf.DUMMYFUNCTION("IF(batches!A399="""","""",TEXTJOIN(CHAR(10),TRUE,FILTER(admissions!$G$2:$G$78,admissions!$M$2:$M$78=batches!A399,"""")))"),"")</f>
        <v/>
      </c>
      <c r="H2386" s="101" t="n"/>
      <c r="I2386" s="101" t="n"/>
      <c r="J2386" s="102" t="n"/>
    </row>
    <row r="2387" ht="15.75" customHeight="1" s="84"/>
    <row r="2388" ht="15.75" customHeight="1" s="84"/>
    <row r="2389" ht="15.75" customHeight="1" s="84">
      <c r="A2389" s="100">
        <f>IF(batches!A400="","",batches!A400)</f>
        <v/>
      </c>
      <c r="B2389" s="101" t="n"/>
      <c r="C2389" s="101" t="n"/>
      <c r="D2389" s="102" t="n"/>
      <c r="G2389" s="100">
        <f>IF(batches!A401="","",batches!A401)</f>
        <v/>
      </c>
      <c r="H2389" s="101" t="n"/>
      <c r="I2389" s="101" t="n"/>
      <c r="J2389" s="102" t="n"/>
    </row>
    <row r="2390" ht="15.75" customHeight="1" s="84">
      <c r="A2390" s="80" t="inlineStr">
        <is>
          <t>Level / Mode</t>
        </is>
      </c>
      <c r="B2390" s="103">
        <f>IF(A2389="","",batches!B400&amp;" / "&amp;batches!C400)</f>
        <v/>
      </c>
      <c r="C2390" s="101" t="n"/>
      <c r="D2390" s="102" t="n"/>
      <c r="G2390" s="80" t="inlineStr">
        <is>
          <t>Level / Mode</t>
        </is>
      </c>
      <c r="H2390" s="103">
        <f>IF(G2389="","",batches!B401&amp;" / "&amp;batches!C401)</f>
        <v/>
      </c>
      <c r="I2390" s="101" t="n"/>
      <c r="J2390" s="102" t="n"/>
    </row>
    <row r="2391" ht="15.75" customHeight="1" s="84">
      <c r="A2391" s="80" t="inlineStr">
        <is>
          <t>Dates</t>
        </is>
      </c>
      <c r="B2391" s="103">
        <f>IF(A2389="","",TEXT(batches!D400,"yyyy-mm-dd")&amp;" to "&amp;TEXT(batches!E400,"yyyy-mm-dd"))</f>
        <v/>
      </c>
      <c r="C2391" s="101" t="n"/>
      <c r="D2391" s="102" t="n"/>
      <c r="G2391" s="80" t="inlineStr">
        <is>
          <t>Dates</t>
        </is>
      </c>
      <c r="H2391" s="103">
        <f>IF(G2389="","",TEXT(batches!D401,"yyyy-mm-dd")&amp;" to "&amp;TEXT(batches!E401,"yyyy-mm-dd"))</f>
        <v/>
      </c>
      <c r="I2391" s="101" t="n"/>
      <c r="J2391" s="102" t="n"/>
    </row>
    <row r="2392" ht="15.75" customHeight="1" s="84">
      <c r="A2392" s="80" t="inlineStr">
        <is>
          <t>Duration</t>
        </is>
      </c>
      <c r="B2392" s="103">
        <f>IF(OR(batches!D400="",batches!E400=""),"",batches!E400-batches!D400+1&amp;" days")</f>
        <v/>
      </c>
      <c r="C2392" s="101" t="n"/>
      <c r="D2392" s="102" t="n"/>
      <c r="G2392" s="80" t="inlineStr">
        <is>
          <t>Duration</t>
        </is>
      </c>
      <c r="H2392" s="103">
        <f>IF(OR(batches!D401="",batches!E401=""),"",batches!E401-batches!D401+1&amp;" days")</f>
        <v/>
      </c>
      <c r="I2392" s="101" t="n"/>
      <c r="J2392" s="102" t="n"/>
    </row>
    <row r="2393" ht="15.75" customHeight="1" s="84">
      <c r="A2393" s="80" t="inlineStr">
        <is>
          <t>Timing</t>
        </is>
      </c>
      <c r="B2393" s="103">
        <f>IF(A2389="","",batches!F400)</f>
        <v/>
      </c>
      <c r="C2393" s="101" t="n"/>
      <c r="D2393" s="102" t="n"/>
      <c r="G2393" s="80" t="inlineStr">
        <is>
          <t>Timing</t>
        </is>
      </c>
      <c r="H2393" s="103">
        <f>IF(G2389="","",batches!F401)</f>
        <v/>
      </c>
      <c r="I2393" s="101" t="n"/>
      <c r="J2393" s="102" t="n"/>
    </row>
    <row r="2394" ht="15.75" customHeight="1" s="84">
      <c r="A2394" s="80" t="inlineStr">
        <is>
          <t>Capacity</t>
        </is>
      </c>
      <c r="B2394" s="103">
        <f>IF(A2389="","",batches!G400)</f>
        <v/>
      </c>
      <c r="C2394" s="101" t="n"/>
      <c r="D2394" s="102" t="n"/>
      <c r="G2394" s="80" t="inlineStr">
        <is>
          <t>Capacity</t>
        </is>
      </c>
      <c r="H2394" s="103">
        <f>IF(G2389="","",batches!G401)</f>
        <v/>
      </c>
      <c r="I2394" s="101" t="n"/>
      <c r="J2394" s="102" t="n"/>
    </row>
    <row r="2395" ht="15.75" customHeight="1" s="84">
      <c r="A2395" s="80" t="inlineStr">
        <is>
          <t>Enrolled</t>
        </is>
      </c>
      <c r="B2395" s="103">
        <f>IF(A2389="","",COUNTIF(admissions!$M:$M,batches!A400))</f>
        <v/>
      </c>
      <c r="C2395" s="101" t="n"/>
      <c r="D2395" s="102" t="n"/>
      <c r="G2395" s="80" t="inlineStr">
        <is>
          <t>Enrolled</t>
        </is>
      </c>
      <c r="H2395" s="103">
        <f>IF(G2389="","",COUNTIF(admissions!$M:$M,batches!A401))</f>
        <v/>
      </c>
      <c r="I2395" s="101" t="n"/>
      <c r="J2395" s="102" t="n"/>
    </row>
    <row r="2396" ht="15.75" customHeight="1" s="84">
      <c r="A2396" s="80" t="inlineStr">
        <is>
          <t>Available</t>
        </is>
      </c>
      <c r="B2396" s="103">
        <f>IF(OR(batches!A400="",batches!G400=""),"",batches!G400-COUNTIF(admissions!$M:$M,batches!A400))</f>
        <v/>
      </c>
      <c r="C2396" s="101" t="n"/>
      <c r="D2396" s="102" t="n"/>
      <c r="G2396" s="80" t="inlineStr">
        <is>
          <t>Available</t>
        </is>
      </c>
      <c r="H2396" s="103">
        <f>IF(OR(batches!A401="",batches!G401=""),"",batches!G401-COUNTIF(admissions!$M:$M,batches!A401))</f>
        <v/>
      </c>
      <c r="I2396" s="101" t="n"/>
      <c r="J2396" s="102" t="n"/>
    </row>
    <row r="2397" ht="15.75" customHeight="1" s="84">
      <c r="A2397" s="104" t="inlineStr">
        <is>
          <t>Student List</t>
        </is>
      </c>
      <c r="B2397" s="101" t="n"/>
      <c r="C2397" s="101" t="n"/>
      <c r="D2397" s="102" t="n"/>
      <c r="G2397" s="104" t="inlineStr">
        <is>
          <t>Student List</t>
        </is>
      </c>
      <c r="H2397" s="101" t="n"/>
      <c r="I2397" s="101" t="n"/>
      <c r="J2397" s="102" t="n"/>
    </row>
    <row r="2398" ht="15.75" customHeight="1" s="84">
      <c r="A2398" s="105">
        <f>IFERROR(__xludf.DUMMYFUNCTION("IF(batches!A400="""","""",TEXTJOIN(CHAR(10),TRUE,FILTER(admissions!$G$2:$G$78,admissions!$M$2:$M$78=batches!A400,"""")))"),"")</f>
        <v/>
      </c>
      <c r="B2398" s="101" t="n"/>
      <c r="C2398" s="101" t="n"/>
      <c r="D2398" s="102" t="n"/>
      <c r="G2398" s="105">
        <f>IFERROR(__xludf.DUMMYFUNCTION("IF(batches!A401="""","""",TEXTJOIN(CHAR(10),TRUE,FILTER(admissions!$G$2:$G$78,admissions!$M$2:$M$78=batches!A401,"""")))"),"")</f>
        <v/>
      </c>
      <c r="H2398" s="101" t="n"/>
      <c r="I2398" s="101" t="n"/>
      <c r="J2398" s="102" t="n"/>
    </row>
    <row r="2399" ht="15.75" customHeight="1" s="84"/>
    <row r="2400" ht="15.75" customHeight="1" s="84"/>
    <row r="2401" ht="15.75" customHeight="1" s="84">
      <c r="A2401" s="100">
        <f>IF(batches!A402="","",batches!A402)</f>
        <v/>
      </c>
      <c r="B2401" s="101" t="n"/>
      <c r="C2401" s="101" t="n"/>
      <c r="D2401" s="102" t="n"/>
      <c r="G2401" s="100">
        <f>IF(batches!A403="","",batches!A403)</f>
        <v/>
      </c>
      <c r="H2401" s="101" t="n"/>
      <c r="I2401" s="101" t="n"/>
      <c r="J2401" s="102" t="n"/>
    </row>
    <row r="2402" ht="15.75" customHeight="1" s="84">
      <c r="A2402" s="80" t="inlineStr">
        <is>
          <t>Level / Mode</t>
        </is>
      </c>
      <c r="B2402" s="103">
        <f>IF(A2401="","",batches!B402&amp;" / "&amp;batches!C402)</f>
        <v/>
      </c>
      <c r="C2402" s="101" t="n"/>
      <c r="D2402" s="102" t="n"/>
      <c r="G2402" s="80" t="inlineStr">
        <is>
          <t>Level / Mode</t>
        </is>
      </c>
      <c r="H2402" s="103">
        <f>IF(G2401="","",batches!B403&amp;" / "&amp;batches!C403)</f>
        <v/>
      </c>
      <c r="I2402" s="101" t="n"/>
      <c r="J2402" s="102" t="n"/>
    </row>
    <row r="2403" ht="15.75" customHeight="1" s="84">
      <c r="A2403" s="80" t="inlineStr">
        <is>
          <t>Dates</t>
        </is>
      </c>
      <c r="B2403" s="103">
        <f>IF(A2401="","",TEXT(batches!D402,"yyyy-mm-dd")&amp;" to "&amp;TEXT(batches!E402,"yyyy-mm-dd"))</f>
        <v/>
      </c>
      <c r="C2403" s="101" t="n"/>
      <c r="D2403" s="102" t="n"/>
      <c r="G2403" s="80" t="inlineStr">
        <is>
          <t>Dates</t>
        </is>
      </c>
      <c r="H2403" s="103">
        <f>IF(G2401="","",TEXT(batches!D403,"yyyy-mm-dd")&amp;" to "&amp;TEXT(batches!E403,"yyyy-mm-dd"))</f>
        <v/>
      </c>
      <c r="I2403" s="101" t="n"/>
      <c r="J2403" s="102" t="n"/>
    </row>
    <row r="2404" ht="15.75" customHeight="1" s="84">
      <c r="A2404" s="80" t="inlineStr">
        <is>
          <t>Duration</t>
        </is>
      </c>
      <c r="B2404" s="103">
        <f>IF(OR(batches!D402="",batches!E402=""),"",batches!E402-batches!D402+1&amp;" days")</f>
        <v/>
      </c>
      <c r="C2404" s="101" t="n"/>
      <c r="D2404" s="102" t="n"/>
      <c r="G2404" s="80" t="inlineStr">
        <is>
          <t>Duration</t>
        </is>
      </c>
      <c r="H2404" s="103">
        <f>IF(OR(batches!D403="",batches!E403=""),"",batches!E403-batches!D403+1&amp;" days")</f>
        <v/>
      </c>
      <c r="I2404" s="101" t="n"/>
      <c r="J2404" s="102" t="n"/>
    </row>
    <row r="2405" ht="15.75" customHeight="1" s="84">
      <c r="A2405" s="80" t="inlineStr">
        <is>
          <t>Timing</t>
        </is>
      </c>
      <c r="B2405" s="103">
        <f>IF(A2401="","",batches!F402)</f>
        <v/>
      </c>
      <c r="C2405" s="101" t="n"/>
      <c r="D2405" s="102" t="n"/>
      <c r="G2405" s="80" t="inlineStr">
        <is>
          <t>Timing</t>
        </is>
      </c>
      <c r="H2405" s="103">
        <f>IF(G2401="","",batches!F403)</f>
        <v/>
      </c>
      <c r="I2405" s="101" t="n"/>
      <c r="J2405" s="102" t="n"/>
    </row>
    <row r="2406" ht="15.75" customHeight="1" s="84">
      <c r="A2406" s="80" t="inlineStr">
        <is>
          <t>Capacity</t>
        </is>
      </c>
      <c r="B2406" s="103">
        <f>IF(A2401="","",batches!G402)</f>
        <v/>
      </c>
      <c r="C2406" s="101" t="n"/>
      <c r="D2406" s="102" t="n"/>
      <c r="G2406" s="80" t="inlineStr">
        <is>
          <t>Capacity</t>
        </is>
      </c>
      <c r="H2406" s="103">
        <f>IF(G2401="","",batches!G403)</f>
        <v/>
      </c>
      <c r="I2406" s="101" t="n"/>
      <c r="J2406" s="102" t="n"/>
    </row>
    <row r="2407" ht="15.75" customHeight="1" s="84">
      <c r="A2407" s="80" t="inlineStr">
        <is>
          <t>Enrolled</t>
        </is>
      </c>
      <c r="B2407" s="103">
        <f>IF(A2401="","",COUNTIF(admissions!$M:$M,batches!A402))</f>
        <v/>
      </c>
      <c r="C2407" s="101" t="n"/>
      <c r="D2407" s="102" t="n"/>
      <c r="G2407" s="80" t="inlineStr">
        <is>
          <t>Enrolled</t>
        </is>
      </c>
      <c r="H2407" s="103">
        <f>IF(G2401="","",COUNTIF(admissions!$M:$M,batches!A403))</f>
        <v/>
      </c>
      <c r="I2407" s="101" t="n"/>
      <c r="J2407" s="102" t="n"/>
    </row>
    <row r="2408" ht="15.75" customHeight="1" s="84">
      <c r="A2408" s="80" t="inlineStr">
        <is>
          <t>Available</t>
        </is>
      </c>
      <c r="B2408" s="103">
        <f>IF(OR(batches!A402="",batches!G402=""),"",batches!G402-COUNTIF(admissions!$M:$M,batches!A402))</f>
        <v/>
      </c>
      <c r="C2408" s="101" t="n"/>
      <c r="D2408" s="102" t="n"/>
      <c r="G2408" s="80" t="inlineStr">
        <is>
          <t>Available</t>
        </is>
      </c>
      <c r="H2408" s="103">
        <f>IF(OR(batches!A403="",batches!G403=""),"",batches!G403-COUNTIF(admissions!$M:$M,batches!A403))</f>
        <v/>
      </c>
      <c r="I2408" s="101" t="n"/>
      <c r="J2408" s="102" t="n"/>
    </row>
    <row r="2409" ht="15.75" customHeight="1" s="84">
      <c r="A2409" s="104" t="inlineStr">
        <is>
          <t>Student List</t>
        </is>
      </c>
      <c r="B2409" s="101" t="n"/>
      <c r="C2409" s="101" t="n"/>
      <c r="D2409" s="102" t="n"/>
      <c r="G2409" s="104" t="inlineStr">
        <is>
          <t>Student List</t>
        </is>
      </c>
      <c r="H2409" s="101" t="n"/>
      <c r="I2409" s="101" t="n"/>
      <c r="J2409" s="102" t="n"/>
    </row>
    <row r="2410" ht="15.75" customHeight="1" s="84">
      <c r="A2410" s="105">
        <f>IFERROR(__xludf.DUMMYFUNCTION("IF(batches!A402="""","""",TEXTJOIN(CHAR(10),TRUE,FILTER(admissions!$G$2:$G$78,admissions!$M$2:$M$78=batches!A402,"""")))"),"")</f>
        <v/>
      </c>
      <c r="B2410" s="101" t="n"/>
      <c r="C2410" s="101" t="n"/>
      <c r="D2410" s="102" t="n"/>
      <c r="G2410" s="105">
        <f>IFERROR(__xludf.DUMMYFUNCTION("IF(batches!A403="""","""",TEXTJOIN(CHAR(10),TRUE,FILTER(admissions!$G$2:$G$78,admissions!$M$2:$M$78=batches!A403,"""")))"),"")</f>
        <v/>
      </c>
      <c r="H2410" s="101" t="n"/>
      <c r="I2410" s="101" t="n"/>
      <c r="J2410" s="102" t="n"/>
    </row>
    <row r="2411" ht="15.75" customHeight="1" s="84"/>
    <row r="2412" ht="15.75" customHeight="1" s="84"/>
    <row r="2413" ht="15.75" customHeight="1" s="84">
      <c r="A2413" s="100">
        <f>IF(batches!A404="","",batches!A404)</f>
        <v/>
      </c>
      <c r="B2413" s="101" t="n"/>
      <c r="C2413" s="101" t="n"/>
      <c r="D2413" s="102" t="n"/>
      <c r="G2413" s="100">
        <f>IF(batches!A405="","",batches!A405)</f>
        <v/>
      </c>
      <c r="H2413" s="101" t="n"/>
      <c r="I2413" s="101" t="n"/>
      <c r="J2413" s="102" t="n"/>
    </row>
    <row r="2414" ht="15.75" customHeight="1" s="84">
      <c r="A2414" s="80" t="inlineStr">
        <is>
          <t>Level / Mode</t>
        </is>
      </c>
      <c r="B2414" s="103">
        <f>IF(A2413="","",batches!B404&amp;" / "&amp;batches!C404)</f>
        <v/>
      </c>
      <c r="C2414" s="101" t="n"/>
      <c r="D2414" s="102" t="n"/>
      <c r="G2414" s="80" t="inlineStr">
        <is>
          <t>Level / Mode</t>
        </is>
      </c>
      <c r="H2414" s="103">
        <f>IF(G2413="","",batches!B405&amp;" / "&amp;batches!C405)</f>
        <v/>
      </c>
      <c r="I2414" s="101" t="n"/>
      <c r="J2414" s="102" t="n"/>
    </row>
    <row r="2415" ht="15.75" customHeight="1" s="84">
      <c r="A2415" s="80" t="inlineStr">
        <is>
          <t>Dates</t>
        </is>
      </c>
      <c r="B2415" s="103">
        <f>IF(A2413="","",TEXT(batches!D404,"yyyy-mm-dd")&amp;" to "&amp;TEXT(batches!E404,"yyyy-mm-dd"))</f>
        <v/>
      </c>
      <c r="C2415" s="101" t="n"/>
      <c r="D2415" s="102" t="n"/>
      <c r="G2415" s="80" t="inlineStr">
        <is>
          <t>Dates</t>
        </is>
      </c>
      <c r="H2415" s="103">
        <f>IF(G2413="","",TEXT(batches!D405,"yyyy-mm-dd")&amp;" to "&amp;TEXT(batches!E405,"yyyy-mm-dd"))</f>
        <v/>
      </c>
      <c r="I2415" s="101" t="n"/>
      <c r="J2415" s="102" t="n"/>
    </row>
    <row r="2416" ht="15.75" customHeight="1" s="84">
      <c r="A2416" s="80" t="inlineStr">
        <is>
          <t>Duration</t>
        </is>
      </c>
      <c r="B2416" s="103">
        <f>IF(OR(batches!D404="",batches!E404=""),"",batches!E404-batches!D404+1&amp;" days")</f>
        <v/>
      </c>
      <c r="C2416" s="101" t="n"/>
      <c r="D2416" s="102" t="n"/>
      <c r="G2416" s="80" t="inlineStr">
        <is>
          <t>Duration</t>
        </is>
      </c>
      <c r="H2416" s="103">
        <f>IF(OR(batches!D405="",batches!E405=""),"",batches!E405-batches!D405+1&amp;" days")</f>
        <v/>
      </c>
      <c r="I2416" s="101" t="n"/>
      <c r="J2416" s="102" t="n"/>
    </row>
    <row r="2417" ht="15.75" customHeight="1" s="84">
      <c r="A2417" s="80" t="inlineStr">
        <is>
          <t>Timing</t>
        </is>
      </c>
      <c r="B2417" s="103">
        <f>IF(A2413="","",batches!F404)</f>
        <v/>
      </c>
      <c r="C2417" s="101" t="n"/>
      <c r="D2417" s="102" t="n"/>
      <c r="G2417" s="80" t="inlineStr">
        <is>
          <t>Timing</t>
        </is>
      </c>
      <c r="H2417" s="103">
        <f>IF(G2413="","",batches!F405)</f>
        <v/>
      </c>
      <c r="I2417" s="101" t="n"/>
      <c r="J2417" s="102" t="n"/>
    </row>
    <row r="2418" ht="15.75" customHeight="1" s="84">
      <c r="A2418" s="80" t="inlineStr">
        <is>
          <t>Capacity</t>
        </is>
      </c>
      <c r="B2418" s="103">
        <f>IF(A2413="","",batches!G404)</f>
        <v/>
      </c>
      <c r="C2418" s="101" t="n"/>
      <c r="D2418" s="102" t="n"/>
      <c r="G2418" s="80" t="inlineStr">
        <is>
          <t>Capacity</t>
        </is>
      </c>
      <c r="H2418" s="103">
        <f>IF(G2413="","",batches!G405)</f>
        <v/>
      </c>
      <c r="I2418" s="101" t="n"/>
      <c r="J2418" s="102" t="n"/>
    </row>
    <row r="2419" ht="15.75" customHeight="1" s="84">
      <c r="A2419" s="80" t="inlineStr">
        <is>
          <t>Enrolled</t>
        </is>
      </c>
      <c r="B2419" s="103">
        <f>IF(A2413="","",COUNTIF(admissions!$M:$M,batches!A404))</f>
        <v/>
      </c>
      <c r="C2419" s="101" t="n"/>
      <c r="D2419" s="102" t="n"/>
      <c r="G2419" s="80" t="inlineStr">
        <is>
          <t>Enrolled</t>
        </is>
      </c>
      <c r="H2419" s="103">
        <f>IF(G2413="","",COUNTIF(admissions!$M:$M,batches!A405))</f>
        <v/>
      </c>
      <c r="I2419" s="101" t="n"/>
      <c r="J2419" s="102" t="n"/>
    </row>
    <row r="2420" ht="15.75" customHeight="1" s="84">
      <c r="A2420" s="80" t="inlineStr">
        <is>
          <t>Available</t>
        </is>
      </c>
      <c r="B2420" s="103">
        <f>IF(OR(batches!A404="",batches!G404=""),"",batches!G404-COUNTIF(admissions!$M:$M,batches!A404))</f>
        <v/>
      </c>
      <c r="C2420" s="101" t="n"/>
      <c r="D2420" s="102" t="n"/>
      <c r="G2420" s="80" t="inlineStr">
        <is>
          <t>Available</t>
        </is>
      </c>
      <c r="H2420" s="103">
        <f>IF(OR(batches!A405="",batches!G405=""),"",batches!G405-COUNTIF(admissions!$M:$M,batches!A405))</f>
        <v/>
      </c>
      <c r="I2420" s="101" t="n"/>
      <c r="J2420" s="102" t="n"/>
    </row>
    <row r="2421" ht="15.75" customHeight="1" s="84">
      <c r="A2421" s="104" t="inlineStr">
        <is>
          <t>Student List</t>
        </is>
      </c>
      <c r="B2421" s="101" t="n"/>
      <c r="C2421" s="101" t="n"/>
      <c r="D2421" s="102" t="n"/>
      <c r="G2421" s="104" t="inlineStr">
        <is>
          <t>Student List</t>
        </is>
      </c>
      <c r="H2421" s="101" t="n"/>
      <c r="I2421" s="101" t="n"/>
      <c r="J2421" s="102" t="n"/>
    </row>
    <row r="2422" ht="15.75" customHeight="1" s="84">
      <c r="A2422" s="105">
        <f>IFERROR(__xludf.DUMMYFUNCTION("IF(batches!A404="""","""",TEXTJOIN(CHAR(10),TRUE,FILTER(admissions!$G$2:$G$78,admissions!$M$2:$M$78=batches!A404,"""")))"),"")</f>
        <v/>
      </c>
      <c r="B2422" s="101" t="n"/>
      <c r="C2422" s="101" t="n"/>
      <c r="D2422" s="102" t="n"/>
      <c r="G2422" s="105">
        <f>IFERROR(__xludf.DUMMYFUNCTION("IF(batches!A405="""","""",TEXTJOIN(CHAR(10),TRUE,FILTER(admissions!$G$2:$G$78,admissions!$M$2:$M$78=batches!A405,"""")))"),"")</f>
        <v/>
      </c>
      <c r="H2422" s="101" t="n"/>
      <c r="I2422" s="101" t="n"/>
      <c r="J2422" s="102" t="n"/>
    </row>
    <row r="2423" ht="15.75" customHeight="1" s="84"/>
    <row r="2424" ht="15.75" customHeight="1" s="84"/>
    <row r="2425" ht="15.75" customHeight="1" s="84">
      <c r="A2425" s="100">
        <f>IF(batches!A406="","",batches!A406)</f>
        <v/>
      </c>
      <c r="B2425" s="101" t="n"/>
      <c r="C2425" s="101" t="n"/>
      <c r="D2425" s="102" t="n"/>
      <c r="G2425" s="100">
        <f>IF(batches!A407="","",batches!A407)</f>
        <v/>
      </c>
      <c r="H2425" s="101" t="n"/>
      <c r="I2425" s="101" t="n"/>
      <c r="J2425" s="102" t="n"/>
    </row>
    <row r="2426" ht="15.75" customHeight="1" s="84">
      <c r="A2426" s="80" t="inlineStr">
        <is>
          <t>Level / Mode</t>
        </is>
      </c>
      <c r="B2426" s="103">
        <f>IF(A2425="","",batches!B406&amp;" / "&amp;batches!C406)</f>
        <v/>
      </c>
      <c r="C2426" s="101" t="n"/>
      <c r="D2426" s="102" t="n"/>
      <c r="G2426" s="80" t="inlineStr">
        <is>
          <t>Level / Mode</t>
        </is>
      </c>
      <c r="H2426" s="103">
        <f>IF(G2425="","",batches!B407&amp;" / "&amp;batches!C407)</f>
        <v/>
      </c>
      <c r="I2426" s="101" t="n"/>
      <c r="J2426" s="102" t="n"/>
    </row>
    <row r="2427" ht="15.75" customHeight="1" s="84">
      <c r="A2427" s="80" t="inlineStr">
        <is>
          <t>Dates</t>
        </is>
      </c>
      <c r="B2427" s="103">
        <f>IF(A2425="","",TEXT(batches!D406,"yyyy-mm-dd")&amp;" to "&amp;TEXT(batches!E406,"yyyy-mm-dd"))</f>
        <v/>
      </c>
      <c r="C2427" s="101" t="n"/>
      <c r="D2427" s="102" t="n"/>
      <c r="G2427" s="80" t="inlineStr">
        <is>
          <t>Dates</t>
        </is>
      </c>
      <c r="H2427" s="103">
        <f>IF(G2425="","",TEXT(batches!D407,"yyyy-mm-dd")&amp;" to "&amp;TEXT(batches!E407,"yyyy-mm-dd"))</f>
        <v/>
      </c>
      <c r="I2427" s="101" t="n"/>
      <c r="J2427" s="102" t="n"/>
    </row>
    <row r="2428" ht="15.75" customHeight="1" s="84">
      <c r="A2428" s="80" t="inlineStr">
        <is>
          <t>Duration</t>
        </is>
      </c>
      <c r="B2428" s="103">
        <f>IF(OR(batches!D406="",batches!E406=""),"",batches!E406-batches!D406+1&amp;" days")</f>
        <v/>
      </c>
      <c r="C2428" s="101" t="n"/>
      <c r="D2428" s="102" t="n"/>
      <c r="G2428" s="80" t="inlineStr">
        <is>
          <t>Duration</t>
        </is>
      </c>
      <c r="H2428" s="103">
        <f>IF(OR(batches!D407="",batches!E407=""),"",batches!E407-batches!D407+1&amp;" days")</f>
        <v/>
      </c>
      <c r="I2428" s="101" t="n"/>
      <c r="J2428" s="102" t="n"/>
    </row>
    <row r="2429" ht="15.75" customHeight="1" s="84">
      <c r="A2429" s="80" t="inlineStr">
        <is>
          <t>Timing</t>
        </is>
      </c>
      <c r="B2429" s="103">
        <f>IF(A2425="","",batches!F406)</f>
        <v/>
      </c>
      <c r="C2429" s="101" t="n"/>
      <c r="D2429" s="102" t="n"/>
      <c r="G2429" s="80" t="inlineStr">
        <is>
          <t>Timing</t>
        </is>
      </c>
      <c r="H2429" s="103">
        <f>IF(G2425="","",batches!F407)</f>
        <v/>
      </c>
      <c r="I2429" s="101" t="n"/>
      <c r="J2429" s="102" t="n"/>
    </row>
    <row r="2430" ht="15.75" customHeight="1" s="84">
      <c r="A2430" s="80" t="inlineStr">
        <is>
          <t>Capacity</t>
        </is>
      </c>
      <c r="B2430" s="103">
        <f>IF(A2425="","",batches!G406)</f>
        <v/>
      </c>
      <c r="C2430" s="101" t="n"/>
      <c r="D2430" s="102" t="n"/>
      <c r="G2430" s="80" t="inlineStr">
        <is>
          <t>Capacity</t>
        </is>
      </c>
      <c r="H2430" s="103">
        <f>IF(G2425="","",batches!G407)</f>
        <v/>
      </c>
      <c r="I2430" s="101" t="n"/>
      <c r="J2430" s="102" t="n"/>
    </row>
    <row r="2431" ht="15.75" customHeight="1" s="84">
      <c r="A2431" s="80" t="inlineStr">
        <is>
          <t>Enrolled</t>
        </is>
      </c>
      <c r="B2431" s="103">
        <f>IF(A2425="","",COUNTIF(admissions!$M:$M,batches!A406))</f>
        <v/>
      </c>
      <c r="C2431" s="101" t="n"/>
      <c r="D2431" s="102" t="n"/>
      <c r="G2431" s="80" t="inlineStr">
        <is>
          <t>Enrolled</t>
        </is>
      </c>
      <c r="H2431" s="103">
        <f>IF(G2425="","",COUNTIF(admissions!$M:$M,batches!A407))</f>
        <v/>
      </c>
      <c r="I2431" s="101" t="n"/>
      <c r="J2431" s="102" t="n"/>
    </row>
    <row r="2432" ht="15.75" customHeight="1" s="84">
      <c r="A2432" s="80" t="inlineStr">
        <is>
          <t>Available</t>
        </is>
      </c>
      <c r="B2432" s="103">
        <f>IF(OR(batches!A406="",batches!G406=""),"",batches!G406-COUNTIF(admissions!$M:$M,batches!A406))</f>
        <v/>
      </c>
      <c r="C2432" s="101" t="n"/>
      <c r="D2432" s="102" t="n"/>
      <c r="G2432" s="80" t="inlineStr">
        <is>
          <t>Available</t>
        </is>
      </c>
      <c r="H2432" s="103">
        <f>IF(OR(batches!A407="",batches!G407=""),"",batches!G407-COUNTIF(admissions!$M:$M,batches!A407))</f>
        <v/>
      </c>
      <c r="I2432" s="101" t="n"/>
      <c r="J2432" s="102" t="n"/>
    </row>
    <row r="2433" ht="15.75" customHeight="1" s="84">
      <c r="A2433" s="104" t="inlineStr">
        <is>
          <t>Student List</t>
        </is>
      </c>
      <c r="B2433" s="101" t="n"/>
      <c r="C2433" s="101" t="n"/>
      <c r="D2433" s="102" t="n"/>
      <c r="G2433" s="104" t="inlineStr">
        <is>
          <t>Student List</t>
        </is>
      </c>
      <c r="H2433" s="101" t="n"/>
      <c r="I2433" s="101" t="n"/>
      <c r="J2433" s="102" t="n"/>
    </row>
    <row r="2434" ht="15.75" customHeight="1" s="84">
      <c r="A2434" s="105">
        <f>IFERROR(__xludf.DUMMYFUNCTION("IF(batches!A406="""","""",TEXTJOIN(CHAR(10),TRUE,FILTER(admissions!$G$2:$G$78,admissions!$M$2:$M$78=batches!A406,"""")))"),"")</f>
        <v/>
      </c>
      <c r="B2434" s="101" t="n"/>
      <c r="C2434" s="101" t="n"/>
      <c r="D2434" s="102" t="n"/>
      <c r="G2434" s="105">
        <f>IFERROR(__xludf.DUMMYFUNCTION("IF(batches!A407="""","""",TEXTJOIN(CHAR(10),TRUE,FILTER(admissions!$G$2:$G$78,admissions!$M$2:$M$78=batches!A407,"""")))"),"")</f>
        <v/>
      </c>
      <c r="H2434" s="101" t="n"/>
      <c r="I2434" s="101" t="n"/>
      <c r="J2434" s="102" t="n"/>
    </row>
    <row r="2435" ht="15.75" customHeight="1" s="84"/>
    <row r="2436" ht="15.75" customHeight="1" s="84"/>
    <row r="2437" ht="15.75" customHeight="1" s="84">
      <c r="A2437" s="100">
        <f>IF(batches!A408="","",batches!A408)</f>
        <v/>
      </c>
      <c r="B2437" s="101" t="n"/>
      <c r="C2437" s="101" t="n"/>
      <c r="D2437" s="102" t="n"/>
      <c r="G2437" s="100">
        <f>IF(batches!A409="","",batches!A409)</f>
        <v/>
      </c>
      <c r="H2437" s="101" t="n"/>
      <c r="I2437" s="101" t="n"/>
      <c r="J2437" s="102" t="n"/>
    </row>
    <row r="2438" ht="15.75" customHeight="1" s="84">
      <c r="A2438" s="80" t="inlineStr">
        <is>
          <t>Level / Mode</t>
        </is>
      </c>
      <c r="B2438" s="103">
        <f>IF(A2437="","",batches!B408&amp;" / "&amp;batches!C408)</f>
        <v/>
      </c>
      <c r="C2438" s="101" t="n"/>
      <c r="D2438" s="102" t="n"/>
      <c r="G2438" s="80" t="inlineStr">
        <is>
          <t>Level / Mode</t>
        </is>
      </c>
      <c r="H2438" s="103">
        <f>IF(G2437="","",batches!B409&amp;" / "&amp;batches!C409)</f>
        <v/>
      </c>
      <c r="I2438" s="101" t="n"/>
      <c r="J2438" s="102" t="n"/>
    </row>
    <row r="2439" ht="15.75" customHeight="1" s="84">
      <c r="A2439" s="80" t="inlineStr">
        <is>
          <t>Dates</t>
        </is>
      </c>
      <c r="B2439" s="103">
        <f>IF(A2437="","",TEXT(batches!D408,"yyyy-mm-dd")&amp;" to "&amp;TEXT(batches!E408,"yyyy-mm-dd"))</f>
        <v/>
      </c>
      <c r="C2439" s="101" t="n"/>
      <c r="D2439" s="102" t="n"/>
      <c r="G2439" s="80" t="inlineStr">
        <is>
          <t>Dates</t>
        </is>
      </c>
      <c r="H2439" s="103">
        <f>IF(G2437="","",TEXT(batches!D409,"yyyy-mm-dd")&amp;" to "&amp;TEXT(batches!E409,"yyyy-mm-dd"))</f>
        <v/>
      </c>
      <c r="I2439" s="101" t="n"/>
      <c r="J2439" s="102" t="n"/>
    </row>
    <row r="2440" ht="15.75" customHeight="1" s="84">
      <c r="A2440" s="80" t="inlineStr">
        <is>
          <t>Duration</t>
        </is>
      </c>
      <c r="B2440" s="103">
        <f>IF(OR(batches!D408="",batches!E408=""),"",batches!E408-batches!D408+1&amp;" days")</f>
        <v/>
      </c>
      <c r="C2440" s="101" t="n"/>
      <c r="D2440" s="102" t="n"/>
      <c r="G2440" s="80" t="inlineStr">
        <is>
          <t>Duration</t>
        </is>
      </c>
      <c r="H2440" s="103">
        <f>IF(OR(batches!D409="",batches!E409=""),"",batches!E409-batches!D409+1&amp;" days")</f>
        <v/>
      </c>
      <c r="I2440" s="101" t="n"/>
      <c r="J2440" s="102" t="n"/>
    </row>
    <row r="2441" ht="15.75" customHeight="1" s="84">
      <c r="A2441" s="80" t="inlineStr">
        <is>
          <t>Timing</t>
        </is>
      </c>
      <c r="B2441" s="103">
        <f>IF(A2437="","",batches!F408)</f>
        <v/>
      </c>
      <c r="C2441" s="101" t="n"/>
      <c r="D2441" s="102" t="n"/>
      <c r="G2441" s="80" t="inlineStr">
        <is>
          <t>Timing</t>
        </is>
      </c>
      <c r="H2441" s="103">
        <f>IF(G2437="","",batches!F409)</f>
        <v/>
      </c>
      <c r="I2441" s="101" t="n"/>
      <c r="J2441" s="102" t="n"/>
    </row>
    <row r="2442" ht="15.75" customHeight="1" s="84">
      <c r="A2442" s="80" t="inlineStr">
        <is>
          <t>Capacity</t>
        </is>
      </c>
      <c r="B2442" s="103">
        <f>IF(A2437="","",batches!G408)</f>
        <v/>
      </c>
      <c r="C2442" s="101" t="n"/>
      <c r="D2442" s="102" t="n"/>
      <c r="G2442" s="80" t="inlineStr">
        <is>
          <t>Capacity</t>
        </is>
      </c>
      <c r="H2442" s="103">
        <f>IF(G2437="","",batches!G409)</f>
        <v/>
      </c>
      <c r="I2442" s="101" t="n"/>
      <c r="J2442" s="102" t="n"/>
    </row>
    <row r="2443" ht="15.75" customHeight="1" s="84">
      <c r="A2443" s="80" t="inlineStr">
        <is>
          <t>Enrolled</t>
        </is>
      </c>
      <c r="B2443" s="103">
        <f>IF(A2437="","",COUNTIF(admissions!$M:$M,batches!A408))</f>
        <v/>
      </c>
      <c r="C2443" s="101" t="n"/>
      <c r="D2443" s="102" t="n"/>
      <c r="G2443" s="80" t="inlineStr">
        <is>
          <t>Enrolled</t>
        </is>
      </c>
      <c r="H2443" s="103">
        <f>IF(G2437="","",COUNTIF(admissions!$M:$M,batches!A409))</f>
        <v/>
      </c>
      <c r="I2443" s="101" t="n"/>
      <c r="J2443" s="102" t="n"/>
    </row>
    <row r="2444" ht="15.75" customHeight="1" s="84">
      <c r="A2444" s="80" t="inlineStr">
        <is>
          <t>Available</t>
        </is>
      </c>
      <c r="B2444" s="103">
        <f>IF(OR(batches!A408="",batches!G408=""),"",batches!G408-COUNTIF(admissions!$M:$M,batches!A408))</f>
        <v/>
      </c>
      <c r="C2444" s="101" t="n"/>
      <c r="D2444" s="102" t="n"/>
      <c r="G2444" s="80" t="inlineStr">
        <is>
          <t>Available</t>
        </is>
      </c>
      <c r="H2444" s="103">
        <f>IF(OR(batches!A409="",batches!G409=""),"",batches!G409-COUNTIF(admissions!$M:$M,batches!A409))</f>
        <v/>
      </c>
      <c r="I2444" s="101" t="n"/>
      <c r="J2444" s="102" t="n"/>
    </row>
    <row r="2445" ht="15.75" customHeight="1" s="84">
      <c r="A2445" s="104" t="inlineStr">
        <is>
          <t>Student List</t>
        </is>
      </c>
      <c r="B2445" s="101" t="n"/>
      <c r="C2445" s="101" t="n"/>
      <c r="D2445" s="102" t="n"/>
      <c r="G2445" s="104" t="inlineStr">
        <is>
          <t>Student List</t>
        </is>
      </c>
      <c r="H2445" s="101" t="n"/>
      <c r="I2445" s="101" t="n"/>
      <c r="J2445" s="102" t="n"/>
    </row>
    <row r="2446" ht="15.75" customHeight="1" s="84">
      <c r="A2446" s="105">
        <f>IFERROR(__xludf.DUMMYFUNCTION("IF(batches!A408="""","""",TEXTJOIN(CHAR(10),TRUE,FILTER(admissions!$G$2:$G$78,admissions!$M$2:$M$78=batches!A408,"""")))"),"")</f>
        <v/>
      </c>
      <c r="B2446" s="101" t="n"/>
      <c r="C2446" s="101" t="n"/>
      <c r="D2446" s="102" t="n"/>
      <c r="G2446" s="105">
        <f>IFERROR(__xludf.DUMMYFUNCTION("IF(batches!A409="""","""",TEXTJOIN(CHAR(10),TRUE,FILTER(admissions!$G$2:$G$78,admissions!$M$2:$M$78=batches!A409,"""")))"),"")</f>
        <v/>
      </c>
      <c r="H2446" s="101" t="n"/>
      <c r="I2446" s="101" t="n"/>
      <c r="J2446" s="102" t="n"/>
    </row>
    <row r="2447" ht="15.75" customHeight="1" s="84"/>
    <row r="2448" ht="15.75" customHeight="1" s="84"/>
    <row r="2449" ht="15.75" customHeight="1" s="84">
      <c r="A2449" s="100">
        <f>IF(batches!A410="","",batches!A410)</f>
        <v/>
      </c>
      <c r="B2449" s="101" t="n"/>
      <c r="C2449" s="101" t="n"/>
      <c r="D2449" s="102" t="n"/>
      <c r="G2449" s="100">
        <f>IF(batches!A411="","",batches!A411)</f>
        <v/>
      </c>
      <c r="H2449" s="101" t="n"/>
      <c r="I2449" s="101" t="n"/>
      <c r="J2449" s="102" t="n"/>
    </row>
    <row r="2450" ht="15.75" customHeight="1" s="84">
      <c r="A2450" s="80" t="inlineStr">
        <is>
          <t>Level / Mode</t>
        </is>
      </c>
      <c r="B2450" s="103">
        <f>IF(A2449="","",batches!B410&amp;" / "&amp;batches!C410)</f>
        <v/>
      </c>
      <c r="C2450" s="101" t="n"/>
      <c r="D2450" s="102" t="n"/>
      <c r="G2450" s="80" t="inlineStr">
        <is>
          <t>Level / Mode</t>
        </is>
      </c>
      <c r="H2450" s="103">
        <f>IF(G2449="","",batches!B411&amp;" / "&amp;batches!C411)</f>
        <v/>
      </c>
      <c r="I2450" s="101" t="n"/>
      <c r="J2450" s="102" t="n"/>
    </row>
    <row r="2451" ht="15.75" customHeight="1" s="84">
      <c r="A2451" s="80" t="inlineStr">
        <is>
          <t>Dates</t>
        </is>
      </c>
      <c r="B2451" s="103">
        <f>IF(A2449="","",TEXT(batches!D410,"yyyy-mm-dd")&amp;" to "&amp;TEXT(batches!E410,"yyyy-mm-dd"))</f>
        <v/>
      </c>
      <c r="C2451" s="101" t="n"/>
      <c r="D2451" s="102" t="n"/>
      <c r="G2451" s="80" t="inlineStr">
        <is>
          <t>Dates</t>
        </is>
      </c>
      <c r="H2451" s="103">
        <f>IF(G2449="","",TEXT(batches!D411,"yyyy-mm-dd")&amp;" to "&amp;TEXT(batches!E411,"yyyy-mm-dd"))</f>
        <v/>
      </c>
      <c r="I2451" s="101" t="n"/>
      <c r="J2451" s="102" t="n"/>
    </row>
    <row r="2452" ht="15.75" customHeight="1" s="84">
      <c r="A2452" s="80" t="inlineStr">
        <is>
          <t>Duration</t>
        </is>
      </c>
      <c r="B2452" s="103">
        <f>IF(OR(batches!D410="",batches!E410=""),"",batches!E410-batches!D410+1&amp;" days")</f>
        <v/>
      </c>
      <c r="C2452" s="101" t="n"/>
      <c r="D2452" s="102" t="n"/>
      <c r="G2452" s="80" t="inlineStr">
        <is>
          <t>Duration</t>
        </is>
      </c>
      <c r="H2452" s="103">
        <f>IF(OR(batches!D411="",batches!E411=""),"",batches!E411-batches!D411+1&amp;" days")</f>
        <v/>
      </c>
      <c r="I2452" s="101" t="n"/>
      <c r="J2452" s="102" t="n"/>
    </row>
    <row r="2453" ht="15.75" customHeight="1" s="84">
      <c r="A2453" s="80" t="inlineStr">
        <is>
          <t>Timing</t>
        </is>
      </c>
      <c r="B2453" s="103">
        <f>IF(A2449="","",batches!F410)</f>
        <v/>
      </c>
      <c r="C2453" s="101" t="n"/>
      <c r="D2453" s="102" t="n"/>
      <c r="G2453" s="80" t="inlineStr">
        <is>
          <t>Timing</t>
        </is>
      </c>
      <c r="H2453" s="103">
        <f>IF(G2449="","",batches!F411)</f>
        <v/>
      </c>
      <c r="I2453" s="101" t="n"/>
      <c r="J2453" s="102" t="n"/>
    </row>
    <row r="2454" ht="15.75" customHeight="1" s="84">
      <c r="A2454" s="80" t="inlineStr">
        <is>
          <t>Capacity</t>
        </is>
      </c>
      <c r="B2454" s="103">
        <f>IF(A2449="","",batches!G410)</f>
        <v/>
      </c>
      <c r="C2454" s="101" t="n"/>
      <c r="D2454" s="102" t="n"/>
      <c r="G2454" s="80" t="inlineStr">
        <is>
          <t>Capacity</t>
        </is>
      </c>
      <c r="H2454" s="103">
        <f>IF(G2449="","",batches!G411)</f>
        <v/>
      </c>
      <c r="I2454" s="101" t="n"/>
      <c r="J2454" s="102" t="n"/>
    </row>
    <row r="2455" ht="15.75" customHeight="1" s="84">
      <c r="A2455" s="80" t="inlineStr">
        <is>
          <t>Enrolled</t>
        </is>
      </c>
      <c r="B2455" s="103">
        <f>IF(A2449="","",COUNTIF(admissions!$M:$M,batches!A410))</f>
        <v/>
      </c>
      <c r="C2455" s="101" t="n"/>
      <c r="D2455" s="102" t="n"/>
      <c r="G2455" s="80" t="inlineStr">
        <is>
          <t>Enrolled</t>
        </is>
      </c>
      <c r="H2455" s="103">
        <f>IF(G2449="","",COUNTIF(admissions!$M:$M,batches!A411))</f>
        <v/>
      </c>
      <c r="I2455" s="101" t="n"/>
      <c r="J2455" s="102" t="n"/>
    </row>
    <row r="2456" ht="15.75" customHeight="1" s="84">
      <c r="A2456" s="80" t="inlineStr">
        <is>
          <t>Available</t>
        </is>
      </c>
      <c r="B2456" s="103">
        <f>IF(OR(batches!A410="",batches!G410=""),"",batches!G410-COUNTIF(admissions!$M:$M,batches!A410))</f>
        <v/>
      </c>
      <c r="C2456" s="101" t="n"/>
      <c r="D2456" s="102" t="n"/>
      <c r="G2456" s="80" t="inlineStr">
        <is>
          <t>Available</t>
        </is>
      </c>
      <c r="H2456" s="103">
        <f>IF(OR(batches!A411="",batches!G411=""),"",batches!G411-COUNTIF(admissions!$M:$M,batches!A411))</f>
        <v/>
      </c>
      <c r="I2456" s="101" t="n"/>
      <c r="J2456" s="102" t="n"/>
    </row>
    <row r="2457" ht="15.75" customHeight="1" s="84">
      <c r="A2457" s="104" t="inlineStr">
        <is>
          <t>Student List</t>
        </is>
      </c>
      <c r="B2457" s="101" t="n"/>
      <c r="C2457" s="101" t="n"/>
      <c r="D2457" s="102" t="n"/>
      <c r="G2457" s="104" t="inlineStr">
        <is>
          <t>Student List</t>
        </is>
      </c>
      <c r="H2457" s="101" t="n"/>
      <c r="I2457" s="101" t="n"/>
      <c r="J2457" s="102" t="n"/>
    </row>
    <row r="2458" ht="15.75" customHeight="1" s="84">
      <c r="A2458" s="105">
        <f>IFERROR(__xludf.DUMMYFUNCTION("IF(batches!A410="""","""",TEXTJOIN(CHAR(10),TRUE,FILTER(admissions!$G$2:$G$78,admissions!$M$2:$M$78=batches!A410,"""")))"),"")</f>
        <v/>
      </c>
      <c r="B2458" s="101" t="n"/>
      <c r="C2458" s="101" t="n"/>
      <c r="D2458" s="102" t="n"/>
      <c r="G2458" s="105">
        <f>IFERROR(__xludf.DUMMYFUNCTION("IF(batches!A411="""","""",TEXTJOIN(CHAR(10),TRUE,FILTER(admissions!$G$2:$G$78,admissions!$M$2:$M$78=batches!A411,"""")))"),"")</f>
        <v/>
      </c>
      <c r="H2458" s="101" t="n"/>
      <c r="I2458" s="101" t="n"/>
      <c r="J2458" s="102" t="n"/>
    </row>
    <row r="2459" ht="15.75" customHeight="1" s="84"/>
    <row r="2460" ht="15.75" customHeight="1" s="84"/>
    <row r="2461" ht="15.75" customHeight="1" s="84">
      <c r="A2461" s="100">
        <f>IF(batches!A412="","",batches!A412)</f>
        <v/>
      </c>
      <c r="B2461" s="101" t="n"/>
      <c r="C2461" s="101" t="n"/>
      <c r="D2461" s="102" t="n"/>
      <c r="G2461" s="100">
        <f>IF(batches!A413="","",batches!A413)</f>
        <v/>
      </c>
      <c r="H2461" s="101" t="n"/>
      <c r="I2461" s="101" t="n"/>
      <c r="J2461" s="102" t="n"/>
    </row>
    <row r="2462" ht="15.75" customHeight="1" s="84">
      <c r="A2462" s="80" t="inlineStr">
        <is>
          <t>Level / Mode</t>
        </is>
      </c>
      <c r="B2462" s="103">
        <f>IF(A2461="","",batches!B412&amp;" / "&amp;batches!C412)</f>
        <v/>
      </c>
      <c r="C2462" s="101" t="n"/>
      <c r="D2462" s="102" t="n"/>
      <c r="G2462" s="80" t="inlineStr">
        <is>
          <t>Level / Mode</t>
        </is>
      </c>
      <c r="H2462" s="103">
        <f>IF(G2461="","",batches!B413&amp;" / "&amp;batches!C413)</f>
        <v/>
      </c>
      <c r="I2462" s="101" t="n"/>
      <c r="J2462" s="102" t="n"/>
    </row>
    <row r="2463" ht="15.75" customHeight="1" s="84">
      <c r="A2463" s="80" t="inlineStr">
        <is>
          <t>Dates</t>
        </is>
      </c>
      <c r="B2463" s="103">
        <f>IF(A2461="","",TEXT(batches!D412,"yyyy-mm-dd")&amp;" to "&amp;TEXT(batches!E412,"yyyy-mm-dd"))</f>
        <v/>
      </c>
      <c r="C2463" s="101" t="n"/>
      <c r="D2463" s="102" t="n"/>
      <c r="G2463" s="80" t="inlineStr">
        <is>
          <t>Dates</t>
        </is>
      </c>
      <c r="H2463" s="103">
        <f>IF(G2461="","",TEXT(batches!D413,"yyyy-mm-dd")&amp;" to "&amp;TEXT(batches!E413,"yyyy-mm-dd"))</f>
        <v/>
      </c>
      <c r="I2463" s="101" t="n"/>
      <c r="J2463" s="102" t="n"/>
    </row>
    <row r="2464" ht="15.75" customHeight="1" s="84">
      <c r="A2464" s="80" t="inlineStr">
        <is>
          <t>Duration</t>
        </is>
      </c>
      <c r="B2464" s="103">
        <f>IF(OR(batches!D412="",batches!E412=""),"",batches!E412-batches!D412+1&amp;" days")</f>
        <v/>
      </c>
      <c r="C2464" s="101" t="n"/>
      <c r="D2464" s="102" t="n"/>
      <c r="G2464" s="80" t="inlineStr">
        <is>
          <t>Duration</t>
        </is>
      </c>
      <c r="H2464" s="103">
        <f>IF(OR(batches!D413="",batches!E413=""),"",batches!E413-batches!D413+1&amp;" days")</f>
        <v/>
      </c>
      <c r="I2464" s="101" t="n"/>
      <c r="J2464" s="102" t="n"/>
    </row>
    <row r="2465" ht="15.75" customHeight="1" s="84">
      <c r="A2465" s="80" t="inlineStr">
        <is>
          <t>Timing</t>
        </is>
      </c>
      <c r="B2465" s="103">
        <f>IF(A2461="","",batches!F412)</f>
        <v/>
      </c>
      <c r="C2465" s="101" t="n"/>
      <c r="D2465" s="102" t="n"/>
      <c r="G2465" s="80" t="inlineStr">
        <is>
          <t>Timing</t>
        </is>
      </c>
      <c r="H2465" s="103">
        <f>IF(G2461="","",batches!F413)</f>
        <v/>
      </c>
      <c r="I2465" s="101" t="n"/>
      <c r="J2465" s="102" t="n"/>
    </row>
    <row r="2466" ht="15.75" customHeight="1" s="84">
      <c r="A2466" s="80" t="inlineStr">
        <is>
          <t>Capacity</t>
        </is>
      </c>
      <c r="B2466" s="103">
        <f>IF(A2461="","",batches!G412)</f>
        <v/>
      </c>
      <c r="C2466" s="101" t="n"/>
      <c r="D2466" s="102" t="n"/>
      <c r="G2466" s="80" t="inlineStr">
        <is>
          <t>Capacity</t>
        </is>
      </c>
      <c r="H2466" s="103">
        <f>IF(G2461="","",batches!G413)</f>
        <v/>
      </c>
      <c r="I2466" s="101" t="n"/>
      <c r="J2466" s="102" t="n"/>
    </row>
    <row r="2467" ht="15.75" customHeight="1" s="84">
      <c r="A2467" s="80" t="inlineStr">
        <is>
          <t>Enrolled</t>
        </is>
      </c>
      <c r="B2467" s="103">
        <f>IF(A2461="","",COUNTIF(admissions!$M:$M,batches!A412))</f>
        <v/>
      </c>
      <c r="C2467" s="101" t="n"/>
      <c r="D2467" s="102" t="n"/>
      <c r="G2467" s="80" t="inlineStr">
        <is>
          <t>Enrolled</t>
        </is>
      </c>
      <c r="H2467" s="103">
        <f>IF(G2461="","",COUNTIF(admissions!$M:$M,batches!A413))</f>
        <v/>
      </c>
      <c r="I2467" s="101" t="n"/>
      <c r="J2467" s="102" t="n"/>
    </row>
    <row r="2468" ht="15.75" customHeight="1" s="84">
      <c r="A2468" s="80" t="inlineStr">
        <is>
          <t>Available</t>
        </is>
      </c>
      <c r="B2468" s="103">
        <f>IF(OR(batches!A412="",batches!G412=""),"",batches!G412-COUNTIF(admissions!$M:$M,batches!A412))</f>
        <v/>
      </c>
      <c r="C2468" s="101" t="n"/>
      <c r="D2468" s="102" t="n"/>
      <c r="G2468" s="80" t="inlineStr">
        <is>
          <t>Available</t>
        </is>
      </c>
      <c r="H2468" s="103">
        <f>IF(OR(batches!A413="",batches!G413=""),"",batches!G413-COUNTIF(admissions!$M:$M,batches!A413))</f>
        <v/>
      </c>
      <c r="I2468" s="101" t="n"/>
      <c r="J2468" s="102" t="n"/>
    </row>
    <row r="2469" ht="15.75" customHeight="1" s="84">
      <c r="A2469" s="104" t="inlineStr">
        <is>
          <t>Student List</t>
        </is>
      </c>
      <c r="B2469" s="101" t="n"/>
      <c r="C2469" s="101" t="n"/>
      <c r="D2469" s="102" t="n"/>
      <c r="G2469" s="104" t="inlineStr">
        <is>
          <t>Student List</t>
        </is>
      </c>
      <c r="H2469" s="101" t="n"/>
      <c r="I2469" s="101" t="n"/>
      <c r="J2469" s="102" t="n"/>
    </row>
    <row r="2470" ht="15.75" customHeight="1" s="84">
      <c r="A2470" s="105">
        <f>IFERROR(__xludf.DUMMYFUNCTION("IF(batches!A412="""","""",TEXTJOIN(CHAR(10),TRUE,FILTER(admissions!$G$2:$G$78,admissions!$M$2:$M$78=batches!A412,"""")))"),"")</f>
        <v/>
      </c>
      <c r="B2470" s="101" t="n"/>
      <c r="C2470" s="101" t="n"/>
      <c r="D2470" s="102" t="n"/>
      <c r="G2470" s="105">
        <f>IFERROR(__xludf.DUMMYFUNCTION("IF(batches!A413="""","""",TEXTJOIN(CHAR(10),TRUE,FILTER(admissions!$G$2:$G$78,admissions!$M$2:$M$78=batches!A413,"""")))"),"")</f>
        <v/>
      </c>
      <c r="H2470" s="101" t="n"/>
      <c r="I2470" s="101" t="n"/>
      <c r="J2470" s="102" t="n"/>
    </row>
    <row r="2471" ht="15.75" customHeight="1" s="84"/>
    <row r="2472" ht="15.75" customHeight="1" s="84"/>
    <row r="2473" ht="15.75" customHeight="1" s="84">
      <c r="A2473" s="100">
        <f>IF(batches!A414="","",batches!A414)</f>
        <v/>
      </c>
      <c r="B2473" s="101" t="n"/>
      <c r="C2473" s="101" t="n"/>
      <c r="D2473" s="102" t="n"/>
      <c r="G2473" s="100">
        <f>IF(batches!A415="","",batches!A415)</f>
        <v/>
      </c>
      <c r="H2473" s="101" t="n"/>
      <c r="I2473" s="101" t="n"/>
      <c r="J2473" s="102" t="n"/>
    </row>
    <row r="2474" ht="15.75" customHeight="1" s="84">
      <c r="A2474" s="80" t="inlineStr">
        <is>
          <t>Level / Mode</t>
        </is>
      </c>
      <c r="B2474" s="103">
        <f>IF(A2473="","",batches!B414&amp;" / "&amp;batches!C414)</f>
        <v/>
      </c>
      <c r="C2474" s="101" t="n"/>
      <c r="D2474" s="102" t="n"/>
      <c r="G2474" s="80" t="inlineStr">
        <is>
          <t>Level / Mode</t>
        </is>
      </c>
      <c r="H2474" s="103">
        <f>IF(G2473="","",batches!B415&amp;" / "&amp;batches!C415)</f>
        <v/>
      </c>
      <c r="I2474" s="101" t="n"/>
      <c r="J2474" s="102" t="n"/>
    </row>
    <row r="2475" ht="15.75" customHeight="1" s="84">
      <c r="A2475" s="80" t="inlineStr">
        <is>
          <t>Dates</t>
        </is>
      </c>
      <c r="B2475" s="103">
        <f>IF(A2473="","",TEXT(batches!D414,"yyyy-mm-dd")&amp;" to "&amp;TEXT(batches!E414,"yyyy-mm-dd"))</f>
        <v/>
      </c>
      <c r="C2475" s="101" t="n"/>
      <c r="D2475" s="102" t="n"/>
      <c r="G2475" s="80" t="inlineStr">
        <is>
          <t>Dates</t>
        </is>
      </c>
      <c r="H2475" s="103">
        <f>IF(G2473="","",TEXT(batches!D415,"yyyy-mm-dd")&amp;" to "&amp;TEXT(batches!E415,"yyyy-mm-dd"))</f>
        <v/>
      </c>
      <c r="I2475" s="101" t="n"/>
      <c r="J2475" s="102" t="n"/>
    </row>
    <row r="2476" ht="15.75" customHeight="1" s="84">
      <c r="A2476" s="80" t="inlineStr">
        <is>
          <t>Duration</t>
        </is>
      </c>
      <c r="B2476" s="103">
        <f>IF(OR(batches!D414="",batches!E414=""),"",batches!E414-batches!D414+1&amp;" days")</f>
        <v/>
      </c>
      <c r="C2476" s="101" t="n"/>
      <c r="D2476" s="102" t="n"/>
      <c r="G2476" s="80" t="inlineStr">
        <is>
          <t>Duration</t>
        </is>
      </c>
      <c r="H2476" s="103">
        <f>IF(OR(batches!D415="",batches!E415=""),"",batches!E415-batches!D415+1&amp;" days")</f>
        <v/>
      </c>
      <c r="I2476" s="101" t="n"/>
      <c r="J2476" s="102" t="n"/>
    </row>
    <row r="2477" ht="15.75" customHeight="1" s="84">
      <c r="A2477" s="80" t="inlineStr">
        <is>
          <t>Timing</t>
        </is>
      </c>
      <c r="B2477" s="103">
        <f>IF(A2473="","",batches!F414)</f>
        <v/>
      </c>
      <c r="C2477" s="101" t="n"/>
      <c r="D2477" s="102" t="n"/>
      <c r="G2477" s="80" t="inlineStr">
        <is>
          <t>Timing</t>
        </is>
      </c>
      <c r="H2477" s="103">
        <f>IF(G2473="","",batches!F415)</f>
        <v/>
      </c>
      <c r="I2477" s="101" t="n"/>
      <c r="J2477" s="102" t="n"/>
    </row>
    <row r="2478" ht="15.75" customHeight="1" s="84">
      <c r="A2478" s="80" t="inlineStr">
        <is>
          <t>Capacity</t>
        </is>
      </c>
      <c r="B2478" s="103">
        <f>IF(A2473="","",batches!G414)</f>
        <v/>
      </c>
      <c r="C2478" s="101" t="n"/>
      <c r="D2478" s="102" t="n"/>
      <c r="G2478" s="80" t="inlineStr">
        <is>
          <t>Capacity</t>
        </is>
      </c>
      <c r="H2478" s="103">
        <f>IF(G2473="","",batches!G415)</f>
        <v/>
      </c>
      <c r="I2478" s="101" t="n"/>
      <c r="J2478" s="102" t="n"/>
    </row>
    <row r="2479" ht="15.75" customHeight="1" s="84">
      <c r="A2479" s="80" t="inlineStr">
        <is>
          <t>Enrolled</t>
        </is>
      </c>
      <c r="B2479" s="103">
        <f>IF(A2473="","",COUNTIF(admissions!$M:$M,batches!A414))</f>
        <v/>
      </c>
      <c r="C2479" s="101" t="n"/>
      <c r="D2479" s="102" t="n"/>
      <c r="G2479" s="80" t="inlineStr">
        <is>
          <t>Enrolled</t>
        </is>
      </c>
      <c r="H2479" s="103">
        <f>IF(G2473="","",COUNTIF(admissions!$M:$M,batches!A415))</f>
        <v/>
      </c>
      <c r="I2479" s="101" t="n"/>
      <c r="J2479" s="102" t="n"/>
    </row>
    <row r="2480" ht="15.75" customHeight="1" s="84">
      <c r="A2480" s="80" t="inlineStr">
        <is>
          <t>Available</t>
        </is>
      </c>
      <c r="B2480" s="103">
        <f>IF(OR(batches!A414="",batches!G414=""),"",batches!G414-COUNTIF(admissions!$M:$M,batches!A414))</f>
        <v/>
      </c>
      <c r="C2480" s="101" t="n"/>
      <c r="D2480" s="102" t="n"/>
      <c r="G2480" s="80" t="inlineStr">
        <is>
          <t>Available</t>
        </is>
      </c>
      <c r="H2480" s="103">
        <f>IF(OR(batches!A415="",batches!G415=""),"",batches!G415-COUNTIF(admissions!$M:$M,batches!A415))</f>
        <v/>
      </c>
      <c r="I2480" s="101" t="n"/>
      <c r="J2480" s="102" t="n"/>
    </row>
    <row r="2481" ht="15.75" customHeight="1" s="84">
      <c r="A2481" s="104" t="inlineStr">
        <is>
          <t>Student List</t>
        </is>
      </c>
      <c r="B2481" s="101" t="n"/>
      <c r="C2481" s="101" t="n"/>
      <c r="D2481" s="102" t="n"/>
      <c r="G2481" s="104" t="inlineStr">
        <is>
          <t>Student List</t>
        </is>
      </c>
      <c r="H2481" s="101" t="n"/>
      <c r="I2481" s="101" t="n"/>
      <c r="J2481" s="102" t="n"/>
    </row>
    <row r="2482" ht="15.75" customHeight="1" s="84">
      <c r="A2482" s="105">
        <f>IFERROR(__xludf.DUMMYFUNCTION("IF(batches!A414="""","""",TEXTJOIN(CHAR(10),TRUE,FILTER(admissions!$G$2:$G$78,admissions!$M$2:$M$78=batches!A414,"""")))"),"")</f>
        <v/>
      </c>
      <c r="B2482" s="101" t="n"/>
      <c r="C2482" s="101" t="n"/>
      <c r="D2482" s="102" t="n"/>
      <c r="G2482" s="105">
        <f>IFERROR(__xludf.DUMMYFUNCTION("IF(batches!A415="""","""",TEXTJOIN(CHAR(10),TRUE,FILTER(admissions!$G$2:$G$78,admissions!$M$2:$M$78=batches!A415,"""")))"),"")</f>
        <v/>
      </c>
      <c r="H2482" s="101" t="n"/>
      <c r="I2482" s="101" t="n"/>
      <c r="J2482" s="102" t="n"/>
    </row>
    <row r="2483" ht="15.75" customHeight="1" s="84"/>
    <row r="2484" ht="15.75" customHeight="1" s="84"/>
    <row r="2485" ht="15.75" customHeight="1" s="84">
      <c r="A2485" s="100">
        <f>IF(batches!A416="","",batches!A416)</f>
        <v/>
      </c>
      <c r="B2485" s="101" t="n"/>
      <c r="C2485" s="101" t="n"/>
      <c r="D2485" s="102" t="n"/>
      <c r="G2485" s="100">
        <f>IF(batches!A417="","",batches!A417)</f>
        <v/>
      </c>
      <c r="H2485" s="101" t="n"/>
      <c r="I2485" s="101" t="n"/>
      <c r="J2485" s="102" t="n"/>
    </row>
    <row r="2486" ht="15.75" customHeight="1" s="84">
      <c r="A2486" s="80" t="inlineStr">
        <is>
          <t>Level / Mode</t>
        </is>
      </c>
      <c r="B2486" s="103">
        <f>IF(A2485="","",batches!B416&amp;" / "&amp;batches!C416)</f>
        <v/>
      </c>
      <c r="C2486" s="101" t="n"/>
      <c r="D2486" s="102" t="n"/>
      <c r="G2486" s="80" t="inlineStr">
        <is>
          <t>Level / Mode</t>
        </is>
      </c>
      <c r="H2486" s="103">
        <f>IF(G2485="","",batches!B417&amp;" / "&amp;batches!C417)</f>
        <v/>
      </c>
      <c r="I2486" s="101" t="n"/>
      <c r="J2486" s="102" t="n"/>
    </row>
    <row r="2487" ht="15.75" customHeight="1" s="84">
      <c r="A2487" s="80" t="inlineStr">
        <is>
          <t>Dates</t>
        </is>
      </c>
      <c r="B2487" s="103">
        <f>IF(A2485="","",TEXT(batches!D416,"yyyy-mm-dd")&amp;" to "&amp;TEXT(batches!E416,"yyyy-mm-dd"))</f>
        <v/>
      </c>
      <c r="C2487" s="101" t="n"/>
      <c r="D2487" s="102" t="n"/>
      <c r="G2487" s="80" t="inlineStr">
        <is>
          <t>Dates</t>
        </is>
      </c>
      <c r="H2487" s="103">
        <f>IF(G2485="","",TEXT(batches!D417,"yyyy-mm-dd")&amp;" to "&amp;TEXT(batches!E417,"yyyy-mm-dd"))</f>
        <v/>
      </c>
      <c r="I2487" s="101" t="n"/>
      <c r="J2487" s="102" t="n"/>
    </row>
    <row r="2488" ht="15.75" customHeight="1" s="84">
      <c r="A2488" s="80" t="inlineStr">
        <is>
          <t>Duration</t>
        </is>
      </c>
      <c r="B2488" s="103">
        <f>IF(OR(batches!D416="",batches!E416=""),"",batches!E416-batches!D416+1&amp;" days")</f>
        <v/>
      </c>
      <c r="C2488" s="101" t="n"/>
      <c r="D2488" s="102" t="n"/>
      <c r="G2488" s="80" t="inlineStr">
        <is>
          <t>Duration</t>
        </is>
      </c>
      <c r="H2488" s="103">
        <f>IF(OR(batches!D417="",batches!E417=""),"",batches!E417-batches!D417+1&amp;" days")</f>
        <v/>
      </c>
      <c r="I2488" s="101" t="n"/>
      <c r="J2488" s="102" t="n"/>
    </row>
    <row r="2489" ht="15.75" customHeight="1" s="84">
      <c r="A2489" s="80" t="inlineStr">
        <is>
          <t>Timing</t>
        </is>
      </c>
      <c r="B2489" s="103">
        <f>IF(A2485="","",batches!F416)</f>
        <v/>
      </c>
      <c r="C2489" s="101" t="n"/>
      <c r="D2489" s="102" t="n"/>
      <c r="G2489" s="80" t="inlineStr">
        <is>
          <t>Timing</t>
        </is>
      </c>
      <c r="H2489" s="103">
        <f>IF(G2485="","",batches!F417)</f>
        <v/>
      </c>
      <c r="I2489" s="101" t="n"/>
      <c r="J2489" s="102" t="n"/>
    </row>
    <row r="2490" ht="15.75" customHeight="1" s="84">
      <c r="A2490" s="80" t="inlineStr">
        <is>
          <t>Capacity</t>
        </is>
      </c>
      <c r="B2490" s="103">
        <f>IF(A2485="","",batches!G416)</f>
        <v/>
      </c>
      <c r="C2490" s="101" t="n"/>
      <c r="D2490" s="102" t="n"/>
      <c r="G2490" s="80" t="inlineStr">
        <is>
          <t>Capacity</t>
        </is>
      </c>
      <c r="H2490" s="103">
        <f>IF(G2485="","",batches!G417)</f>
        <v/>
      </c>
      <c r="I2490" s="101" t="n"/>
      <c r="J2490" s="102" t="n"/>
    </row>
    <row r="2491" ht="15.75" customHeight="1" s="84">
      <c r="A2491" s="80" t="inlineStr">
        <is>
          <t>Enrolled</t>
        </is>
      </c>
      <c r="B2491" s="103">
        <f>IF(A2485="","",COUNTIF(admissions!$M:$M,batches!A416))</f>
        <v/>
      </c>
      <c r="C2491" s="101" t="n"/>
      <c r="D2491" s="102" t="n"/>
      <c r="G2491" s="80" t="inlineStr">
        <is>
          <t>Enrolled</t>
        </is>
      </c>
      <c r="H2491" s="103">
        <f>IF(G2485="","",COUNTIF(admissions!$M:$M,batches!A417))</f>
        <v/>
      </c>
      <c r="I2491" s="101" t="n"/>
      <c r="J2491" s="102" t="n"/>
    </row>
    <row r="2492" ht="15.75" customHeight="1" s="84">
      <c r="A2492" s="80" t="inlineStr">
        <is>
          <t>Available</t>
        </is>
      </c>
      <c r="B2492" s="103">
        <f>IF(OR(batches!A416="",batches!G416=""),"",batches!G416-COUNTIF(admissions!$M:$M,batches!A416))</f>
        <v/>
      </c>
      <c r="C2492" s="101" t="n"/>
      <c r="D2492" s="102" t="n"/>
      <c r="G2492" s="80" t="inlineStr">
        <is>
          <t>Available</t>
        </is>
      </c>
      <c r="H2492" s="103">
        <f>IF(OR(batches!A417="",batches!G417=""),"",batches!G417-COUNTIF(admissions!$M:$M,batches!A417))</f>
        <v/>
      </c>
      <c r="I2492" s="101" t="n"/>
      <c r="J2492" s="102" t="n"/>
    </row>
    <row r="2493" ht="15.75" customHeight="1" s="84">
      <c r="A2493" s="104" t="inlineStr">
        <is>
          <t>Student List</t>
        </is>
      </c>
      <c r="B2493" s="101" t="n"/>
      <c r="C2493" s="101" t="n"/>
      <c r="D2493" s="102" t="n"/>
      <c r="G2493" s="104" t="inlineStr">
        <is>
          <t>Student List</t>
        </is>
      </c>
      <c r="H2493" s="101" t="n"/>
      <c r="I2493" s="101" t="n"/>
      <c r="J2493" s="102" t="n"/>
    </row>
    <row r="2494" ht="15.75" customHeight="1" s="84">
      <c r="A2494" s="105">
        <f>IFERROR(__xludf.DUMMYFUNCTION("IF(batches!A416="""","""",TEXTJOIN(CHAR(10),TRUE,FILTER(admissions!$G$2:$G$78,admissions!$M$2:$M$78=batches!A416,"""")))"),"")</f>
        <v/>
      </c>
      <c r="B2494" s="101" t="n"/>
      <c r="C2494" s="101" t="n"/>
      <c r="D2494" s="102" t="n"/>
      <c r="G2494" s="105">
        <f>IFERROR(__xludf.DUMMYFUNCTION("IF(batches!A417="""","""",TEXTJOIN(CHAR(10),TRUE,FILTER(admissions!$G$2:$G$78,admissions!$M$2:$M$78=batches!A417,"""")))"),"")</f>
        <v/>
      </c>
      <c r="H2494" s="101" t="n"/>
      <c r="I2494" s="101" t="n"/>
      <c r="J2494" s="102" t="n"/>
    </row>
    <row r="2495" ht="15.75" customHeight="1" s="84"/>
    <row r="2496" ht="15.75" customHeight="1" s="84"/>
    <row r="2497" ht="15.75" customHeight="1" s="84">
      <c r="A2497" s="100">
        <f>IF(batches!A418="","",batches!A418)</f>
        <v/>
      </c>
      <c r="B2497" s="101" t="n"/>
      <c r="C2497" s="101" t="n"/>
      <c r="D2497" s="102" t="n"/>
      <c r="G2497" s="100">
        <f>IF(batches!A419="","",batches!A419)</f>
        <v/>
      </c>
      <c r="H2497" s="101" t="n"/>
      <c r="I2497" s="101" t="n"/>
      <c r="J2497" s="102" t="n"/>
    </row>
    <row r="2498" ht="15.75" customHeight="1" s="84">
      <c r="A2498" s="80" t="inlineStr">
        <is>
          <t>Level / Mode</t>
        </is>
      </c>
      <c r="B2498" s="103">
        <f>IF(A2497="","",batches!B418&amp;" / "&amp;batches!C418)</f>
        <v/>
      </c>
      <c r="C2498" s="101" t="n"/>
      <c r="D2498" s="102" t="n"/>
      <c r="G2498" s="80" t="inlineStr">
        <is>
          <t>Level / Mode</t>
        </is>
      </c>
      <c r="H2498" s="103">
        <f>IF(G2497="","",batches!B419&amp;" / "&amp;batches!C419)</f>
        <v/>
      </c>
      <c r="I2498" s="101" t="n"/>
      <c r="J2498" s="102" t="n"/>
    </row>
    <row r="2499" ht="15.75" customHeight="1" s="84">
      <c r="A2499" s="80" t="inlineStr">
        <is>
          <t>Dates</t>
        </is>
      </c>
      <c r="B2499" s="103">
        <f>IF(A2497="","",TEXT(batches!D418,"yyyy-mm-dd")&amp;" to "&amp;TEXT(batches!E418,"yyyy-mm-dd"))</f>
        <v/>
      </c>
      <c r="C2499" s="101" t="n"/>
      <c r="D2499" s="102" t="n"/>
      <c r="G2499" s="80" t="inlineStr">
        <is>
          <t>Dates</t>
        </is>
      </c>
      <c r="H2499" s="103">
        <f>IF(G2497="","",TEXT(batches!D419,"yyyy-mm-dd")&amp;" to "&amp;TEXT(batches!E419,"yyyy-mm-dd"))</f>
        <v/>
      </c>
      <c r="I2499" s="101" t="n"/>
      <c r="J2499" s="102" t="n"/>
    </row>
    <row r="2500" ht="15.75" customHeight="1" s="84">
      <c r="A2500" s="80" t="inlineStr">
        <is>
          <t>Duration</t>
        </is>
      </c>
      <c r="B2500" s="103">
        <f>IF(OR(batches!D418="",batches!E418=""),"",batches!E418-batches!D418+1&amp;" days")</f>
        <v/>
      </c>
      <c r="C2500" s="101" t="n"/>
      <c r="D2500" s="102" t="n"/>
      <c r="G2500" s="80" t="inlineStr">
        <is>
          <t>Duration</t>
        </is>
      </c>
      <c r="H2500" s="103">
        <f>IF(OR(batches!D419="",batches!E419=""),"",batches!E419-batches!D419+1&amp;" days")</f>
        <v/>
      </c>
      <c r="I2500" s="101" t="n"/>
      <c r="J2500" s="102" t="n"/>
    </row>
    <row r="2501" ht="15.75" customHeight="1" s="84">
      <c r="A2501" s="80" t="inlineStr">
        <is>
          <t>Timing</t>
        </is>
      </c>
      <c r="B2501" s="103">
        <f>IF(A2497="","",batches!F418)</f>
        <v/>
      </c>
      <c r="C2501" s="101" t="n"/>
      <c r="D2501" s="102" t="n"/>
      <c r="G2501" s="80" t="inlineStr">
        <is>
          <t>Timing</t>
        </is>
      </c>
      <c r="H2501" s="103">
        <f>IF(G2497="","",batches!F419)</f>
        <v/>
      </c>
      <c r="I2501" s="101" t="n"/>
      <c r="J2501" s="102" t="n"/>
    </row>
    <row r="2502" ht="15.75" customHeight="1" s="84">
      <c r="A2502" s="80" t="inlineStr">
        <is>
          <t>Capacity</t>
        </is>
      </c>
      <c r="B2502" s="103">
        <f>IF(A2497="","",batches!G418)</f>
        <v/>
      </c>
      <c r="C2502" s="101" t="n"/>
      <c r="D2502" s="102" t="n"/>
      <c r="G2502" s="80" t="inlineStr">
        <is>
          <t>Capacity</t>
        </is>
      </c>
      <c r="H2502" s="103">
        <f>IF(G2497="","",batches!G419)</f>
        <v/>
      </c>
      <c r="I2502" s="101" t="n"/>
      <c r="J2502" s="102" t="n"/>
    </row>
    <row r="2503" ht="15.75" customHeight="1" s="84">
      <c r="A2503" s="80" t="inlineStr">
        <is>
          <t>Enrolled</t>
        </is>
      </c>
      <c r="B2503" s="103">
        <f>IF(A2497="","",COUNTIF(admissions!$M:$M,batches!A418))</f>
        <v/>
      </c>
      <c r="C2503" s="101" t="n"/>
      <c r="D2503" s="102" t="n"/>
      <c r="G2503" s="80" t="inlineStr">
        <is>
          <t>Enrolled</t>
        </is>
      </c>
      <c r="H2503" s="103">
        <f>IF(G2497="","",COUNTIF(admissions!$M:$M,batches!A419))</f>
        <v/>
      </c>
      <c r="I2503" s="101" t="n"/>
      <c r="J2503" s="102" t="n"/>
    </row>
    <row r="2504" ht="15.75" customHeight="1" s="84">
      <c r="A2504" s="80" t="inlineStr">
        <is>
          <t>Available</t>
        </is>
      </c>
      <c r="B2504" s="103">
        <f>IF(OR(batches!A418="",batches!G418=""),"",batches!G418-COUNTIF(admissions!$M:$M,batches!A418))</f>
        <v/>
      </c>
      <c r="C2504" s="101" t="n"/>
      <c r="D2504" s="102" t="n"/>
      <c r="G2504" s="80" t="inlineStr">
        <is>
          <t>Available</t>
        </is>
      </c>
      <c r="H2504" s="103">
        <f>IF(OR(batches!A419="",batches!G419=""),"",batches!G419-COUNTIF(admissions!$M:$M,batches!A419))</f>
        <v/>
      </c>
      <c r="I2504" s="101" t="n"/>
      <c r="J2504" s="102" t="n"/>
    </row>
    <row r="2505" ht="15.75" customHeight="1" s="84">
      <c r="A2505" s="104" t="inlineStr">
        <is>
          <t>Student List</t>
        </is>
      </c>
      <c r="B2505" s="101" t="n"/>
      <c r="C2505" s="101" t="n"/>
      <c r="D2505" s="102" t="n"/>
      <c r="G2505" s="104" t="inlineStr">
        <is>
          <t>Student List</t>
        </is>
      </c>
      <c r="H2505" s="101" t="n"/>
      <c r="I2505" s="101" t="n"/>
      <c r="J2505" s="102" t="n"/>
    </row>
    <row r="2506" ht="15.75" customHeight="1" s="84">
      <c r="A2506" s="105">
        <f>IFERROR(__xludf.DUMMYFUNCTION("IF(batches!A418="""","""",TEXTJOIN(CHAR(10),TRUE,FILTER(admissions!$G$2:$G$78,admissions!$M$2:$M$78=batches!A418,"""")))"),"")</f>
        <v/>
      </c>
      <c r="B2506" s="101" t="n"/>
      <c r="C2506" s="101" t="n"/>
      <c r="D2506" s="102" t="n"/>
      <c r="G2506" s="105">
        <f>IFERROR(__xludf.DUMMYFUNCTION("IF(batches!A419="""","""",TEXTJOIN(CHAR(10),TRUE,FILTER(admissions!$G$2:$G$78,admissions!$M$2:$M$78=batches!A419,"""")))"),"")</f>
        <v/>
      </c>
      <c r="H2506" s="101" t="n"/>
      <c r="I2506" s="101" t="n"/>
      <c r="J2506" s="102" t="n"/>
    </row>
    <row r="2507" ht="15.75" customHeight="1" s="84"/>
    <row r="2508" ht="15.75" customHeight="1" s="84"/>
    <row r="2509" ht="15.75" customHeight="1" s="84">
      <c r="A2509" s="100">
        <f>IF(batches!A420="","",batches!A420)</f>
        <v/>
      </c>
      <c r="B2509" s="101" t="n"/>
      <c r="C2509" s="101" t="n"/>
      <c r="D2509" s="102" t="n"/>
      <c r="G2509" s="100">
        <f>IF(batches!A421="","",batches!A421)</f>
        <v/>
      </c>
      <c r="H2509" s="101" t="n"/>
      <c r="I2509" s="101" t="n"/>
      <c r="J2509" s="102" t="n"/>
    </row>
    <row r="2510" ht="15.75" customHeight="1" s="84">
      <c r="A2510" s="80" t="inlineStr">
        <is>
          <t>Level / Mode</t>
        </is>
      </c>
      <c r="B2510" s="103">
        <f>IF(A2509="","",batches!B420&amp;" / "&amp;batches!C420)</f>
        <v/>
      </c>
      <c r="C2510" s="101" t="n"/>
      <c r="D2510" s="102" t="n"/>
      <c r="G2510" s="80" t="inlineStr">
        <is>
          <t>Level / Mode</t>
        </is>
      </c>
      <c r="H2510" s="103">
        <f>IF(G2509="","",batches!B421&amp;" / "&amp;batches!C421)</f>
        <v/>
      </c>
      <c r="I2510" s="101" t="n"/>
      <c r="J2510" s="102" t="n"/>
    </row>
    <row r="2511" ht="15.75" customHeight="1" s="84">
      <c r="A2511" s="80" t="inlineStr">
        <is>
          <t>Dates</t>
        </is>
      </c>
      <c r="B2511" s="103">
        <f>IF(A2509="","",TEXT(batches!D420,"yyyy-mm-dd")&amp;" to "&amp;TEXT(batches!E420,"yyyy-mm-dd"))</f>
        <v/>
      </c>
      <c r="C2511" s="101" t="n"/>
      <c r="D2511" s="102" t="n"/>
      <c r="G2511" s="80" t="inlineStr">
        <is>
          <t>Dates</t>
        </is>
      </c>
      <c r="H2511" s="103">
        <f>IF(G2509="","",TEXT(batches!D421,"yyyy-mm-dd")&amp;" to "&amp;TEXT(batches!E421,"yyyy-mm-dd"))</f>
        <v/>
      </c>
      <c r="I2511" s="101" t="n"/>
      <c r="J2511" s="102" t="n"/>
    </row>
    <row r="2512" ht="15.75" customHeight="1" s="84">
      <c r="A2512" s="80" t="inlineStr">
        <is>
          <t>Duration</t>
        </is>
      </c>
      <c r="B2512" s="103">
        <f>IF(OR(batches!D420="",batches!E420=""),"",batches!E420-batches!D420+1&amp;" days")</f>
        <v/>
      </c>
      <c r="C2512" s="101" t="n"/>
      <c r="D2512" s="102" t="n"/>
      <c r="G2512" s="80" t="inlineStr">
        <is>
          <t>Duration</t>
        </is>
      </c>
      <c r="H2512" s="103">
        <f>IF(OR(batches!D421="",batches!E421=""),"",batches!E421-batches!D421+1&amp;" days")</f>
        <v/>
      </c>
      <c r="I2512" s="101" t="n"/>
      <c r="J2512" s="102" t="n"/>
    </row>
    <row r="2513" ht="15.75" customHeight="1" s="84">
      <c r="A2513" s="80" t="inlineStr">
        <is>
          <t>Timing</t>
        </is>
      </c>
      <c r="B2513" s="103">
        <f>IF(A2509="","",batches!F420)</f>
        <v/>
      </c>
      <c r="C2513" s="101" t="n"/>
      <c r="D2513" s="102" t="n"/>
      <c r="G2513" s="80" t="inlineStr">
        <is>
          <t>Timing</t>
        </is>
      </c>
      <c r="H2513" s="103">
        <f>IF(G2509="","",batches!F421)</f>
        <v/>
      </c>
      <c r="I2513" s="101" t="n"/>
      <c r="J2513" s="102" t="n"/>
    </row>
    <row r="2514" ht="15.75" customHeight="1" s="84">
      <c r="A2514" s="80" t="inlineStr">
        <is>
          <t>Capacity</t>
        </is>
      </c>
      <c r="B2514" s="103">
        <f>IF(A2509="","",batches!G420)</f>
        <v/>
      </c>
      <c r="C2514" s="101" t="n"/>
      <c r="D2514" s="102" t="n"/>
      <c r="G2514" s="80" t="inlineStr">
        <is>
          <t>Capacity</t>
        </is>
      </c>
      <c r="H2514" s="103">
        <f>IF(G2509="","",batches!G421)</f>
        <v/>
      </c>
      <c r="I2514" s="101" t="n"/>
      <c r="J2514" s="102" t="n"/>
    </row>
    <row r="2515" ht="15.75" customHeight="1" s="84">
      <c r="A2515" s="80" t="inlineStr">
        <is>
          <t>Enrolled</t>
        </is>
      </c>
      <c r="B2515" s="103">
        <f>IF(A2509="","",COUNTIF(admissions!$M:$M,batches!A420))</f>
        <v/>
      </c>
      <c r="C2515" s="101" t="n"/>
      <c r="D2515" s="102" t="n"/>
      <c r="G2515" s="80" t="inlineStr">
        <is>
          <t>Enrolled</t>
        </is>
      </c>
      <c r="H2515" s="103">
        <f>IF(G2509="","",COUNTIF(admissions!$M:$M,batches!A421))</f>
        <v/>
      </c>
      <c r="I2515" s="101" t="n"/>
      <c r="J2515" s="102" t="n"/>
    </row>
    <row r="2516" ht="15.75" customHeight="1" s="84">
      <c r="A2516" s="80" t="inlineStr">
        <is>
          <t>Available</t>
        </is>
      </c>
      <c r="B2516" s="103">
        <f>IF(OR(batches!A420="",batches!G420=""),"",batches!G420-COUNTIF(admissions!$M:$M,batches!A420))</f>
        <v/>
      </c>
      <c r="C2516" s="101" t="n"/>
      <c r="D2516" s="102" t="n"/>
      <c r="G2516" s="80" t="inlineStr">
        <is>
          <t>Available</t>
        </is>
      </c>
      <c r="H2516" s="103">
        <f>IF(OR(batches!A421="",batches!G421=""),"",batches!G421-COUNTIF(admissions!$M:$M,batches!A421))</f>
        <v/>
      </c>
      <c r="I2516" s="101" t="n"/>
      <c r="J2516" s="102" t="n"/>
    </row>
    <row r="2517" ht="15.75" customHeight="1" s="84">
      <c r="A2517" s="104" t="inlineStr">
        <is>
          <t>Student List</t>
        </is>
      </c>
      <c r="B2517" s="101" t="n"/>
      <c r="C2517" s="101" t="n"/>
      <c r="D2517" s="102" t="n"/>
      <c r="G2517" s="104" t="inlineStr">
        <is>
          <t>Student List</t>
        </is>
      </c>
      <c r="H2517" s="101" t="n"/>
      <c r="I2517" s="101" t="n"/>
      <c r="J2517" s="102" t="n"/>
    </row>
    <row r="2518" ht="15.75" customHeight="1" s="84">
      <c r="A2518" s="105">
        <f>IFERROR(__xludf.DUMMYFUNCTION("IF(batches!A420="""","""",TEXTJOIN(CHAR(10),TRUE,FILTER(admissions!$G$2:$G$78,admissions!$M$2:$M$78=batches!A420,"""")))"),"")</f>
        <v/>
      </c>
      <c r="B2518" s="101" t="n"/>
      <c r="C2518" s="101" t="n"/>
      <c r="D2518" s="102" t="n"/>
      <c r="G2518" s="105">
        <f>IFERROR(__xludf.DUMMYFUNCTION("IF(batches!A421="""","""",TEXTJOIN(CHAR(10),TRUE,FILTER(admissions!$G$2:$G$78,admissions!$M$2:$M$78=batches!A421,"""")))"),"")</f>
        <v/>
      </c>
      <c r="H2518" s="101" t="n"/>
      <c r="I2518" s="101" t="n"/>
      <c r="J2518" s="102" t="n"/>
    </row>
    <row r="2519" ht="15.75" customHeight="1" s="84"/>
    <row r="2520" ht="15.75" customHeight="1" s="84"/>
    <row r="2521" ht="15.75" customHeight="1" s="84">
      <c r="A2521" s="100">
        <f>IF(batches!A422="","",batches!A422)</f>
        <v/>
      </c>
      <c r="B2521" s="101" t="n"/>
      <c r="C2521" s="101" t="n"/>
      <c r="D2521" s="102" t="n"/>
      <c r="G2521" s="100">
        <f>IF(batches!A423="","",batches!A423)</f>
        <v/>
      </c>
      <c r="H2521" s="101" t="n"/>
      <c r="I2521" s="101" t="n"/>
      <c r="J2521" s="102" t="n"/>
    </row>
    <row r="2522" ht="15.75" customHeight="1" s="84">
      <c r="A2522" s="80" t="inlineStr">
        <is>
          <t>Level / Mode</t>
        </is>
      </c>
      <c r="B2522" s="103">
        <f>IF(A2521="","",batches!B422&amp;" / "&amp;batches!C422)</f>
        <v/>
      </c>
      <c r="C2522" s="101" t="n"/>
      <c r="D2522" s="102" t="n"/>
      <c r="G2522" s="80" t="inlineStr">
        <is>
          <t>Level / Mode</t>
        </is>
      </c>
      <c r="H2522" s="103">
        <f>IF(G2521="","",batches!B423&amp;" / "&amp;batches!C423)</f>
        <v/>
      </c>
      <c r="I2522" s="101" t="n"/>
      <c r="J2522" s="102" t="n"/>
    </row>
    <row r="2523" ht="15.75" customHeight="1" s="84">
      <c r="A2523" s="80" t="inlineStr">
        <is>
          <t>Dates</t>
        </is>
      </c>
      <c r="B2523" s="103">
        <f>IF(A2521="","",TEXT(batches!D422,"yyyy-mm-dd")&amp;" to "&amp;TEXT(batches!E422,"yyyy-mm-dd"))</f>
        <v/>
      </c>
      <c r="C2523" s="101" t="n"/>
      <c r="D2523" s="102" t="n"/>
      <c r="G2523" s="80" t="inlineStr">
        <is>
          <t>Dates</t>
        </is>
      </c>
      <c r="H2523" s="103">
        <f>IF(G2521="","",TEXT(batches!D423,"yyyy-mm-dd")&amp;" to "&amp;TEXT(batches!E423,"yyyy-mm-dd"))</f>
        <v/>
      </c>
      <c r="I2523" s="101" t="n"/>
      <c r="J2523" s="102" t="n"/>
    </row>
    <row r="2524" ht="15.75" customHeight="1" s="84">
      <c r="A2524" s="80" t="inlineStr">
        <is>
          <t>Duration</t>
        </is>
      </c>
      <c r="B2524" s="103">
        <f>IF(OR(batches!D422="",batches!E422=""),"",batches!E422-batches!D422+1&amp;" days")</f>
        <v/>
      </c>
      <c r="C2524" s="101" t="n"/>
      <c r="D2524" s="102" t="n"/>
      <c r="G2524" s="80" t="inlineStr">
        <is>
          <t>Duration</t>
        </is>
      </c>
      <c r="H2524" s="103">
        <f>IF(OR(batches!D423="",batches!E423=""),"",batches!E423-batches!D423+1&amp;" days")</f>
        <v/>
      </c>
      <c r="I2524" s="101" t="n"/>
      <c r="J2524" s="102" t="n"/>
    </row>
    <row r="2525" ht="15.75" customHeight="1" s="84">
      <c r="A2525" s="80" t="inlineStr">
        <is>
          <t>Timing</t>
        </is>
      </c>
      <c r="B2525" s="103">
        <f>IF(A2521="","",batches!F422)</f>
        <v/>
      </c>
      <c r="C2525" s="101" t="n"/>
      <c r="D2525" s="102" t="n"/>
      <c r="G2525" s="80" t="inlineStr">
        <is>
          <t>Timing</t>
        </is>
      </c>
      <c r="H2525" s="103">
        <f>IF(G2521="","",batches!F423)</f>
        <v/>
      </c>
      <c r="I2525" s="101" t="n"/>
      <c r="J2525" s="102" t="n"/>
    </row>
    <row r="2526" ht="15.75" customHeight="1" s="84">
      <c r="A2526" s="80" t="inlineStr">
        <is>
          <t>Capacity</t>
        </is>
      </c>
      <c r="B2526" s="103">
        <f>IF(A2521="","",batches!G422)</f>
        <v/>
      </c>
      <c r="C2526" s="101" t="n"/>
      <c r="D2526" s="102" t="n"/>
      <c r="G2526" s="80" t="inlineStr">
        <is>
          <t>Capacity</t>
        </is>
      </c>
      <c r="H2526" s="103">
        <f>IF(G2521="","",batches!G423)</f>
        <v/>
      </c>
      <c r="I2526" s="101" t="n"/>
      <c r="J2526" s="102" t="n"/>
    </row>
    <row r="2527" ht="15.75" customHeight="1" s="84">
      <c r="A2527" s="80" t="inlineStr">
        <is>
          <t>Enrolled</t>
        </is>
      </c>
      <c r="B2527" s="103">
        <f>IF(A2521="","",COUNTIF(admissions!$M:$M,batches!A422))</f>
        <v/>
      </c>
      <c r="C2527" s="101" t="n"/>
      <c r="D2527" s="102" t="n"/>
      <c r="G2527" s="80" t="inlineStr">
        <is>
          <t>Enrolled</t>
        </is>
      </c>
      <c r="H2527" s="103">
        <f>IF(G2521="","",COUNTIF(admissions!$M:$M,batches!A423))</f>
        <v/>
      </c>
      <c r="I2527" s="101" t="n"/>
      <c r="J2527" s="102" t="n"/>
    </row>
    <row r="2528" ht="15.75" customHeight="1" s="84">
      <c r="A2528" s="80" t="inlineStr">
        <is>
          <t>Available</t>
        </is>
      </c>
      <c r="B2528" s="103">
        <f>IF(OR(batches!A422="",batches!G422=""),"",batches!G422-COUNTIF(admissions!$M:$M,batches!A422))</f>
        <v/>
      </c>
      <c r="C2528" s="101" t="n"/>
      <c r="D2528" s="102" t="n"/>
      <c r="G2528" s="80" t="inlineStr">
        <is>
          <t>Available</t>
        </is>
      </c>
      <c r="H2528" s="103">
        <f>IF(OR(batches!A423="",batches!G423=""),"",batches!G423-COUNTIF(admissions!$M:$M,batches!A423))</f>
        <v/>
      </c>
      <c r="I2528" s="101" t="n"/>
      <c r="J2528" s="102" t="n"/>
    </row>
    <row r="2529" ht="15.75" customHeight="1" s="84">
      <c r="A2529" s="104" t="inlineStr">
        <is>
          <t>Student List</t>
        </is>
      </c>
      <c r="B2529" s="101" t="n"/>
      <c r="C2529" s="101" t="n"/>
      <c r="D2529" s="102" t="n"/>
      <c r="G2529" s="104" t="inlineStr">
        <is>
          <t>Student List</t>
        </is>
      </c>
      <c r="H2529" s="101" t="n"/>
      <c r="I2529" s="101" t="n"/>
      <c r="J2529" s="102" t="n"/>
    </row>
    <row r="2530" ht="15.75" customHeight="1" s="84">
      <c r="A2530" s="105">
        <f>IFERROR(__xludf.DUMMYFUNCTION("IF(batches!A422="""","""",TEXTJOIN(CHAR(10),TRUE,FILTER(admissions!$G$2:$G$78,admissions!$M$2:$M$78=batches!A422,"""")))"),"")</f>
        <v/>
      </c>
      <c r="B2530" s="101" t="n"/>
      <c r="C2530" s="101" t="n"/>
      <c r="D2530" s="102" t="n"/>
      <c r="G2530" s="105">
        <f>IFERROR(__xludf.DUMMYFUNCTION("IF(batches!A423="""","""",TEXTJOIN(CHAR(10),TRUE,FILTER(admissions!$G$2:$G$78,admissions!$M$2:$M$78=batches!A423,"""")))"),"")</f>
        <v/>
      </c>
      <c r="H2530" s="101" t="n"/>
      <c r="I2530" s="101" t="n"/>
      <c r="J2530" s="102" t="n"/>
    </row>
    <row r="2531" ht="15.75" customHeight="1" s="84"/>
    <row r="2532" ht="15.75" customHeight="1" s="84"/>
    <row r="2533" ht="15.75" customHeight="1" s="84">
      <c r="A2533" s="100">
        <f>IF(batches!A424="","",batches!A424)</f>
        <v/>
      </c>
      <c r="B2533" s="101" t="n"/>
      <c r="C2533" s="101" t="n"/>
      <c r="D2533" s="102" t="n"/>
      <c r="G2533" s="100">
        <f>IF(batches!A425="","",batches!A425)</f>
        <v/>
      </c>
      <c r="H2533" s="101" t="n"/>
      <c r="I2533" s="101" t="n"/>
      <c r="J2533" s="102" t="n"/>
    </row>
    <row r="2534" ht="15.75" customHeight="1" s="84">
      <c r="A2534" s="80" t="inlineStr">
        <is>
          <t>Level / Mode</t>
        </is>
      </c>
      <c r="B2534" s="103">
        <f>IF(A2533="","",batches!B424&amp;" / "&amp;batches!C424)</f>
        <v/>
      </c>
      <c r="C2534" s="101" t="n"/>
      <c r="D2534" s="102" t="n"/>
      <c r="G2534" s="80" t="inlineStr">
        <is>
          <t>Level / Mode</t>
        </is>
      </c>
      <c r="H2534" s="103">
        <f>IF(G2533="","",batches!B425&amp;" / "&amp;batches!C425)</f>
        <v/>
      </c>
      <c r="I2534" s="101" t="n"/>
      <c r="J2534" s="102" t="n"/>
    </row>
    <row r="2535" ht="15.75" customHeight="1" s="84">
      <c r="A2535" s="80" t="inlineStr">
        <is>
          <t>Dates</t>
        </is>
      </c>
      <c r="B2535" s="103">
        <f>IF(A2533="","",TEXT(batches!D424,"yyyy-mm-dd")&amp;" to "&amp;TEXT(batches!E424,"yyyy-mm-dd"))</f>
        <v/>
      </c>
      <c r="C2535" s="101" t="n"/>
      <c r="D2535" s="102" t="n"/>
      <c r="G2535" s="80" t="inlineStr">
        <is>
          <t>Dates</t>
        </is>
      </c>
      <c r="H2535" s="103">
        <f>IF(G2533="","",TEXT(batches!D425,"yyyy-mm-dd")&amp;" to "&amp;TEXT(batches!E425,"yyyy-mm-dd"))</f>
        <v/>
      </c>
      <c r="I2535" s="101" t="n"/>
      <c r="J2535" s="102" t="n"/>
    </row>
    <row r="2536" ht="15.75" customHeight="1" s="84">
      <c r="A2536" s="80" t="inlineStr">
        <is>
          <t>Duration</t>
        </is>
      </c>
      <c r="B2536" s="103">
        <f>IF(OR(batches!D424="",batches!E424=""),"",batches!E424-batches!D424+1&amp;" days")</f>
        <v/>
      </c>
      <c r="C2536" s="101" t="n"/>
      <c r="D2536" s="102" t="n"/>
      <c r="G2536" s="80" t="inlineStr">
        <is>
          <t>Duration</t>
        </is>
      </c>
      <c r="H2536" s="103">
        <f>IF(OR(batches!D425="",batches!E425=""),"",batches!E425-batches!D425+1&amp;" days")</f>
        <v/>
      </c>
      <c r="I2536" s="101" t="n"/>
      <c r="J2536" s="102" t="n"/>
    </row>
    <row r="2537" ht="15.75" customHeight="1" s="84">
      <c r="A2537" s="80" t="inlineStr">
        <is>
          <t>Timing</t>
        </is>
      </c>
      <c r="B2537" s="103">
        <f>IF(A2533="","",batches!F424)</f>
        <v/>
      </c>
      <c r="C2537" s="101" t="n"/>
      <c r="D2537" s="102" t="n"/>
      <c r="G2537" s="80" t="inlineStr">
        <is>
          <t>Timing</t>
        </is>
      </c>
      <c r="H2537" s="103">
        <f>IF(G2533="","",batches!F425)</f>
        <v/>
      </c>
      <c r="I2537" s="101" t="n"/>
      <c r="J2537" s="102" t="n"/>
    </row>
    <row r="2538" ht="15.75" customHeight="1" s="84">
      <c r="A2538" s="80" t="inlineStr">
        <is>
          <t>Capacity</t>
        </is>
      </c>
      <c r="B2538" s="103">
        <f>IF(A2533="","",batches!G424)</f>
        <v/>
      </c>
      <c r="C2538" s="101" t="n"/>
      <c r="D2538" s="102" t="n"/>
      <c r="G2538" s="80" t="inlineStr">
        <is>
          <t>Capacity</t>
        </is>
      </c>
      <c r="H2538" s="103">
        <f>IF(G2533="","",batches!G425)</f>
        <v/>
      </c>
      <c r="I2538" s="101" t="n"/>
      <c r="J2538" s="102" t="n"/>
    </row>
    <row r="2539" ht="15.75" customHeight="1" s="84">
      <c r="A2539" s="80" t="inlineStr">
        <is>
          <t>Enrolled</t>
        </is>
      </c>
      <c r="B2539" s="103">
        <f>IF(A2533="","",COUNTIF(admissions!$M:$M,batches!A424))</f>
        <v/>
      </c>
      <c r="C2539" s="101" t="n"/>
      <c r="D2539" s="102" t="n"/>
      <c r="G2539" s="80" t="inlineStr">
        <is>
          <t>Enrolled</t>
        </is>
      </c>
      <c r="H2539" s="103">
        <f>IF(G2533="","",COUNTIF(admissions!$M:$M,batches!A425))</f>
        <v/>
      </c>
      <c r="I2539" s="101" t="n"/>
      <c r="J2539" s="102" t="n"/>
    </row>
    <row r="2540" ht="15.75" customHeight="1" s="84">
      <c r="A2540" s="80" t="inlineStr">
        <is>
          <t>Available</t>
        </is>
      </c>
      <c r="B2540" s="103">
        <f>IF(OR(batches!A424="",batches!G424=""),"",batches!G424-COUNTIF(admissions!$M:$M,batches!A424))</f>
        <v/>
      </c>
      <c r="C2540" s="101" t="n"/>
      <c r="D2540" s="102" t="n"/>
      <c r="G2540" s="80" t="inlineStr">
        <is>
          <t>Available</t>
        </is>
      </c>
      <c r="H2540" s="103">
        <f>IF(OR(batches!A425="",batches!G425=""),"",batches!G425-COUNTIF(admissions!$M:$M,batches!A425))</f>
        <v/>
      </c>
      <c r="I2540" s="101" t="n"/>
      <c r="J2540" s="102" t="n"/>
    </row>
    <row r="2541" ht="15.75" customHeight="1" s="84">
      <c r="A2541" s="104" t="inlineStr">
        <is>
          <t>Student List</t>
        </is>
      </c>
      <c r="B2541" s="101" t="n"/>
      <c r="C2541" s="101" t="n"/>
      <c r="D2541" s="102" t="n"/>
      <c r="G2541" s="104" t="inlineStr">
        <is>
          <t>Student List</t>
        </is>
      </c>
      <c r="H2541" s="101" t="n"/>
      <c r="I2541" s="101" t="n"/>
      <c r="J2541" s="102" t="n"/>
    </row>
    <row r="2542" ht="15.75" customHeight="1" s="84">
      <c r="A2542" s="105">
        <f>IFERROR(__xludf.DUMMYFUNCTION("IF(batches!A424="""","""",TEXTJOIN(CHAR(10),TRUE,FILTER(admissions!$G$2:$G$78,admissions!$M$2:$M$78=batches!A424,"""")))"),"")</f>
        <v/>
      </c>
      <c r="B2542" s="101" t="n"/>
      <c r="C2542" s="101" t="n"/>
      <c r="D2542" s="102" t="n"/>
      <c r="G2542" s="105">
        <f>IFERROR(__xludf.DUMMYFUNCTION("IF(batches!A425="""","""",TEXTJOIN(CHAR(10),TRUE,FILTER(admissions!$G$2:$G$78,admissions!$M$2:$M$78=batches!A425,"""")))"),"")</f>
        <v/>
      </c>
      <c r="H2542" s="101" t="n"/>
      <c r="I2542" s="101" t="n"/>
      <c r="J2542" s="102" t="n"/>
    </row>
    <row r="2543" ht="15.75" customHeight="1" s="84"/>
    <row r="2544" ht="15.75" customHeight="1" s="84"/>
    <row r="2545" ht="15.75" customHeight="1" s="84">
      <c r="A2545" s="100">
        <f>IF(batches!A426="","",batches!A426)</f>
        <v/>
      </c>
      <c r="B2545" s="101" t="n"/>
      <c r="C2545" s="101" t="n"/>
      <c r="D2545" s="102" t="n"/>
      <c r="G2545" s="100">
        <f>IF(batches!A427="","",batches!A427)</f>
        <v/>
      </c>
      <c r="H2545" s="101" t="n"/>
      <c r="I2545" s="101" t="n"/>
      <c r="J2545" s="102" t="n"/>
    </row>
    <row r="2546" ht="15.75" customHeight="1" s="84">
      <c r="A2546" s="80" t="inlineStr">
        <is>
          <t>Level / Mode</t>
        </is>
      </c>
      <c r="B2546" s="103">
        <f>IF(A2545="","",batches!B426&amp;" / "&amp;batches!C426)</f>
        <v/>
      </c>
      <c r="C2546" s="101" t="n"/>
      <c r="D2546" s="102" t="n"/>
      <c r="G2546" s="80" t="inlineStr">
        <is>
          <t>Level / Mode</t>
        </is>
      </c>
      <c r="H2546" s="103">
        <f>IF(G2545="","",batches!B427&amp;" / "&amp;batches!C427)</f>
        <v/>
      </c>
      <c r="I2546" s="101" t="n"/>
      <c r="J2546" s="102" t="n"/>
    </row>
    <row r="2547" ht="15.75" customHeight="1" s="84">
      <c r="A2547" s="80" t="inlineStr">
        <is>
          <t>Dates</t>
        </is>
      </c>
      <c r="B2547" s="103">
        <f>IF(A2545="","",TEXT(batches!D426,"yyyy-mm-dd")&amp;" to "&amp;TEXT(batches!E426,"yyyy-mm-dd"))</f>
        <v/>
      </c>
      <c r="C2547" s="101" t="n"/>
      <c r="D2547" s="102" t="n"/>
      <c r="G2547" s="80" t="inlineStr">
        <is>
          <t>Dates</t>
        </is>
      </c>
      <c r="H2547" s="103">
        <f>IF(G2545="","",TEXT(batches!D427,"yyyy-mm-dd")&amp;" to "&amp;TEXT(batches!E427,"yyyy-mm-dd"))</f>
        <v/>
      </c>
      <c r="I2547" s="101" t="n"/>
      <c r="J2547" s="102" t="n"/>
    </row>
    <row r="2548" ht="15.75" customHeight="1" s="84">
      <c r="A2548" s="80" t="inlineStr">
        <is>
          <t>Duration</t>
        </is>
      </c>
      <c r="B2548" s="103">
        <f>IF(OR(batches!D426="",batches!E426=""),"",batches!E426-batches!D426+1&amp;" days")</f>
        <v/>
      </c>
      <c r="C2548" s="101" t="n"/>
      <c r="D2548" s="102" t="n"/>
      <c r="G2548" s="80" t="inlineStr">
        <is>
          <t>Duration</t>
        </is>
      </c>
      <c r="H2548" s="103">
        <f>IF(OR(batches!D427="",batches!E427=""),"",batches!E427-batches!D427+1&amp;" days")</f>
        <v/>
      </c>
      <c r="I2548" s="101" t="n"/>
      <c r="J2548" s="102" t="n"/>
    </row>
    <row r="2549" ht="15.75" customHeight="1" s="84">
      <c r="A2549" s="80" t="inlineStr">
        <is>
          <t>Timing</t>
        </is>
      </c>
      <c r="B2549" s="103">
        <f>IF(A2545="","",batches!F426)</f>
        <v/>
      </c>
      <c r="C2549" s="101" t="n"/>
      <c r="D2549" s="102" t="n"/>
      <c r="G2549" s="80" t="inlineStr">
        <is>
          <t>Timing</t>
        </is>
      </c>
      <c r="H2549" s="103">
        <f>IF(G2545="","",batches!F427)</f>
        <v/>
      </c>
      <c r="I2549" s="101" t="n"/>
      <c r="J2549" s="102" t="n"/>
    </row>
    <row r="2550" ht="15.75" customHeight="1" s="84">
      <c r="A2550" s="80" t="inlineStr">
        <is>
          <t>Capacity</t>
        </is>
      </c>
      <c r="B2550" s="103">
        <f>IF(A2545="","",batches!G426)</f>
        <v/>
      </c>
      <c r="C2550" s="101" t="n"/>
      <c r="D2550" s="102" t="n"/>
      <c r="G2550" s="80" t="inlineStr">
        <is>
          <t>Capacity</t>
        </is>
      </c>
      <c r="H2550" s="103">
        <f>IF(G2545="","",batches!G427)</f>
        <v/>
      </c>
      <c r="I2550" s="101" t="n"/>
      <c r="J2550" s="102" t="n"/>
    </row>
    <row r="2551" ht="15.75" customHeight="1" s="84">
      <c r="A2551" s="80" t="inlineStr">
        <is>
          <t>Enrolled</t>
        </is>
      </c>
      <c r="B2551" s="103">
        <f>IF(A2545="","",COUNTIF(admissions!$M:$M,batches!A426))</f>
        <v/>
      </c>
      <c r="C2551" s="101" t="n"/>
      <c r="D2551" s="102" t="n"/>
      <c r="G2551" s="80" t="inlineStr">
        <is>
          <t>Enrolled</t>
        </is>
      </c>
      <c r="H2551" s="103">
        <f>IF(G2545="","",COUNTIF(admissions!$M:$M,batches!A427))</f>
        <v/>
      </c>
      <c r="I2551" s="101" t="n"/>
      <c r="J2551" s="102" t="n"/>
    </row>
    <row r="2552" ht="15.75" customHeight="1" s="84">
      <c r="A2552" s="80" t="inlineStr">
        <is>
          <t>Available</t>
        </is>
      </c>
      <c r="B2552" s="103">
        <f>IF(OR(batches!A426="",batches!G426=""),"",batches!G426-COUNTIF(admissions!$M:$M,batches!A426))</f>
        <v/>
      </c>
      <c r="C2552" s="101" t="n"/>
      <c r="D2552" s="102" t="n"/>
      <c r="G2552" s="80" t="inlineStr">
        <is>
          <t>Available</t>
        </is>
      </c>
      <c r="H2552" s="103">
        <f>IF(OR(batches!A427="",batches!G427=""),"",batches!G427-COUNTIF(admissions!$M:$M,batches!A427))</f>
        <v/>
      </c>
      <c r="I2552" s="101" t="n"/>
      <c r="J2552" s="102" t="n"/>
    </row>
    <row r="2553" ht="15.75" customHeight="1" s="84">
      <c r="A2553" s="104" t="inlineStr">
        <is>
          <t>Student List</t>
        </is>
      </c>
      <c r="B2553" s="101" t="n"/>
      <c r="C2553" s="101" t="n"/>
      <c r="D2553" s="102" t="n"/>
      <c r="G2553" s="104" t="inlineStr">
        <is>
          <t>Student List</t>
        </is>
      </c>
      <c r="H2553" s="101" t="n"/>
      <c r="I2553" s="101" t="n"/>
      <c r="J2553" s="102" t="n"/>
    </row>
    <row r="2554" ht="15.75" customHeight="1" s="84">
      <c r="A2554" s="105">
        <f>IFERROR(__xludf.DUMMYFUNCTION("IF(batches!A426="""","""",TEXTJOIN(CHAR(10),TRUE,FILTER(admissions!$G$2:$G$78,admissions!$M$2:$M$78=batches!A426,"""")))"),"")</f>
        <v/>
      </c>
      <c r="B2554" s="101" t="n"/>
      <c r="C2554" s="101" t="n"/>
      <c r="D2554" s="102" t="n"/>
      <c r="G2554" s="105">
        <f>IFERROR(__xludf.DUMMYFUNCTION("IF(batches!A427="""","""",TEXTJOIN(CHAR(10),TRUE,FILTER(admissions!$G$2:$G$78,admissions!$M$2:$M$78=batches!A427,"""")))"),"")</f>
        <v/>
      </c>
      <c r="H2554" s="101" t="n"/>
      <c r="I2554" s="101" t="n"/>
      <c r="J2554" s="102" t="n"/>
    </row>
    <row r="2555" ht="15.75" customHeight="1" s="84"/>
    <row r="2556" ht="15.75" customHeight="1" s="84"/>
    <row r="2557" ht="15.75" customHeight="1" s="84">
      <c r="A2557" s="100">
        <f>IF(batches!A428="","",batches!A428)</f>
        <v/>
      </c>
      <c r="B2557" s="101" t="n"/>
      <c r="C2557" s="101" t="n"/>
      <c r="D2557" s="102" t="n"/>
      <c r="G2557" s="100">
        <f>IF(batches!A429="","",batches!A429)</f>
        <v/>
      </c>
      <c r="H2557" s="101" t="n"/>
      <c r="I2557" s="101" t="n"/>
      <c r="J2557" s="102" t="n"/>
    </row>
    <row r="2558" ht="15.75" customHeight="1" s="84">
      <c r="A2558" s="80" t="inlineStr">
        <is>
          <t>Level / Mode</t>
        </is>
      </c>
      <c r="B2558" s="103">
        <f>IF(A2557="","",batches!B428&amp;" / "&amp;batches!C428)</f>
        <v/>
      </c>
      <c r="C2558" s="101" t="n"/>
      <c r="D2558" s="102" t="n"/>
      <c r="G2558" s="80" t="inlineStr">
        <is>
          <t>Level / Mode</t>
        </is>
      </c>
      <c r="H2558" s="103">
        <f>IF(G2557="","",batches!B429&amp;" / "&amp;batches!C429)</f>
        <v/>
      </c>
      <c r="I2558" s="101" t="n"/>
      <c r="J2558" s="102" t="n"/>
    </row>
    <row r="2559" ht="15.75" customHeight="1" s="84">
      <c r="A2559" s="80" t="inlineStr">
        <is>
          <t>Dates</t>
        </is>
      </c>
      <c r="B2559" s="103">
        <f>IF(A2557="","",TEXT(batches!D428,"yyyy-mm-dd")&amp;" to "&amp;TEXT(batches!E428,"yyyy-mm-dd"))</f>
        <v/>
      </c>
      <c r="C2559" s="101" t="n"/>
      <c r="D2559" s="102" t="n"/>
      <c r="G2559" s="80" t="inlineStr">
        <is>
          <t>Dates</t>
        </is>
      </c>
      <c r="H2559" s="103">
        <f>IF(G2557="","",TEXT(batches!D429,"yyyy-mm-dd")&amp;" to "&amp;TEXT(batches!E429,"yyyy-mm-dd"))</f>
        <v/>
      </c>
      <c r="I2559" s="101" t="n"/>
      <c r="J2559" s="102" t="n"/>
    </row>
    <row r="2560" ht="15.75" customHeight="1" s="84">
      <c r="A2560" s="80" t="inlineStr">
        <is>
          <t>Duration</t>
        </is>
      </c>
      <c r="B2560" s="103">
        <f>IF(OR(batches!D428="",batches!E428=""),"",batches!E428-batches!D428+1&amp;" days")</f>
        <v/>
      </c>
      <c r="C2560" s="101" t="n"/>
      <c r="D2560" s="102" t="n"/>
      <c r="G2560" s="80" t="inlineStr">
        <is>
          <t>Duration</t>
        </is>
      </c>
      <c r="H2560" s="103">
        <f>IF(OR(batches!D429="",batches!E429=""),"",batches!E429-batches!D429+1&amp;" days")</f>
        <v/>
      </c>
      <c r="I2560" s="101" t="n"/>
      <c r="J2560" s="102" t="n"/>
    </row>
    <row r="2561" ht="15.75" customHeight="1" s="84">
      <c r="A2561" s="80" t="inlineStr">
        <is>
          <t>Timing</t>
        </is>
      </c>
      <c r="B2561" s="103">
        <f>IF(A2557="","",batches!F428)</f>
        <v/>
      </c>
      <c r="C2561" s="101" t="n"/>
      <c r="D2561" s="102" t="n"/>
      <c r="G2561" s="80" t="inlineStr">
        <is>
          <t>Timing</t>
        </is>
      </c>
      <c r="H2561" s="103">
        <f>IF(G2557="","",batches!F429)</f>
        <v/>
      </c>
      <c r="I2561" s="101" t="n"/>
      <c r="J2561" s="102" t="n"/>
    </row>
    <row r="2562" ht="15.75" customHeight="1" s="84">
      <c r="A2562" s="80" t="inlineStr">
        <is>
          <t>Capacity</t>
        </is>
      </c>
      <c r="B2562" s="103">
        <f>IF(A2557="","",batches!G428)</f>
        <v/>
      </c>
      <c r="C2562" s="101" t="n"/>
      <c r="D2562" s="102" t="n"/>
      <c r="G2562" s="80" t="inlineStr">
        <is>
          <t>Capacity</t>
        </is>
      </c>
      <c r="H2562" s="103">
        <f>IF(G2557="","",batches!G429)</f>
        <v/>
      </c>
      <c r="I2562" s="101" t="n"/>
      <c r="J2562" s="102" t="n"/>
    </row>
    <row r="2563" ht="15.75" customHeight="1" s="84">
      <c r="A2563" s="80" t="inlineStr">
        <is>
          <t>Enrolled</t>
        </is>
      </c>
      <c r="B2563" s="103">
        <f>IF(A2557="","",COUNTIF(admissions!$M:$M,batches!A428))</f>
        <v/>
      </c>
      <c r="C2563" s="101" t="n"/>
      <c r="D2563" s="102" t="n"/>
      <c r="G2563" s="80" t="inlineStr">
        <is>
          <t>Enrolled</t>
        </is>
      </c>
      <c r="H2563" s="103">
        <f>IF(G2557="","",COUNTIF(admissions!$M:$M,batches!A429))</f>
        <v/>
      </c>
      <c r="I2563" s="101" t="n"/>
      <c r="J2563" s="102" t="n"/>
    </row>
    <row r="2564" ht="15.75" customHeight="1" s="84">
      <c r="A2564" s="80" t="inlineStr">
        <is>
          <t>Available</t>
        </is>
      </c>
      <c r="B2564" s="103">
        <f>IF(OR(batches!A428="",batches!G428=""),"",batches!G428-COUNTIF(admissions!$M:$M,batches!A428))</f>
        <v/>
      </c>
      <c r="C2564" s="101" t="n"/>
      <c r="D2564" s="102" t="n"/>
      <c r="G2564" s="80" t="inlineStr">
        <is>
          <t>Available</t>
        </is>
      </c>
      <c r="H2564" s="103">
        <f>IF(OR(batches!A429="",batches!G429=""),"",batches!G429-COUNTIF(admissions!$M:$M,batches!A429))</f>
        <v/>
      </c>
      <c r="I2564" s="101" t="n"/>
      <c r="J2564" s="102" t="n"/>
    </row>
    <row r="2565" ht="15.75" customHeight="1" s="84">
      <c r="A2565" s="104" t="inlineStr">
        <is>
          <t>Student List</t>
        </is>
      </c>
      <c r="B2565" s="101" t="n"/>
      <c r="C2565" s="101" t="n"/>
      <c r="D2565" s="102" t="n"/>
      <c r="G2565" s="104" t="inlineStr">
        <is>
          <t>Student List</t>
        </is>
      </c>
      <c r="H2565" s="101" t="n"/>
      <c r="I2565" s="101" t="n"/>
      <c r="J2565" s="102" t="n"/>
    </row>
    <row r="2566" ht="15.75" customHeight="1" s="84">
      <c r="A2566" s="105">
        <f>IFERROR(__xludf.DUMMYFUNCTION("IF(batches!A428="""","""",TEXTJOIN(CHAR(10),TRUE,FILTER(admissions!$G$2:$G$78,admissions!$M$2:$M$78=batches!A428,"""")))"),"")</f>
        <v/>
      </c>
      <c r="B2566" s="101" t="n"/>
      <c r="C2566" s="101" t="n"/>
      <c r="D2566" s="102" t="n"/>
      <c r="G2566" s="105">
        <f>IFERROR(__xludf.DUMMYFUNCTION("IF(batches!A429="""","""",TEXTJOIN(CHAR(10),TRUE,FILTER(admissions!$G$2:$G$78,admissions!$M$2:$M$78=batches!A429,"""")))"),"")</f>
        <v/>
      </c>
      <c r="H2566" s="101" t="n"/>
      <c r="I2566" s="101" t="n"/>
      <c r="J2566" s="102" t="n"/>
    </row>
    <row r="2567" ht="15.75" customHeight="1" s="84"/>
    <row r="2568" ht="15.75" customHeight="1" s="84"/>
    <row r="2569" ht="15.75" customHeight="1" s="84">
      <c r="A2569" s="100">
        <f>IF(batches!A430="","",batches!A430)</f>
        <v/>
      </c>
      <c r="B2569" s="101" t="n"/>
      <c r="C2569" s="101" t="n"/>
      <c r="D2569" s="102" t="n"/>
      <c r="G2569" s="100">
        <f>IF(batches!A431="","",batches!A431)</f>
        <v/>
      </c>
      <c r="H2569" s="101" t="n"/>
      <c r="I2569" s="101" t="n"/>
      <c r="J2569" s="102" t="n"/>
    </row>
    <row r="2570" ht="15.75" customHeight="1" s="84">
      <c r="A2570" s="80" t="inlineStr">
        <is>
          <t>Level / Mode</t>
        </is>
      </c>
      <c r="B2570" s="103">
        <f>IF(A2569="","",batches!B430&amp;" / "&amp;batches!C430)</f>
        <v/>
      </c>
      <c r="C2570" s="101" t="n"/>
      <c r="D2570" s="102" t="n"/>
      <c r="G2570" s="80" t="inlineStr">
        <is>
          <t>Level / Mode</t>
        </is>
      </c>
      <c r="H2570" s="103">
        <f>IF(G2569="","",batches!B431&amp;" / "&amp;batches!C431)</f>
        <v/>
      </c>
      <c r="I2570" s="101" t="n"/>
      <c r="J2570" s="102" t="n"/>
    </row>
    <row r="2571" ht="15.75" customHeight="1" s="84">
      <c r="A2571" s="80" t="inlineStr">
        <is>
          <t>Dates</t>
        </is>
      </c>
      <c r="B2571" s="103">
        <f>IF(A2569="","",TEXT(batches!D430,"yyyy-mm-dd")&amp;" to "&amp;TEXT(batches!E430,"yyyy-mm-dd"))</f>
        <v/>
      </c>
      <c r="C2571" s="101" t="n"/>
      <c r="D2571" s="102" t="n"/>
      <c r="G2571" s="80" t="inlineStr">
        <is>
          <t>Dates</t>
        </is>
      </c>
      <c r="H2571" s="103">
        <f>IF(G2569="","",TEXT(batches!D431,"yyyy-mm-dd")&amp;" to "&amp;TEXT(batches!E431,"yyyy-mm-dd"))</f>
        <v/>
      </c>
      <c r="I2571" s="101" t="n"/>
      <c r="J2571" s="102" t="n"/>
    </row>
    <row r="2572" ht="15.75" customHeight="1" s="84">
      <c r="A2572" s="80" t="inlineStr">
        <is>
          <t>Duration</t>
        </is>
      </c>
      <c r="B2572" s="103">
        <f>IF(OR(batches!D430="",batches!E430=""),"",batches!E430-batches!D430+1&amp;" days")</f>
        <v/>
      </c>
      <c r="C2572" s="101" t="n"/>
      <c r="D2572" s="102" t="n"/>
      <c r="G2572" s="80" t="inlineStr">
        <is>
          <t>Duration</t>
        </is>
      </c>
      <c r="H2572" s="103">
        <f>IF(OR(batches!D431="",batches!E431=""),"",batches!E431-batches!D431+1&amp;" days")</f>
        <v/>
      </c>
      <c r="I2572" s="101" t="n"/>
      <c r="J2572" s="102" t="n"/>
    </row>
    <row r="2573" ht="15.75" customHeight="1" s="84">
      <c r="A2573" s="80" t="inlineStr">
        <is>
          <t>Timing</t>
        </is>
      </c>
      <c r="B2573" s="103">
        <f>IF(A2569="","",batches!F430)</f>
        <v/>
      </c>
      <c r="C2573" s="101" t="n"/>
      <c r="D2573" s="102" t="n"/>
      <c r="G2573" s="80" t="inlineStr">
        <is>
          <t>Timing</t>
        </is>
      </c>
      <c r="H2573" s="103">
        <f>IF(G2569="","",batches!F431)</f>
        <v/>
      </c>
      <c r="I2573" s="101" t="n"/>
      <c r="J2573" s="102" t="n"/>
    </row>
    <row r="2574" ht="15.75" customHeight="1" s="84">
      <c r="A2574" s="80" t="inlineStr">
        <is>
          <t>Capacity</t>
        </is>
      </c>
      <c r="B2574" s="103">
        <f>IF(A2569="","",batches!G430)</f>
        <v/>
      </c>
      <c r="C2574" s="101" t="n"/>
      <c r="D2574" s="102" t="n"/>
      <c r="G2574" s="80" t="inlineStr">
        <is>
          <t>Capacity</t>
        </is>
      </c>
      <c r="H2574" s="103">
        <f>IF(G2569="","",batches!G431)</f>
        <v/>
      </c>
      <c r="I2574" s="101" t="n"/>
      <c r="J2574" s="102" t="n"/>
    </row>
    <row r="2575" ht="15.75" customHeight="1" s="84">
      <c r="A2575" s="80" t="inlineStr">
        <is>
          <t>Enrolled</t>
        </is>
      </c>
      <c r="B2575" s="103">
        <f>IF(A2569="","",COUNTIF(admissions!$M:$M,batches!A430))</f>
        <v/>
      </c>
      <c r="C2575" s="101" t="n"/>
      <c r="D2575" s="102" t="n"/>
      <c r="G2575" s="80" t="inlineStr">
        <is>
          <t>Enrolled</t>
        </is>
      </c>
      <c r="H2575" s="103">
        <f>IF(G2569="","",COUNTIF(admissions!$M:$M,batches!A431))</f>
        <v/>
      </c>
      <c r="I2575" s="101" t="n"/>
      <c r="J2575" s="102" t="n"/>
    </row>
    <row r="2576" ht="15.75" customHeight="1" s="84">
      <c r="A2576" s="80" t="inlineStr">
        <is>
          <t>Available</t>
        </is>
      </c>
      <c r="B2576" s="103">
        <f>IF(OR(batches!A430="",batches!G430=""),"",batches!G430-COUNTIF(admissions!$M:$M,batches!A430))</f>
        <v/>
      </c>
      <c r="C2576" s="101" t="n"/>
      <c r="D2576" s="102" t="n"/>
      <c r="G2576" s="80" t="inlineStr">
        <is>
          <t>Available</t>
        </is>
      </c>
      <c r="H2576" s="103">
        <f>IF(OR(batches!A431="",batches!G431=""),"",batches!G431-COUNTIF(admissions!$M:$M,batches!A431))</f>
        <v/>
      </c>
      <c r="I2576" s="101" t="n"/>
      <c r="J2576" s="102" t="n"/>
    </row>
    <row r="2577" ht="15.75" customHeight="1" s="84">
      <c r="A2577" s="104" t="inlineStr">
        <is>
          <t>Student List</t>
        </is>
      </c>
      <c r="B2577" s="101" t="n"/>
      <c r="C2577" s="101" t="n"/>
      <c r="D2577" s="102" t="n"/>
      <c r="G2577" s="104" t="inlineStr">
        <is>
          <t>Student List</t>
        </is>
      </c>
      <c r="H2577" s="101" t="n"/>
      <c r="I2577" s="101" t="n"/>
      <c r="J2577" s="102" t="n"/>
    </row>
    <row r="2578" ht="15.75" customHeight="1" s="84">
      <c r="A2578" s="105">
        <f>IFERROR(__xludf.DUMMYFUNCTION("IF(batches!A430="""","""",TEXTJOIN(CHAR(10),TRUE,FILTER(admissions!$G$2:$G$78,admissions!$M$2:$M$78=batches!A430,"""")))"),"")</f>
        <v/>
      </c>
      <c r="B2578" s="101" t="n"/>
      <c r="C2578" s="101" t="n"/>
      <c r="D2578" s="102" t="n"/>
      <c r="G2578" s="105">
        <f>IFERROR(__xludf.DUMMYFUNCTION("IF(batches!A431="""","""",TEXTJOIN(CHAR(10),TRUE,FILTER(admissions!$G$2:$G$78,admissions!$M$2:$M$78=batches!A431,"""")))"),"")</f>
        <v/>
      </c>
      <c r="H2578" s="101" t="n"/>
      <c r="I2578" s="101" t="n"/>
      <c r="J2578" s="102" t="n"/>
    </row>
    <row r="2579" ht="15.75" customHeight="1" s="84"/>
    <row r="2580" ht="15.75" customHeight="1" s="84"/>
    <row r="2581" ht="15.75" customHeight="1" s="84">
      <c r="A2581" s="100">
        <f>IF(batches!A432="","",batches!A432)</f>
        <v/>
      </c>
      <c r="B2581" s="101" t="n"/>
      <c r="C2581" s="101" t="n"/>
      <c r="D2581" s="102" t="n"/>
      <c r="G2581" s="100">
        <f>IF(batches!A433="","",batches!A433)</f>
        <v/>
      </c>
      <c r="H2581" s="101" t="n"/>
      <c r="I2581" s="101" t="n"/>
      <c r="J2581" s="102" t="n"/>
    </row>
    <row r="2582" ht="15.75" customHeight="1" s="84">
      <c r="A2582" s="80" t="inlineStr">
        <is>
          <t>Level / Mode</t>
        </is>
      </c>
      <c r="B2582" s="103">
        <f>IF(A2581="","",batches!B432&amp;" / "&amp;batches!C432)</f>
        <v/>
      </c>
      <c r="C2582" s="101" t="n"/>
      <c r="D2582" s="102" t="n"/>
      <c r="G2582" s="80" t="inlineStr">
        <is>
          <t>Level / Mode</t>
        </is>
      </c>
      <c r="H2582" s="103">
        <f>IF(G2581="","",batches!B433&amp;" / "&amp;batches!C433)</f>
        <v/>
      </c>
      <c r="I2582" s="101" t="n"/>
      <c r="J2582" s="102" t="n"/>
    </row>
    <row r="2583" ht="15.75" customHeight="1" s="84">
      <c r="A2583" s="80" t="inlineStr">
        <is>
          <t>Dates</t>
        </is>
      </c>
      <c r="B2583" s="103">
        <f>IF(A2581="","",TEXT(batches!D432,"yyyy-mm-dd")&amp;" to "&amp;TEXT(batches!E432,"yyyy-mm-dd"))</f>
        <v/>
      </c>
      <c r="C2583" s="101" t="n"/>
      <c r="D2583" s="102" t="n"/>
      <c r="G2583" s="80" t="inlineStr">
        <is>
          <t>Dates</t>
        </is>
      </c>
      <c r="H2583" s="103">
        <f>IF(G2581="","",TEXT(batches!D433,"yyyy-mm-dd")&amp;" to "&amp;TEXT(batches!E433,"yyyy-mm-dd"))</f>
        <v/>
      </c>
      <c r="I2583" s="101" t="n"/>
      <c r="J2583" s="102" t="n"/>
    </row>
    <row r="2584" ht="15.75" customHeight="1" s="84">
      <c r="A2584" s="80" t="inlineStr">
        <is>
          <t>Duration</t>
        </is>
      </c>
      <c r="B2584" s="103">
        <f>IF(OR(batches!D432="",batches!E432=""),"",batches!E432-batches!D432+1&amp;" days")</f>
        <v/>
      </c>
      <c r="C2584" s="101" t="n"/>
      <c r="D2584" s="102" t="n"/>
      <c r="G2584" s="80" t="inlineStr">
        <is>
          <t>Duration</t>
        </is>
      </c>
      <c r="H2584" s="103">
        <f>IF(OR(batches!D433="",batches!E433=""),"",batches!E433-batches!D433+1&amp;" days")</f>
        <v/>
      </c>
      <c r="I2584" s="101" t="n"/>
      <c r="J2584" s="102" t="n"/>
    </row>
    <row r="2585" ht="15.75" customHeight="1" s="84">
      <c r="A2585" s="80" t="inlineStr">
        <is>
          <t>Timing</t>
        </is>
      </c>
      <c r="B2585" s="103">
        <f>IF(A2581="","",batches!F432)</f>
        <v/>
      </c>
      <c r="C2585" s="101" t="n"/>
      <c r="D2585" s="102" t="n"/>
      <c r="G2585" s="80" t="inlineStr">
        <is>
          <t>Timing</t>
        </is>
      </c>
      <c r="H2585" s="103">
        <f>IF(G2581="","",batches!F433)</f>
        <v/>
      </c>
      <c r="I2585" s="101" t="n"/>
      <c r="J2585" s="102" t="n"/>
    </row>
    <row r="2586" ht="15.75" customHeight="1" s="84">
      <c r="A2586" s="80" t="inlineStr">
        <is>
          <t>Capacity</t>
        </is>
      </c>
      <c r="B2586" s="103">
        <f>IF(A2581="","",batches!G432)</f>
        <v/>
      </c>
      <c r="C2586" s="101" t="n"/>
      <c r="D2586" s="102" t="n"/>
      <c r="G2586" s="80" t="inlineStr">
        <is>
          <t>Capacity</t>
        </is>
      </c>
      <c r="H2586" s="103">
        <f>IF(G2581="","",batches!G433)</f>
        <v/>
      </c>
      <c r="I2586" s="101" t="n"/>
      <c r="J2586" s="102" t="n"/>
    </row>
    <row r="2587" ht="15.75" customHeight="1" s="84">
      <c r="A2587" s="80" t="inlineStr">
        <is>
          <t>Enrolled</t>
        </is>
      </c>
      <c r="B2587" s="103">
        <f>IF(A2581="","",COUNTIF(admissions!$M:$M,batches!A432))</f>
        <v/>
      </c>
      <c r="C2587" s="101" t="n"/>
      <c r="D2587" s="102" t="n"/>
      <c r="G2587" s="80" t="inlineStr">
        <is>
          <t>Enrolled</t>
        </is>
      </c>
      <c r="H2587" s="103">
        <f>IF(G2581="","",COUNTIF(admissions!$M:$M,batches!A433))</f>
        <v/>
      </c>
      <c r="I2587" s="101" t="n"/>
      <c r="J2587" s="102" t="n"/>
    </row>
    <row r="2588" ht="15.75" customHeight="1" s="84">
      <c r="A2588" s="80" t="inlineStr">
        <is>
          <t>Available</t>
        </is>
      </c>
      <c r="B2588" s="103">
        <f>IF(OR(batches!A432="",batches!G432=""),"",batches!G432-COUNTIF(admissions!$M:$M,batches!A432))</f>
        <v/>
      </c>
      <c r="C2588" s="101" t="n"/>
      <c r="D2588" s="102" t="n"/>
      <c r="G2588" s="80" t="inlineStr">
        <is>
          <t>Available</t>
        </is>
      </c>
      <c r="H2588" s="103">
        <f>IF(OR(batches!A433="",batches!G433=""),"",batches!G433-COUNTIF(admissions!$M:$M,batches!A433))</f>
        <v/>
      </c>
      <c r="I2588" s="101" t="n"/>
      <c r="J2588" s="102" t="n"/>
    </row>
    <row r="2589" ht="15.75" customHeight="1" s="84">
      <c r="A2589" s="104" t="inlineStr">
        <is>
          <t>Student List</t>
        </is>
      </c>
      <c r="B2589" s="101" t="n"/>
      <c r="C2589" s="101" t="n"/>
      <c r="D2589" s="102" t="n"/>
      <c r="G2589" s="104" t="inlineStr">
        <is>
          <t>Student List</t>
        </is>
      </c>
      <c r="H2589" s="101" t="n"/>
      <c r="I2589" s="101" t="n"/>
      <c r="J2589" s="102" t="n"/>
    </row>
    <row r="2590" ht="15.75" customHeight="1" s="84">
      <c r="A2590" s="105">
        <f>IFERROR(__xludf.DUMMYFUNCTION("IF(batches!A432="""","""",TEXTJOIN(CHAR(10),TRUE,FILTER(admissions!$G$2:$G$78,admissions!$M$2:$M$78=batches!A432,"""")))"),"")</f>
        <v/>
      </c>
      <c r="B2590" s="101" t="n"/>
      <c r="C2590" s="101" t="n"/>
      <c r="D2590" s="102" t="n"/>
      <c r="G2590" s="105">
        <f>IFERROR(__xludf.DUMMYFUNCTION("IF(batches!A433="""","""",TEXTJOIN(CHAR(10),TRUE,FILTER(admissions!$G$2:$G$78,admissions!$M$2:$M$78=batches!A433,"""")))"),"")</f>
        <v/>
      </c>
      <c r="H2590" s="101" t="n"/>
      <c r="I2590" s="101" t="n"/>
      <c r="J2590" s="102" t="n"/>
    </row>
    <row r="2591" ht="15.75" customHeight="1" s="84"/>
    <row r="2592" ht="15.75" customHeight="1" s="84"/>
    <row r="2593" ht="15.75" customHeight="1" s="84">
      <c r="A2593" s="100">
        <f>IF(batches!A434="","",batches!A434)</f>
        <v/>
      </c>
      <c r="B2593" s="101" t="n"/>
      <c r="C2593" s="101" t="n"/>
      <c r="D2593" s="102" t="n"/>
      <c r="G2593" s="100">
        <f>IF(batches!A435="","",batches!A435)</f>
        <v/>
      </c>
      <c r="H2593" s="101" t="n"/>
      <c r="I2593" s="101" t="n"/>
      <c r="J2593" s="102" t="n"/>
    </row>
    <row r="2594" ht="15.75" customHeight="1" s="84">
      <c r="A2594" s="80" t="inlineStr">
        <is>
          <t>Level / Mode</t>
        </is>
      </c>
      <c r="B2594" s="103">
        <f>IF(A2593="","",batches!B434&amp;" / "&amp;batches!C434)</f>
        <v/>
      </c>
      <c r="C2594" s="101" t="n"/>
      <c r="D2594" s="102" t="n"/>
      <c r="G2594" s="80" t="inlineStr">
        <is>
          <t>Level / Mode</t>
        </is>
      </c>
      <c r="H2594" s="103">
        <f>IF(G2593="","",batches!B435&amp;" / "&amp;batches!C435)</f>
        <v/>
      </c>
      <c r="I2594" s="101" t="n"/>
      <c r="J2594" s="102" t="n"/>
    </row>
    <row r="2595" ht="15.75" customHeight="1" s="84">
      <c r="A2595" s="80" t="inlineStr">
        <is>
          <t>Dates</t>
        </is>
      </c>
      <c r="B2595" s="103">
        <f>IF(A2593="","",TEXT(batches!D434,"yyyy-mm-dd")&amp;" to "&amp;TEXT(batches!E434,"yyyy-mm-dd"))</f>
        <v/>
      </c>
      <c r="C2595" s="101" t="n"/>
      <c r="D2595" s="102" t="n"/>
      <c r="G2595" s="80" t="inlineStr">
        <is>
          <t>Dates</t>
        </is>
      </c>
      <c r="H2595" s="103">
        <f>IF(G2593="","",TEXT(batches!D435,"yyyy-mm-dd")&amp;" to "&amp;TEXT(batches!E435,"yyyy-mm-dd"))</f>
        <v/>
      </c>
      <c r="I2595" s="101" t="n"/>
      <c r="J2595" s="102" t="n"/>
    </row>
    <row r="2596" ht="15.75" customHeight="1" s="84">
      <c r="A2596" s="80" t="inlineStr">
        <is>
          <t>Duration</t>
        </is>
      </c>
      <c r="B2596" s="103">
        <f>IF(OR(batches!D434="",batches!E434=""),"",batches!E434-batches!D434+1&amp;" days")</f>
        <v/>
      </c>
      <c r="C2596" s="101" t="n"/>
      <c r="D2596" s="102" t="n"/>
      <c r="G2596" s="80" t="inlineStr">
        <is>
          <t>Duration</t>
        </is>
      </c>
      <c r="H2596" s="103">
        <f>IF(OR(batches!D435="",batches!E435=""),"",batches!E435-batches!D435+1&amp;" days")</f>
        <v/>
      </c>
      <c r="I2596" s="101" t="n"/>
      <c r="J2596" s="102" t="n"/>
    </row>
    <row r="2597" ht="15.75" customHeight="1" s="84">
      <c r="A2597" s="80" t="inlineStr">
        <is>
          <t>Timing</t>
        </is>
      </c>
      <c r="B2597" s="103">
        <f>IF(A2593="","",batches!F434)</f>
        <v/>
      </c>
      <c r="C2597" s="101" t="n"/>
      <c r="D2597" s="102" t="n"/>
      <c r="G2597" s="80" t="inlineStr">
        <is>
          <t>Timing</t>
        </is>
      </c>
      <c r="H2597" s="103">
        <f>IF(G2593="","",batches!F435)</f>
        <v/>
      </c>
      <c r="I2597" s="101" t="n"/>
      <c r="J2597" s="102" t="n"/>
    </row>
    <row r="2598" ht="15.75" customHeight="1" s="84">
      <c r="A2598" s="80" t="inlineStr">
        <is>
          <t>Capacity</t>
        </is>
      </c>
      <c r="B2598" s="103">
        <f>IF(A2593="","",batches!G434)</f>
        <v/>
      </c>
      <c r="C2598" s="101" t="n"/>
      <c r="D2598" s="102" t="n"/>
      <c r="G2598" s="80" t="inlineStr">
        <is>
          <t>Capacity</t>
        </is>
      </c>
      <c r="H2598" s="103">
        <f>IF(G2593="","",batches!G435)</f>
        <v/>
      </c>
      <c r="I2598" s="101" t="n"/>
      <c r="J2598" s="102" t="n"/>
    </row>
    <row r="2599" ht="15.75" customHeight="1" s="84">
      <c r="A2599" s="80" t="inlineStr">
        <is>
          <t>Enrolled</t>
        </is>
      </c>
      <c r="B2599" s="103">
        <f>IF(A2593="","",COUNTIF(admissions!$M:$M,batches!A434))</f>
        <v/>
      </c>
      <c r="C2599" s="101" t="n"/>
      <c r="D2599" s="102" t="n"/>
      <c r="G2599" s="80" t="inlineStr">
        <is>
          <t>Enrolled</t>
        </is>
      </c>
      <c r="H2599" s="103">
        <f>IF(G2593="","",COUNTIF(admissions!$M:$M,batches!A435))</f>
        <v/>
      </c>
      <c r="I2599" s="101" t="n"/>
      <c r="J2599" s="102" t="n"/>
    </row>
    <row r="2600" ht="15.75" customHeight="1" s="84">
      <c r="A2600" s="80" t="inlineStr">
        <is>
          <t>Available</t>
        </is>
      </c>
      <c r="B2600" s="103">
        <f>IF(OR(batches!A434="",batches!G434=""),"",batches!G434-COUNTIF(admissions!$M:$M,batches!A434))</f>
        <v/>
      </c>
      <c r="C2600" s="101" t="n"/>
      <c r="D2600" s="102" t="n"/>
      <c r="G2600" s="80" t="inlineStr">
        <is>
          <t>Available</t>
        </is>
      </c>
      <c r="H2600" s="103">
        <f>IF(OR(batches!A435="",batches!G435=""),"",batches!G435-COUNTIF(admissions!$M:$M,batches!A435))</f>
        <v/>
      </c>
      <c r="I2600" s="101" t="n"/>
      <c r="J2600" s="102" t="n"/>
    </row>
    <row r="2601" ht="15.75" customHeight="1" s="84">
      <c r="A2601" s="104" t="inlineStr">
        <is>
          <t>Student List</t>
        </is>
      </c>
      <c r="B2601" s="101" t="n"/>
      <c r="C2601" s="101" t="n"/>
      <c r="D2601" s="102" t="n"/>
      <c r="G2601" s="104" t="inlineStr">
        <is>
          <t>Student List</t>
        </is>
      </c>
      <c r="H2601" s="101" t="n"/>
      <c r="I2601" s="101" t="n"/>
      <c r="J2601" s="102" t="n"/>
    </row>
    <row r="2602" ht="15.75" customHeight="1" s="84">
      <c r="A2602" s="105">
        <f>IFERROR(__xludf.DUMMYFUNCTION("IF(batches!A434="""","""",TEXTJOIN(CHAR(10),TRUE,FILTER(admissions!$G$2:$G$78,admissions!$M$2:$M$78=batches!A434,"""")))"),"")</f>
        <v/>
      </c>
      <c r="B2602" s="101" t="n"/>
      <c r="C2602" s="101" t="n"/>
      <c r="D2602" s="102" t="n"/>
      <c r="G2602" s="105">
        <f>IFERROR(__xludf.DUMMYFUNCTION("IF(batches!A435="""","""",TEXTJOIN(CHAR(10),TRUE,FILTER(admissions!$G$2:$G$78,admissions!$M$2:$M$78=batches!A435,"""")))"),"")</f>
        <v/>
      </c>
      <c r="H2602" s="101" t="n"/>
      <c r="I2602" s="101" t="n"/>
      <c r="J2602" s="102" t="n"/>
    </row>
    <row r="2603" ht="15.75" customHeight="1" s="84"/>
    <row r="2604" ht="15.75" customHeight="1" s="84"/>
    <row r="2605" ht="15.75" customHeight="1" s="84">
      <c r="A2605" s="100">
        <f>IF(batches!A436="","",batches!A436)</f>
        <v/>
      </c>
      <c r="B2605" s="101" t="n"/>
      <c r="C2605" s="101" t="n"/>
      <c r="D2605" s="102" t="n"/>
      <c r="G2605" s="100">
        <f>IF(batches!A437="","",batches!A437)</f>
        <v/>
      </c>
      <c r="H2605" s="101" t="n"/>
      <c r="I2605" s="101" t="n"/>
      <c r="J2605" s="102" t="n"/>
    </row>
    <row r="2606" ht="15.75" customHeight="1" s="84">
      <c r="A2606" s="80" t="inlineStr">
        <is>
          <t>Level / Mode</t>
        </is>
      </c>
      <c r="B2606" s="103">
        <f>IF(A2605="","",batches!B436&amp;" / "&amp;batches!C436)</f>
        <v/>
      </c>
      <c r="C2606" s="101" t="n"/>
      <c r="D2606" s="102" t="n"/>
      <c r="G2606" s="80" t="inlineStr">
        <is>
          <t>Level / Mode</t>
        </is>
      </c>
      <c r="H2606" s="103">
        <f>IF(G2605="","",batches!B437&amp;" / "&amp;batches!C437)</f>
        <v/>
      </c>
      <c r="I2606" s="101" t="n"/>
      <c r="J2606" s="102" t="n"/>
    </row>
    <row r="2607" ht="15.75" customHeight="1" s="84">
      <c r="A2607" s="80" t="inlineStr">
        <is>
          <t>Dates</t>
        </is>
      </c>
      <c r="B2607" s="103">
        <f>IF(A2605="","",TEXT(batches!D436,"yyyy-mm-dd")&amp;" to "&amp;TEXT(batches!E436,"yyyy-mm-dd"))</f>
        <v/>
      </c>
      <c r="C2607" s="101" t="n"/>
      <c r="D2607" s="102" t="n"/>
      <c r="G2607" s="80" t="inlineStr">
        <is>
          <t>Dates</t>
        </is>
      </c>
      <c r="H2607" s="103">
        <f>IF(G2605="","",TEXT(batches!D437,"yyyy-mm-dd")&amp;" to "&amp;TEXT(batches!E437,"yyyy-mm-dd"))</f>
        <v/>
      </c>
      <c r="I2607" s="101" t="n"/>
      <c r="J2607" s="102" t="n"/>
    </row>
    <row r="2608" ht="15.75" customHeight="1" s="84">
      <c r="A2608" s="80" t="inlineStr">
        <is>
          <t>Duration</t>
        </is>
      </c>
      <c r="B2608" s="103">
        <f>IF(OR(batches!D436="",batches!E436=""),"",batches!E436-batches!D436+1&amp;" days")</f>
        <v/>
      </c>
      <c r="C2608" s="101" t="n"/>
      <c r="D2608" s="102" t="n"/>
      <c r="G2608" s="80" t="inlineStr">
        <is>
          <t>Duration</t>
        </is>
      </c>
      <c r="H2608" s="103">
        <f>IF(OR(batches!D437="",batches!E437=""),"",batches!E437-batches!D437+1&amp;" days")</f>
        <v/>
      </c>
      <c r="I2608" s="101" t="n"/>
      <c r="J2608" s="102" t="n"/>
    </row>
    <row r="2609" ht="15.75" customHeight="1" s="84">
      <c r="A2609" s="80" t="inlineStr">
        <is>
          <t>Timing</t>
        </is>
      </c>
      <c r="B2609" s="103">
        <f>IF(A2605="","",batches!F436)</f>
        <v/>
      </c>
      <c r="C2609" s="101" t="n"/>
      <c r="D2609" s="102" t="n"/>
      <c r="G2609" s="80" t="inlineStr">
        <is>
          <t>Timing</t>
        </is>
      </c>
      <c r="H2609" s="103">
        <f>IF(G2605="","",batches!F437)</f>
        <v/>
      </c>
      <c r="I2609" s="101" t="n"/>
      <c r="J2609" s="102" t="n"/>
    </row>
    <row r="2610" ht="15.75" customHeight="1" s="84">
      <c r="A2610" s="80" t="inlineStr">
        <is>
          <t>Capacity</t>
        </is>
      </c>
      <c r="B2610" s="103">
        <f>IF(A2605="","",batches!G436)</f>
        <v/>
      </c>
      <c r="C2610" s="101" t="n"/>
      <c r="D2610" s="102" t="n"/>
      <c r="G2610" s="80" t="inlineStr">
        <is>
          <t>Capacity</t>
        </is>
      </c>
      <c r="H2610" s="103">
        <f>IF(G2605="","",batches!G437)</f>
        <v/>
      </c>
      <c r="I2610" s="101" t="n"/>
      <c r="J2610" s="102" t="n"/>
    </row>
    <row r="2611" ht="15.75" customHeight="1" s="84">
      <c r="A2611" s="80" t="inlineStr">
        <is>
          <t>Enrolled</t>
        </is>
      </c>
      <c r="B2611" s="103">
        <f>IF(A2605="","",COUNTIF(admissions!$M:$M,batches!A436))</f>
        <v/>
      </c>
      <c r="C2611" s="101" t="n"/>
      <c r="D2611" s="102" t="n"/>
      <c r="G2611" s="80" t="inlineStr">
        <is>
          <t>Enrolled</t>
        </is>
      </c>
      <c r="H2611" s="103">
        <f>IF(G2605="","",COUNTIF(admissions!$M:$M,batches!A437))</f>
        <v/>
      </c>
      <c r="I2611" s="101" t="n"/>
      <c r="J2611" s="102" t="n"/>
    </row>
    <row r="2612" ht="15.75" customHeight="1" s="84">
      <c r="A2612" s="80" t="inlineStr">
        <is>
          <t>Available</t>
        </is>
      </c>
      <c r="B2612" s="103">
        <f>IF(OR(batches!A436="",batches!G436=""),"",batches!G436-COUNTIF(admissions!$M:$M,batches!A436))</f>
        <v/>
      </c>
      <c r="C2612" s="101" t="n"/>
      <c r="D2612" s="102" t="n"/>
      <c r="G2612" s="80" t="inlineStr">
        <is>
          <t>Available</t>
        </is>
      </c>
      <c r="H2612" s="103">
        <f>IF(OR(batches!A437="",batches!G437=""),"",batches!G437-COUNTIF(admissions!$M:$M,batches!A437))</f>
        <v/>
      </c>
      <c r="I2612" s="101" t="n"/>
      <c r="J2612" s="102" t="n"/>
    </row>
    <row r="2613" ht="15.75" customHeight="1" s="84">
      <c r="A2613" s="104" t="inlineStr">
        <is>
          <t>Student List</t>
        </is>
      </c>
      <c r="B2613" s="101" t="n"/>
      <c r="C2613" s="101" t="n"/>
      <c r="D2613" s="102" t="n"/>
      <c r="G2613" s="104" t="inlineStr">
        <is>
          <t>Student List</t>
        </is>
      </c>
      <c r="H2613" s="101" t="n"/>
      <c r="I2613" s="101" t="n"/>
      <c r="J2613" s="102" t="n"/>
    </row>
    <row r="2614" ht="15.75" customHeight="1" s="84">
      <c r="A2614" s="105">
        <f>IFERROR(__xludf.DUMMYFUNCTION("IF(batches!A436="""","""",TEXTJOIN(CHAR(10),TRUE,FILTER(admissions!$G$2:$G$78,admissions!$M$2:$M$78=batches!A436,"""")))"),"")</f>
        <v/>
      </c>
      <c r="B2614" s="101" t="n"/>
      <c r="C2614" s="101" t="n"/>
      <c r="D2614" s="102" t="n"/>
      <c r="G2614" s="105">
        <f>IFERROR(__xludf.DUMMYFUNCTION("IF(batches!A437="""","""",TEXTJOIN(CHAR(10),TRUE,FILTER(admissions!$G$2:$G$78,admissions!$M$2:$M$78=batches!A437,"""")))"),"")</f>
        <v/>
      </c>
      <c r="H2614" s="101" t="n"/>
      <c r="I2614" s="101" t="n"/>
      <c r="J2614" s="102" t="n"/>
    </row>
    <row r="2615" ht="15.75" customHeight="1" s="84"/>
    <row r="2616" ht="15.75" customHeight="1" s="84"/>
    <row r="2617" ht="15.75" customHeight="1" s="84">
      <c r="A2617" s="100">
        <f>IF(batches!A438="","",batches!A438)</f>
        <v/>
      </c>
      <c r="B2617" s="101" t="n"/>
      <c r="C2617" s="101" t="n"/>
      <c r="D2617" s="102" t="n"/>
      <c r="G2617" s="100">
        <f>IF(batches!A439="","",batches!A439)</f>
        <v/>
      </c>
      <c r="H2617" s="101" t="n"/>
      <c r="I2617" s="101" t="n"/>
      <c r="J2617" s="102" t="n"/>
    </row>
    <row r="2618" ht="15.75" customHeight="1" s="84">
      <c r="A2618" s="80" t="inlineStr">
        <is>
          <t>Level / Mode</t>
        </is>
      </c>
      <c r="B2618" s="103">
        <f>IF(A2617="","",batches!B438&amp;" / "&amp;batches!C438)</f>
        <v/>
      </c>
      <c r="C2618" s="101" t="n"/>
      <c r="D2618" s="102" t="n"/>
      <c r="G2618" s="80" t="inlineStr">
        <is>
          <t>Level / Mode</t>
        </is>
      </c>
      <c r="H2618" s="103">
        <f>IF(G2617="","",batches!B439&amp;" / "&amp;batches!C439)</f>
        <v/>
      </c>
      <c r="I2618" s="101" t="n"/>
      <c r="J2618" s="102" t="n"/>
    </row>
    <row r="2619" ht="15.75" customHeight="1" s="84">
      <c r="A2619" s="80" t="inlineStr">
        <is>
          <t>Dates</t>
        </is>
      </c>
      <c r="B2619" s="103">
        <f>IF(A2617="","",TEXT(batches!D438,"yyyy-mm-dd")&amp;" to "&amp;TEXT(batches!E438,"yyyy-mm-dd"))</f>
        <v/>
      </c>
      <c r="C2619" s="101" t="n"/>
      <c r="D2619" s="102" t="n"/>
      <c r="G2619" s="80" t="inlineStr">
        <is>
          <t>Dates</t>
        </is>
      </c>
      <c r="H2619" s="103">
        <f>IF(G2617="","",TEXT(batches!D439,"yyyy-mm-dd")&amp;" to "&amp;TEXT(batches!E439,"yyyy-mm-dd"))</f>
        <v/>
      </c>
      <c r="I2619" s="101" t="n"/>
      <c r="J2619" s="102" t="n"/>
    </row>
    <row r="2620" ht="15.75" customHeight="1" s="84">
      <c r="A2620" s="80" t="inlineStr">
        <is>
          <t>Duration</t>
        </is>
      </c>
      <c r="B2620" s="103">
        <f>IF(OR(batches!D438="",batches!E438=""),"",batches!E438-batches!D438+1&amp;" days")</f>
        <v/>
      </c>
      <c r="C2620" s="101" t="n"/>
      <c r="D2620" s="102" t="n"/>
      <c r="G2620" s="80" t="inlineStr">
        <is>
          <t>Duration</t>
        </is>
      </c>
      <c r="H2620" s="103">
        <f>IF(OR(batches!D439="",batches!E439=""),"",batches!E439-batches!D439+1&amp;" days")</f>
        <v/>
      </c>
      <c r="I2620" s="101" t="n"/>
      <c r="J2620" s="102" t="n"/>
    </row>
    <row r="2621" ht="15.75" customHeight="1" s="84">
      <c r="A2621" s="80" t="inlineStr">
        <is>
          <t>Timing</t>
        </is>
      </c>
      <c r="B2621" s="103">
        <f>IF(A2617="","",batches!F438)</f>
        <v/>
      </c>
      <c r="C2621" s="101" t="n"/>
      <c r="D2621" s="102" t="n"/>
      <c r="G2621" s="80" t="inlineStr">
        <is>
          <t>Timing</t>
        </is>
      </c>
      <c r="H2621" s="103">
        <f>IF(G2617="","",batches!F439)</f>
        <v/>
      </c>
      <c r="I2621" s="101" t="n"/>
      <c r="J2621" s="102" t="n"/>
    </row>
    <row r="2622" ht="15.75" customHeight="1" s="84">
      <c r="A2622" s="80" t="inlineStr">
        <is>
          <t>Capacity</t>
        </is>
      </c>
      <c r="B2622" s="103">
        <f>IF(A2617="","",batches!G438)</f>
        <v/>
      </c>
      <c r="C2622" s="101" t="n"/>
      <c r="D2622" s="102" t="n"/>
      <c r="G2622" s="80" t="inlineStr">
        <is>
          <t>Capacity</t>
        </is>
      </c>
      <c r="H2622" s="103">
        <f>IF(G2617="","",batches!G439)</f>
        <v/>
      </c>
      <c r="I2622" s="101" t="n"/>
      <c r="J2622" s="102" t="n"/>
    </row>
    <row r="2623" ht="15.75" customHeight="1" s="84">
      <c r="A2623" s="80" t="inlineStr">
        <is>
          <t>Enrolled</t>
        </is>
      </c>
      <c r="B2623" s="103">
        <f>IF(A2617="","",COUNTIF(admissions!$M:$M,batches!A438))</f>
        <v/>
      </c>
      <c r="C2623" s="101" t="n"/>
      <c r="D2623" s="102" t="n"/>
      <c r="G2623" s="80" t="inlineStr">
        <is>
          <t>Enrolled</t>
        </is>
      </c>
      <c r="H2623" s="103">
        <f>IF(G2617="","",COUNTIF(admissions!$M:$M,batches!A439))</f>
        <v/>
      </c>
      <c r="I2623" s="101" t="n"/>
      <c r="J2623" s="102" t="n"/>
    </row>
    <row r="2624" ht="15.75" customHeight="1" s="84">
      <c r="A2624" s="80" t="inlineStr">
        <is>
          <t>Available</t>
        </is>
      </c>
      <c r="B2624" s="103">
        <f>IF(OR(batches!A438="",batches!G438=""),"",batches!G438-COUNTIF(admissions!$M:$M,batches!A438))</f>
        <v/>
      </c>
      <c r="C2624" s="101" t="n"/>
      <c r="D2624" s="102" t="n"/>
      <c r="G2624" s="80" t="inlineStr">
        <is>
          <t>Available</t>
        </is>
      </c>
      <c r="H2624" s="103">
        <f>IF(OR(batches!A439="",batches!G439=""),"",batches!G439-COUNTIF(admissions!$M:$M,batches!A439))</f>
        <v/>
      </c>
      <c r="I2624" s="101" t="n"/>
      <c r="J2624" s="102" t="n"/>
    </row>
    <row r="2625" ht="15.75" customHeight="1" s="84">
      <c r="A2625" s="104" t="inlineStr">
        <is>
          <t>Student List</t>
        </is>
      </c>
      <c r="B2625" s="101" t="n"/>
      <c r="C2625" s="101" t="n"/>
      <c r="D2625" s="102" t="n"/>
      <c r="G2625" s="104" t="inlineStr">
        <is>
          <t>Student List</t>
        </is>
      </c>
      <c r="H2625" s="101" t="n"/>
      <c r="I2625" s="101" t="n"/>
      <c r="J2625" s="102" t="n"/>
    </row>
    <row r="2626" ht="15.75" customHeight="1" s="84">
      <c r="A2626" s="105">
        <f>IFERROR(__xludf.DUMMYFUNCTION("IF(batches!A438="""","""",TEXTJOIN(CHAR(10),TRUE,FILTER(admissions!$G$2:$G$78,admissions!$M$2:$M$78=batches!A438,"""")))"),"")</f>
        <v/>
      </c>
      <c r="B2626" s="101" t="n"/>
      <c r="C2626" s="101" t="n"/>
      <c r="D2626" s="102" t="n"/>
      <c r="G2626" s="105">
        <f>IFERROR(__xludf.DUMMYFUNCTION("IF(batches!A439="""","""",TEXTJOIN(CHAR(10),TRUE,FILTER(admissions!$G$2:$G$78,admissions!$M$2:$M$78=batches!A439,"""")))"),"")</f>
        <v/>
      </c>
      <c r="H2626" s="101" t="n"/>
      <c r="I2626" s="101" t="n"/>
      <c r="J2626" s="102" t="n"/>
    </row>
    <row r="2627" ht="15.75" customHeight="1" s="84"/>
    <row r="2628" ht="15.75" customHeight="1" s="84"/>
    <row r="2629" ht="15.75" customHeight="1" s="84">
      <c r="A2629" s="100">
        <f>IF(batches!A440="","",batches!A440)</f>
        <v/>
      </c>
      <c r="B2629" s="101" t="n"/>
      <c r="C2629" s="101" t="n"/>
      <c r="D2629" s="102" t="n"/>
      <c r="G2629" s="100">
        <f>IF(batches!A441="","",batches!A441)</f>
        <v/>
      </c>
      <c r="H2629" s="101" t="n"/>
      <c r="I2629" s="101" t="n"/>
      <c r="J2629" s="102" t="n"/>
    </row>
    <row r="2630" ht="15.75" customHeight="1" s="84">
      <c r="A2630" s="80" t="inlineStr">
        <is>
          <t>Level / Mode</t>
        </is>
      </c>
      <c r="B2630" s="103">
        <f>IF(A2629="","",batches!B440&amp;" / "&amp;batches!C440)</f>
        <v/>
      </c>
      <c r="C2630" s="101" t="n"/>
      <c r="D2630" s="102" t="n"/>
      <c r="G2630" s="80" t="inlineStr">
        <is>
          <t>Level / Mode</t>
        </is>
      </c>
      <c r="H2630" s="103">
        <f>IF(G2629="","",batches!B441&amp;" / "&amp;batches!C441)</f>
        <v/>
      </c>
      <c r="I2630" s="101" t="n"/>
      <c r="J2630" s="102" t="n"/>
    </row>
    <row r="2631" ht="15.75" customHeight="1" s="84">
      <c r="A2631" s="80" t="inlineStr">
        <is>
          <t>Dates</t>
        </is>
      </c>
      <c r="B2631" s="103">
        <f>IF(A2629="","",TEXT(batches!D440,"yyyy-mm-dd")&amp;" to "&amp;TEXT(batches!E440,"yyyy-mm-dd"))</f>
        <v/>
      </c>
      <c r="C2631" s="101" t="n"/>
      <c r="D2631" s="102" t="n"/>
      <c r="G2631" s="80" t="inlineStr">
        <is>
          <t>Dates</t>
        </is>
      </c>
      <c r="H2631" s="103">
        <f>IF(G2629="","",TEXT(batches!D441,"yyyy-mm-dd")&amp;" to "&amp;TEXT(batches!E441,"yyyy-mm-dd"))</f>
        <v/>
      </c>
      <c r="I2631" s="101" t="n"/>
      <c r="J2631" s="102" t="n"/>
    </row>
    <row r="2632" ht="15.75" customHeight="1" s="84">
      <c r="A2632" s="80" t="inlineStr">
        <is>
          <t>Duration</t>
        </is>
      </c>
      <c r="B2632" s="103">
        <f>IF(OR(batches!D440="",batches!E440=""),"",batches!E440-batches!D440+1&amp;" days")</f>
        <v/>
      </c>
      <c r="C2632" s="101" t="n"/>
      <c r="D2632" s="102" t="n"/>
      <c r="G2632" s="80" t="inlineStr">
        <is>
          <t>Duration</t>
        </is>
      </c>
      <c r="H2632" s="103">
        <f>IF(OR(batches!D441="",batches!E441=""),"",batches!E441-batches!D441+1&amp;" days")</f>
        <v/>
      </c>
      <c r="I2632" s="101" t="n"/>
      <c r="J2632" s="102" t="n"/>
    </row>
    <row r="2633" ht="15.75" customHeight="1" s="84">
      <c r="A2633" s="80" t="inlineStr">
        <is>
          <t>Timing</t>
        </is>
      </c>
      <c r="B2633" s="103">
        <f>IF(A2629="","",batches!F440)</f>
        <v/>
      </c>
      <c r="C2633" s="101" t="n"/>
      <c r="D2633" s="102" t="n"/>
      <c r="G2633" s="80" t="inlineStr">
        <is>
          <t>Timing</t>
        </is>
      </c>
      <c r="H2633" s="103">
        <f>IF(G2629="","",batches!F441)</f>
        <v/>
      </c>
      <c r="I2633" s="101" t="n"/>
      <c r="J2633" s="102" t="n"/>
    </row>
    <row r="2634" ht="15.75" customHeight="1" s="84">
      <c r="A2634" s="80" t="inlineStr">
        <is>
          <t>Capacity</t>
        </is>
      </c>
      <c r="B2634" s="103">
        <f>IF(A2629="","",batches!G440)</f>
        <v/>
      </c>
      <c r="C2634" s="101" t="n"/>
      <c r="D2634" s="102" t="n"/>
      <c r="G2634" s="80" t="inlineStr">
        <is>
          <t>Capacity</t>
        </is>
      </c>
      <c r="H2634" s="103">
        <f>IF(G2629="","",batches!G441)</f>
        <v/>
      </c>
      <c r="I2634" s="101" t="n"/>
      <c r="J2634" s="102" t="n"/>
    </row>
    <row r="2635" ht="15.75" customHeight="1" s="84">
      <c r="A2635" s="80" t="inlineStr">
        <is>
          <t>Enrolled</t>
        </is>
      </c>
      <c r="B2635" s="103">
        <f>IF(A2629="","",COUNTIF(admissions!$M:$M,batches!A440))</f>
        <v/>
      </c>
      <c r="C2635" s="101" t="n"/>
      <c r="D2635" s="102" t="n"/>
      <c r="G2635" s="80" t="inlineStr">
        <is>
          <t>Enrolled</t>
        </is>
      </c>
      <c r="H2635" s="103">
        <f>IF(G2629="","",COUNTIF(admissions!$M:$M,batches!A441))</f>
        <v/>
      </c>
      <c r="I2635" s="101" t="n"/>
      <c r="J2635" s="102" t="n"/>
    </row>
    <row r="2636" ht="15.75" customHeight="1" s="84">
      <c r="A2636" s="80" t="inlineStr">
        <is>
          <t>Available</t>
        </is>
      </c>
      <c r="B2636" s="103">
        <f>IF(OR(batches!A440="",batches!G440=""),"",batches!G440-COUNTIF(admissions!$M:$M,batches!A440))</f>
        <v/>
      </c>
      <c r="C2636" s="101" t="n"/>
      <c r="D2636" s="102" t="n"/>
      <c r="G2636" s="80" t="inlineStr">
        <is>
          <t>Available</t>
        </is>
      </c>
      <c r="H2636" s="103">
        <f>IF(OR(batches!A441="",batches!G441=""),"",batches!G441-COUNTIF(admissions!$M:$M,batches!A441))</f>
        <v/>
      </c>
      <c r="I2636" s="101" t="n"/>
      <c r="J2636" s="102" t="n"/>
    </row>
    <row r="2637" ht="15.75" customHeight="1" s="84">
      <c r="A2637" s="104" t="inlineStr">
        <is>
          <t>Student List</t>
        </is>
      </c>
      <c r="B2637" s="101" t="n"/>
      <c r="C2637" s="101" t="n"/>
      <c r="D2637" s="102" t="n"/>
      <c r="G2637" s="104" t="inlineStr">
        <is>
          <t>Student List</t>
        </is>
      </c>
      <c r="H2637" s="101" t="n"/>
      <c r="I2637" s="101" t="n"/>
      <c r="J2637" s="102" t="n"/>
    </row>
    <row r="2638" ht="15.75" customHeight="1" s="84">
      <c r="A2638" s="105">
        <f>IFERROR(__xludf.DUMMYFUNCTION("IF(batches!A440="""","""",TEXTJOIN(CHAR(10),TRUE,FILTER(admissions!$G$2:$G$78,admissions!$M$2:$M$78=batches!A440,"""")))"),"")</f>
        <v/>
      </c>
      <c r="B2638" s="101" t="n"/>
      <c r="C2638" s="101" t="n"/>
      <c r="D2638" s="102" t="n"/>
      <c r="G2638" s="105">
        <f>IFERROR(__xludf.DUMMYFUNCTION("IF(batches!A441="""","""",TEXTJOIN(CHAR(10),TRUE,FILTER(admissions!$G$2:$G$78,admissions!$M$2:$M$78=batches!A441,"""")))"),"")</f>
        <v/>
      </c>
      <c r="H2638" s="101" t="n"/>
      <c r="I2638" s="101" t="n"/>
      <c r="J2638" s="102" t="n"/>
    </row>
    <row r="2639" ht="15.75" customHeight="1" s="84"/>
    <row r="2640" ht="15.75" customHeight="1" s="84"/>
    <row r="2641" ht="15.75" customHeight="1" s="84">
      <c r="A2641" s="100">
        <f>IF(batches!A442="","",batches!A442)</f>
        <v/>
      </c>
      <c r="B2641" s="101" t="n"/>
      <c r="C2641" s="101" t="n"/>
      <c r="D2641" s="102" t="n"/>
      <c r="G2641" s="100">
        <f>IF(batches!A443="","",batches!A443)</f>
        <v/>
      </c>
      <c r="H2641" s="101" t="n"/>
      <c r="I2641" s="101" t="n"/>
      <c r="J2641" s="102" t="n"/>
    </row>
    <row r="2642" ht="15.75" customHeight="1" s="84">
      <c r="A2642" s="80" t="inlineStr">
        <is>
          <t>Level / Mode</t>
        </is>
      </c>
      <c r="B2642" s="103">
        <f>IF(A2641="","",batches!B442&amp;" / "&amp;batches!C442)</f>
        <v/>
      </c>
      <c r="C2642" s="101" t="n"/>
      <c r="D2642" s="102" t="n"/>
      <c r="G2642" s="80" t="inlineStr">
        <is>
          <t>Level / Mode</t>
        </is>
      </c>
      <c r="H2642" s="103">
        <f>IF(G2641="","",batches!B443&amp;" / "&amp;batches!C443)</f>
        <v/>
      </c>
      <c r="I2642" s="101" t="n"/>
      <c r="J2642" s="102" t="n"/>
    </row>
    <row r="2643" ht="15.75" customHeight="1" s="84">
      <c r="A2643" s="80" t="inlineStr">
        <is>
          <t>Dates</t>
        </is>
      </c>
      <c r="B2643" s="103">
        <f>IF(A2641="","",TEXT(batches!D442,"yyyy-mm-dd")&amp;" to "&amp;TEXT(batches!E442,"yyyy-mm-dd"))</f>
        <v/>
      </c>
      <c r="C2643" s="101" t="n"/>
      <c r="D2643" s="102" t="n"/>
      <c r="G2643" s="80" t="inlineStr">
        <is>
          <t>Dates</t>
        </is>
      </c>
      <c r="H2643" s="103">
        <f>IF(G2641="","",TEXT(batches!D443,"yyyy-mm-dd")&amp;" to "&amp;TEXT(batches!E443,"yyyy-mm-dd"))</f>
        <v/>
      </c>
      <c r="I2643" s="101" t="n"/>
      <c r="J2643" s="102" t="n"/>
    </row>
    <row r="2644" ht="15.75" customHeight="1" s="84">
      <c r="A2644" s="80" t="inlineStr">
        <is>
          <t>Duration</t>
        </is>
      </c>
      <c r="B2644" s="103">
        <f>IF(OR(batches!D442="",batches!E442=""),"",batches!E442-batches!D442+1&amp;" days")</f>
        <v/>
      </c>
      <c r="C2644" s="101" t="n"/>
      <c r="D2644" s="102" t="n"/>
      <c r="G2644" s="80" t="inlineStr">
        <is>
          <t>Duration</t>
        </is>
      </c>
      <c r="H2644" s="103">
        <f>IF(OR(batches!D443="",batches!E443=""),"",batches!E443-batches!D443+1&amp;" days")</f>
        <v/>
      </c>
      <c r="I2644" s="101" t="n"/>
      <c r="J2644" s="102" t="n"/>
    </row>
    <row r="2645" ht="15.75" customHeight="1" s="84">
      <c r="A2645" s="80" t="inlineStr">
        <is>
          <t>Timing</t>
        </is>
      </c>
      <c r="B2645" s="103">
        <f>IF(A2641="","",batches!F442)</f>
        <v/>
      </c>
      <c r="C2645" s="101" t="n"/>
      <c r="D2645" s="102" t="n"/>
      <c r="G2645" s="80" t="inlineStr">
        <is>
          <t>Timing</t>
        </is>
      </c>
      <c r="H2645" s="103">
        <f>IF(G2641="","",batches!F443)</f>
        <v/>
      </c>
      <c r="I2645" s="101" t="n"/>
      <c r="J2645" s="102" t="n"/>
    </row>
    <row r="2646" ht="15.75" customHeight="1" s="84">
      <c r="A2646" s="80" t="inlineStr">
        <is>
          <t>Capacity</t>
        </is>
      </c>
      <c r="B2646" s="103">
        <f>IF(A2641="","",batches!G442)</f>
        <v/>
      </c>
      <c r="C2646" s="101" t="n"/>
      <c r="D2646" s="102" t="n"/>
      <c r="G2646" s="80" t="inlineStr">
        <is>
          <t>Capacity</t>
        </is>
      </c>
      <c r="H2646" s="103">
        <f>IF(G2641="","",batches!G443)</f>
        <v/>
      </c>
      <c r="I2646" s="101" t="n"/>
      <c r="J2646" s="102" t="n"/>
    </row>
    <row r="2647" ht="15.75" customHeight="1" s="84">
      <c r="A2647" s="80" t="inlineStr">
        <is>
          <t>Enrolled</t>
        </is>
      </c>
      <c r="B2647" s="103">
        <f>IF(A2641="","",COUNTIF(admissions!$M:$M,batches!A442))</f>
        <v/>
      </c>
      <c r="C2647" s="101" t="n"/>
      <c r="D2647" s="102" t="n"/>
      <c r="G2647" s="80" t="inlineStr">
        <is>
          <t>Enrolled</t>
        </is>
      </c>
      <c r="H2647" s="103">
        <f>IF(G2641="","",COUNTIF(admissions!$M:$M,batches!A443))</f>
        <v/>
      </c>
      <c r="I2647" s="101" t="n"/>
      <c r="J2647" s="102" t="n"/>
    </row>
    <row r="2648" ht="15.75" customHeight="1" s="84">
      <c r="A2648" s="80" t="inlineStr">
        <is>
          <t>Available</t>
        </is>
      </c>
      <c r="B2648" s="103">
        <f>IF(OR(batches!A442="",batches!G442=""),"",batches!G442-COUNTIF(admissions!$M:$M,batches!A442))</f>
        <v/>
      </c>
      <c r="C2648" s="101" t="n"/>
      <c r="D2648" s="102" t="n"/>
      <c r="G2648" s="80" t="inlineStr">
        <is>
          <t>Available</t>
        </is>
      </c>
      <c r="H2648" s="103">
        <f>IF(OR(batches!A443="",batches!G443=""),"",batches!G443-COUNTIF(admissions!$M:$M,batches!A443))</f>
        <v/>
      </c>
      <c r="I2648" s="101" t="n"/>
      <c r="J2648" s="102" t="n"/>
    </row>
    <row r="2649" ht="15.75" customHeight="1" s="84">
      <c r="A2649" s="104" t="inlineStr">
        <is>
          <t>Student List</t>
        </is>
      </c>
      <c r="B2649" s="101" t="n"/>
      <c r="C2649" s="101" t="n"/>
      <c r="D2649" s="102" t="n"/>
      <c r="G2649" s="104" t="inlineStr">
        <is>
          <t>Student List</t>
        </is>
      </c>
      <c r="H2649" s="101" t="n"/>
      <c r="I2649" s="101" t="n"/>
      <c r="J2649" s="102" t="n"/>
    </row>
    <row r="2650" ht="15.75" customHeight="1" s="84">
      <c r="A2650" s="105">
        <f>IFERROR(__xludf.DUMMYFUNCTION("IF(batches!A442="""","""",TEXTJOIN(CHAR(10),TRUE,FILTER(admissions!$G$2:$G$78,admissions!$M$2:$M$78=batches!A442,"""")))"),"")</f>
        <v/>
      </c>
      <c r="B2650" s="101" t="n"/>
      <c r="C2650" s="101" t="n"/>
      <c r="D2650" s="102" t="n"/>
      <c r="G2650" s="105">
        <f>IFERROR(__xludf.DUMMYFUNCTION("IF(batches!A443="""","""",TEXTJOIN(CHAR(10),TRUE,FILTER(admissions!$G$2:$G$78,admissions!$M$2:$M$78=batches!A443,"""")))"),"")</f>
        <v/>
      </c>
      <c r="H2650" s="101" t="n"/>
      <c r="I2650" s="101" t="n"/>
      <c r="J2650" s="102" t="n"/>
    </row>
    <row r="2651" ht="15.75" customHeight="1" s="84"/>
    <row r="2652" ht="15.75" customHeight="1" s="84"/>
    <row r="2653" ht="15.75" customHeight="1" s="84">
      <c r="A2653" s="100">
        <f>IF(batches!A444="","",batches!A444)</f>
        <v/>
      </c>
      <c r="B2653" s="101" t="n"/>
      <c r="C2653" s="101" t="n"/>
      <c r="D2653" s="102" t="n"/>
      <c r="G2653" s="100">
        <f>IF(batches!A445="","",batches!A445)</f>
        <v/>
      </c>
      <c r="H2653" s="101" t="n"/>
      <c r="I2653" s="101" t="n"/>
      <c r="J2653" s="102" t="n"/>
    </row>
    <row r="2654" ht="15.75" customHeight="1" s="84">
      <c r="A2654" s="80" t="inlineStr">
        <is>
          <t>Level / Mode</t>
        </is>
      </c>
      <c r="B2654" s="103">
        <f>IF(A2653="","",batches!B444&amp;" / "&amp;batches!C444)</f>
        <v/>
      </c>
      <c r="C2654" s="101" t="n"/>
      <c r="D2654" s="102" t="n"/>
      <c r="G2654" s="80" t="inlineStr">
        <is>
          <t>Level / Mode</t>
        </is>
      </c>
      <c r="H2654" s="103">
        <f>IF(G2653="","",batches!B445&amp;" / "&amp;batches!C445)</f>
        <v/>
      </c>
      <c r="I2654" s="101" t="n"/>
      <c r="J2654" s="102" t="n"/>
    </row>
    <row r="2655" ht="15.75" customHeight="1" s="84">
      <c r="A2655" s="80" t="inlineStr">
        <is>
          <t>Dates</t>
        </is>
      </c>
      <c r="B2655" s="103">
        <f>IF(A2653="","",TEXT(batches!D444,"yyyy-mm-dd")&amp;" to "&amp;TEXT(batches!E444,"yyyy-mm-dd"))</f>
        <v/>
      </c>
      <c r="C2655" s="101" t="n"/>
      <c r="D2655" s="102" t="n"/>
      <c r="G2655" s="80" t="inlineStr">
        <is>
          <t>Dates</t>
        </is>
      </c>
      <c r="H2655" s="103">
        <f>IF(G2653="","",TEXT(batches!D445,"yyyy-mm-dd")&amp;" to "&amp;TEXT(batches!E445,"yyyy-mm-dd"))</f>
        <v/>
      </c>
      <c r="I2655" s="101" t="n"/>
      <c r="J2655" s="102" t="n"/>
    </row>
    <row r="2656" ht="15.75" customHeight="1" s="84">
      <c r="A2656" s="80" t="inlineStr">
        <is>
          <t>Duration</t>
        </is>
      </c>
      <c r="B2656" s="103">
        <f>IF(OR(batches!D444="",batches!E444=""),"",batches!E444-batches!D444+1&amp;" days")</f>
        <v/>
      </c>
      <c r="C2656" s="101" t="n"/>
      <c r="D2656" s="102" t="n"/>
      <c r="G2656" s="80" t="inlineStr">
        <is>
          <t>Duration</t>
        </is>
      </c>
      <c r="H2656" s="103">
        <f>IF(OR(batches!D445="",batches!E445=""),"",batches!E445-batches!D445+1&amp;" days")</f>
        <v/>
      </c>
      <c r="I2656" s="101" t="n"/>
      <c r="J2656" s="102" t="n"/>
    </row>
    <row r="2657" ht="15.75" customHeight="1" s="84">
      <c r="A2657" s="80" t="inlineStr">
        <is>
          <t>Timing</t>
        </is>
      </c>
      <c r="B2657" s="103">
        <f>IF(A2653="","",batches!F444)</f>
        <v/>
      </c>
      <c r="C2657" s="101" t="n"/>
      <c r="D2657" s="102" t="n"/>
      <c r="G2657" s="80" t="inlineStr">
        <is>
          <t>Timing</t>
        </is>
      </c>
      <c r="H2657" s="103">
        <f>IF(G2653="","",batches!F445)</f>
        <v/>
      </c>
      <c r="I2657" s="101" t="n"/>
      <c r="J2657" s="102" t="n"/>
    </row>
    <row r="2658" ht="15.75" customHeight="1" s="84">
      <c r="A2658" s="80" t="inlineStr">
        <is>
          <t>Capacity</t>
        </is>
      </c>
      <c r="B2658" s="103">
        <f>IF(A2653="","",batches!G444)</f>
        <v/>
      </c>
      <c r="C2658" s="101" t="n"/>
      <c r="D2658" s="102" t="n"/>
      <c r="G2658" s="80" t="inlineStr">
        <is>
          <t>Capacity</t>
        </is>
      </c>
      <c r="H2658" s="103">
        <f>IF(G2653="","",batches!G445)</f>
        <v/>
      </c>
      <c r="I2658" s="101" t="n"/>
      <c r="J2658" s="102" t="n"/>
    </row>
    <row r="2659" ht="15.75" customHeight="1" s="84">
      <c r="A2659" s="80" t="inlineStr">
        <is>
          <t>Enrolled</t>
        </is>
      </c>
      <c r="B2659" s="103">
        <f>IF(A2653="","",COUNTIF(admissions!$M:$M,batches!A444))</f>
        <v/>
      </c>
      <c r="C2659" s="101" t="n"/>
      <c r="D2659" s="102" t="n"/>
      <c r="G2659" s="80" t="inlineStr">
        <is>
          <t>Enrolled</t>
        </is>
      </c>
      <c r="H2659" s="103">
        <f>IF(G2653="","",COUNTIF(admissions!$M:$M,batches!A445))</f>
        <v/>
      </c>
      <c r="I2659" s="101" t="n"/>
      <c r="J2659" s="102" t="n"/>
    </row>
    <row r="2660" ht="15.75" customHeight="1" s="84">
      <c r="A2660" s="80" t="inlineStr">
        <is>
          <t>Available</t>
        </is>
      </c>
      <c r="B2660" s="103">
        <f>IF(OR(batches!A444="",batches!G444=""),"",batches!G444-COUNTIF(admissions!$M:$M,batches!A444))</f>
        <v/>
      </c>
      <c r="C2660" s="101" t="n"/>
      <c r="D2660" s="102" t="n"/>
      <c r="G2660" s="80" t="inlineStr">
        <is>
          <t>Available</t>
        </is>
      </c>
      <c r="H2660" s="103">
        <f>IF(OR(batches!A445="",batches!G445=""),"",batches!G445-COUNTIF(admissions!$M:$M,batches!A445))</f>
        <v/>
      </c>
      <c r="I2660" s="101" t="n"/>
      <c r="J2660" s="102" t="n"/>
    </row>
    <row r="2661" ht="15.75" customHeight="1" s="84">
      <c r="A2661" s="104" t="inlineStr">
        <is>
          <t>Student List</t>
        </is>
      </c>
      <c r="B2661" s="101" t="n"/>
      <c r="C2661" s="101" t="n"/>
      <c r="D2661" s="102" t="n"/>
      <c r="G2661" s="104" t="inlineStr">
        <is>
          <t>Student List</t>
        </is>
      </c>
      <c r="H2661" s="101" t="n"/>
      <c r="I2661" s="101" t="n"/>
      <c r="J2661" s="102" t="n"/>
    </row>
    <row r="2662" ht="15.75" customHeight="1" s="84">
      <c r="A2662" s="105">
        <f>IFERROR(__xludf.DUMMYFUNCTION("IF(batches!A444="""","""",TEXTJOIN(CHAR(10),TRUE,FILTER(admissions!$G$2:$G$78,admissions!$M$2:$M$78=batches!A444,"""")))"),"")</f>
        <v/>
      </c>
      <c r="B2662" s="101" t="n"/>
      <c r="C2662" s="101" t="n"/>
      <c r="D2662" s="102" t="n"/>
      <c r="G2662" s="105">
        <f>IFERROR(__xludf.DUMMYFUNCTION("IF(batches!A445="""","""",TEXTJOIN(CHAR(10),TRUE,FILTER(admissions!$G$2:$G$78,admissions!$M$2:$M$78=batches!A445,"""")))"),"")</f>
        <v/>
      </c>
      <c r="H2662" s="101" t="n"/>
      <c r="I2662" s="101" t="n"/>
      <c r="J2662" s="102" t="n"/>
    </row>
    <row r="2663" ht="15.75" customHeight="1" s="84"/>
    <row r="2664" ht="15.75" customHeight="1" s="84"/>
    <row r="2665" ht="15.75" customHeight="1" s="84">
      <c r="A2665" s="100">
        <f>IF(batches!A446="","",batches!A446)</f>
        <v/>
      </c>
      <c r="B2665" s="101" t="n"/>
      <c r="C2665" s="101" t="n"/>
      <c r="D2665" s="102" t="n"/>
      <c r="G2665" s="100">
        <f>IF(batches!A447="","",batches!A447)</f>
        <v/>
      </c>
      <c r="H2665" s="101" t="n"/>
      <c r="I2665" s="101" t="n"/>
      <c r="J2665" s="102" t="n"/>
    </row>
    <row r="2666" ht="15.75" customHeight="1" s="84">
      <c r="A2666" s="80" t="inlineStr">
        <is>
          <t>Level / Mode</t>
        </is>
      </c>
      <c r="B2666" s="103">
        <f>IF(A2665="","",batches!B446&amp;" / "&amp;batches!C446)</f>
        <v/>
      </c>
      <c r="C2666" s="101" t="n"/>
      <c r="D2666" s="102" t="n"/>
      <c r="G2666" s="80" t="inlineStr">
        <is>
          <t>Level / Mode</t>
        </is>
      </c>
      <c r="H2666" s="103">
        <f>IF(G2665="","",batches!B447&amp;" / "&amp;batches!C447)</f>
        <v/>
      </c>
      <c r="I2666" s="101" t="n"/>
      <c r="J2666" s="102" t="n"/>
    </row>
    <row r="2667" ht="15.75" customHeight="1" s="84">
      <c r="A2667" s="80" t="inlineStr">
        <is>
          <t>Dates</t>
        </is>
      </c>
      <c r="B2667" s="103">
        <f>IF(A2665="","",TEXT(batches!D446,"yyyy-mm-dd")&amp;" to "&amp;TEXT(batches!E446,"yyyy-mm-dd"))</f>
        <v/>
      </c>
      <c r="C2667" s="101" t="n"/>
      <c r="D2667" s="102" t="n"/>
      <c r="G2667" s="80" t="inlineStr">
        <is>
          <t>Dates</t>
        </is>
      </c>
      <c r="H2667" s="103">
        <f>IF(G2665="","",TEXT(batches!D447,"yyyy-mm-dd")&amp;" to "&amp;TEXT(batches!E447,"yyyy-mm-dd"))</f>
        <v/>
      </c>
      <c r="I2667" s="101" t="n"/>
      <c r="J2667" s="102" t="n"/>
    </row>
    <row r="2668" ht="15.75" customHeight="1" s="84">
      <c r="A2668" s="80" t="inlineStr">
        <is>
          <t>Duration</t>
        </is>
      </c>
      <c r="B2668" s="103">
        <f>IF(OR(batches!D446="",batches!E446=""),"",batches!E446-batches!D446+1&amp;" days")</f>
        <v/>
      </c>
      <c r="C2668" s="101" t="n"/>
      <c r="D2668" s="102" t="n"/>
      <c r="G2668" s="80" t="inlineStr">
        <is>
          <t>Duration</t>
        </is>
      </c>
      <c r="H2668" s="103">
        <f>IF(OR(batches!D447="",batches!E447=""),"",batches!E447-batches!D447+1&amp;" days")</f>
        <v/>
      </c>
      <c r="I2668" s="101" t="n"/>
      <c r="J2668" s="102" t="n"/>
    </row>
    <row r="2669" ht="15.75" customHeight="1" s="84">
      <c r="A2669" s="80" t="inlineStr">
        <is>
          <t>Timing</t>
        </is>
      </c>
      <c r="B2669" s="103">
        <f>IF(A2665="","",batches!F446)</f>
        <v/>
      </c>
      <c r="C2669" s="101" t="n"/>
      <c r="D2669" s="102" t="n"/>
      <c r="G2669" s="80" t="inlineStr">
        <is>
          <t>Timing</t>
        </is>
      </c>
      <c r="H2669" s="103">
        <f>IF(G2665="","",batches!F447)</f>
        <v/>
      </c>
      <c r="I2669" s="101" t="n"/>
      <c r="J2669" s="102" t="n"/>
    </row>
    <row r="2670" ht="15.75" customHeight="1" s="84">
      <c r="A2670" s="80" t="inlineStr">
        <is>
          <t>Capacity</t>
        </is>
      </c>
      <c r="B2670" s="103">
        <f>IF(A2665="","",batches!G446)</f>
        <v/>
      </c>
      <c r="C2670" s="101" t="n"/>
      <c r="D2670" s="102" t="n"/>
      <c r="G2670" s="80" t="inlineStr">
        <is>
          <t>Capacity</t>
        </is>
      </c>
      <c r="H2670" s="103">
        <f>IF(G2665="","",batches!G447)</f>
        <v/>
      </c>
      <c r="I2670" s="101" t="n"/>
      <c r="J2670" s="102" t="n"/>
    </row>
    <row r="2671" ht="15.75" customHeight="1" s="84">
      <c r="A2671" s="80" t="inlineStr">
        <is>
          <t>Enrolled</t>
        </is>
      </c>
      <c r="B2671" s="103">
        <f>IF(A2665="","",COUNTIF(admissions!$M:$M,batches!A446))</f>
        <v/>
      </c>
      <c r="C2671" s="101" t="n"/>
      <c r="D2671" s="102" t="n"/>
      <c r="G2671" s="80" t="inlineStr">
        <is>
          <t>Enrolled</t>
        </is>
      </c>
      <c r="H2671" s="103">
        <f>IF(G2665="","",COUNTIF(admissions!$M:$M,batches!A447))</f>
        <v/>
      </c>
      <c r="I2671" s="101" t="n"/>
      <c r="J2671" s="102" t="n"/>
    </row>
    <row r="2672" ht="15.75" customHeight="1" s="84">
      <c r="A2672" s="80" t="inlineStr">
        <is>
          <t>Available</t>
        </is>
      </c>
      <c r="B2672" s="103">
        <f>IF(OR(batches!A446="",batches!G446=""),"",batches!G446-COUNTIF(admissions!$M:$M,batches!A446))</f>
        <v/>
      </c>
      <c r="C2672" s="101" t="n"/>
      <c r="D2672" s="102" t="n"/>
      <c r="G2672" s="80" t="inlineStr">
        <is>
          <t>Available</t>
        </is>
      </c>
      <c r="H2672" s="103">
        <f>IF(OR(batches!A447="",batches!G447=""),"",batches!G447-COUNTIF(admissions!$M:$M,batches!A447))</f>
        <v/>
      </c>
      <c r="I2672" s="101" t="n"/>
      <c r="J2672" s="102" t="n"/>
    </row>
    <row r="2673" ht="15.75" customHeight="1" s="84">
      <c r="A2673" s="104" t="inlineStr">
        <is>
          <t>Student List</t>
        </is>
      </c>
      <c r="B2673" s="101" t="n"/>
      <c r="C2673" s="101" t="n"/>
      <c r="D2673" s="102" t="n"/>
      <c r="G2673" s="104" t="inlineStr">
        <is>
          <t>Student List</t>
        </is>
      </c>
      <c r="H2673" s="101" t="n"/>
      <c r="I2673" s="101" t="n"/>
      <c r="J2673" s="102" t="n"/>
    </row>
    <row r="2674" ht="15.75" customHeight="1" s="84">
      <c r="A2674" s="105">
        <f>IFERROR(__xludf.DUMMYFUNCTION("IF(batches!A446="""","""",TEXTJOIN(CHAR(10),TRUE,FILTER(admissions!$G$2:$G$78,admissions!$M$2:$M$78=batches!A446,"""")))"),"")</f>
        <v/>
      </c>
      <c r="B2674" s="101" t="n"/>
      <c r="C2674" s="101" t="n"/>
      <c r="D2674" s="102" t="n"/>
      <c r="G2674" s="105">
        <f>IFERROR(__xludf.DUMMYFUNCTION("IF(batches!A447="""","""",TEXTJOIN(CHAR(10),TRUE,FILTER(admissions!$G$2:$G$78,admissions!$M$2:$M$78=batches!A447,"""")))"),"")</f>
        <v/>
      </c>
      <c r="H2674" s="101" t="n"/>
      <c r="I2674" s="101" t="n"/>
      <c r="J2674" s="102" t="n"/>
    </row>
    <row r="2675" ht="15.75" customHeight="1" s="84"/>
    <row r="2676" ht="15.75" customHeight="1" s="84"/>
    <row r="2677" ht="15.75" customHeight="1" s="84">
      <c r="A2677" s="100">
        <f>IF(batches!A448="","",batches!A448)</f>
        <v/>
      </c>
      <c r="B2677" s="101" t="n"/>
      <c r="C2677" s="101" t="n"/>
      <c r="D2677" s="102" t="n"/>
      <c r="G2677" s="100">
        <f>IF(batches!A449="","",batches!A449)</f>
        <v/>
      </c>
      <c r="H2677" s="101" t="n"/>
      <c r="I2677" s="101" t="n"/>
      <c r="J2677" s="102" t="n"/>
    </row>
    <row r="2678" ht="15.75" customHeight="1" s="84">
      <c r="A2678" s="80" t="inlineStr">
        <is>
          <t>Level / Mode</t>
        </is>
      </c>
      <c r="B2678" s="103">
        <f>IF(A2677="","",batches!B448&amp;" / "&amp;batches!C448)</f>
        <v/>
      </c>
      <c r="C2678" s="101" t="n"/>
      <c r="D2678" s="102" t="n"/>
      <c r="G2678" s="80" t="inlineStr">
        <is>
          <t>Level / Mode</t>
        </is>
      </c>
      <c r="H2678" s="103">
        <f>IF(G2677="","",batches!B449&amp;" / "&amp;batches!C449)</f>
        <v/>
      </c>
      <c r="I2678" s="101" t="n"/>
      <c r="J2678" s="102" t="n"/>
    </row>
    <row r="2679" ht="15.75" customHeight="1" s="84">
      <c r="A2679" s="80" t="inlineStr">
        <is>
          <t>Dates</t>
        </is>
      </c>
      <c r="B2679" s="103">
        <f>IF(A2677="","",TEXT(batches!D448,"yyyy-mm-dd")&amp;" to "&amp;TEXT(batches!E448,"yyyy-mm-dd"))</f>
        <v/>
      </c>
      <c r="C2679" s="101" t="n"/>
      <c r="D2679" s="102" t="n"/>
      <c r="G2679" s="80" t="inlineStr">
        <is>
          <t>Dates</t>
        </is>
      </c>
      <c r="H2679" s="103">
        <f>IF(G2677="","",TEXT(batches!D449,"yyyy-mm-dd")&amp;" to "&amp;TEXT(batches!E449,"yyyy-mm-dd"))</f>
        <v/>
      </c>
      <c r="I2679" s="101" t="n"/>
      <c r="J2679" s="102" t="n"/>
    </row>
    <row r="2680" ht="15.75" customHeight="1" s="84">
      <c r="A2680" s="80" t="inlineStr">
        <is>
          <t>Duration</t>
        </is>
      </c>
      <c r="B2680" s="103">
        <f>IF(OR(batches!D448="",batches!E448=""),"",batches!E448-batches!D448+1&amp;" days")</f>
        <v/>
      </c>
      <c r="C2680" s="101" t="n"/>
      <c r="D2680" s="102" t="n"/>
      <c r="G2680" s="80" t="inlineStr">
        <is>
          <t>Duration</t>
        </is>
      </c>
      <c r="H2680" s="103">
        <f>IF(OR(batches!D449="",batches!E449=""),"",batches!E449-batches!D449+1&amp;" days")</f>
        <v/>
      </c>
      <c r="I2680" s="101" t="n"/>
      <c r="J2680" s="102" t="n"/>
    </row>
    <row r="2681" ht="15.75" customHeight="1" s="84">
      <c r="A2681" s="80" t="inlineStr">
        <is>
          <t>Timing</t>
        </is>
      </c>
      <c r="B2681" s="103">
        <f>IF(A2677="","",batches!F448)</f>
        <v/>
      </c>
      <c r="C2681" s="101" t="n"/>
      <c r="D2681" s="102" t="n"/>
      <c r="G2681" s="80" t="inlineStr">
        <is>
          <t>Timing</t>
        </is>
      </c>
      <c r="H2681" s="103">
        <f>IF(G2677="","",batches!F449)</f>
        <v/>
      </c>
      <c r="I2681" s="101" t="n"/>
      <c r="J2681" s="102" t="n"/>
    </row>
    <row r="2682" ht="15.75" customHeight="1" s="84">
      <c r="A2682" s="80" t="inlineStr">
        <is>
          <t>Capacity</t>
        </is>
      </c>
      <c r="B2682" s="103">
        <f>IF(A2677="","",batches!G448)</f>
        <v/>
      </c>
      <c r="C2682" s="101" t="n"/>
      <c r="D2682" s="102" t="n"/>
      <c r="G2682" s="80" t="inlineStr">
        <is>
          <t>Capacity</t>
        </is>
      </c>
      <c r="H2682" s="103">
        <f>IF(G2677="","",batches!G449)</f>
        <v/>
      </c>
      <c r="I2682" s="101" t="n"/>
      <c r="J2682" s="102" t="n"/>
    </row>
    <row r="2683" ht="15.75" customHeight="1" s="84">
      <c r="A2683" s="80" t="inlineStr">
        <is>
          <t>Enrolled</t>
        </is>
      </c>
      <c r="B2683" s="103">
        <f>IF(A2677="","",COUNTIF(admissions!$M:$M,batches!A448))</f>
        <v/>
      </c>
      <c r="C2683" s="101" t="n"/>
      <c r="D2683" s="102" t="n"/>
      <c r="G2683" s="80" t="inlineStr">
        <is>
          <t>Enrolled</t>
        </is>
      </c>
      <c r="H2683" s="103">
        <f>IF(G2677="","",COUNTIF(admissions!$M:$M,batches!A449))</f>
        <v/>
      </c>
      <c r="I2683" s="101" t="n"/>
      <c r="J2683" s="102" t="n"/>
    </row>
    <row r="2684" ht="15.75" customHeight="1" s="84">
      <c r="A2684" s="80" t="inlineStr">
        <is>
          <t>Available</t>
        </is>
      </c>
      <c r="B2684" s="103">
        <f>IF(OR(batches!A448="",batches!G448=""),"",batches!G448-COUNTIF(admissions!$M:$M,batches!A448))</f>
        <v/>
      </c>
      <c r="C2684" s="101" t="n"/>
      <c r="D2684" s="102" t="n"/>
      <c r="G2684" s="80" t="inlineStr">
        <is>
          <t>Available</t>
        </is>
      </c>
      <c r="H2684" s="103">
        <f>IF(OR(batches!A449="",batches!G449=""),"",batches!G449-COUNTIF(admissions!$M:$M,batches!A449))</f>
        <v/>
      </c>
      <c r="I2684" s="101" t="n"/>
      <c r="J2684" s="102" t="n"/>
    </row>
    <row r="2685" ht="15.75" customHeight="1" s="84">
      <c r="A2685" s="104" t="inlineStr">
        <is>
          <t>Student List</t>
        </is>
      </c>
      <c r="B2685" s="101" t="n"/>
      <c r="C2685" s="101" t="n"/>
      <c r="D2685" s="102" t="n"/>
      <c r="G2685" s="104" t="inlineStr">
        <is>
          <t>Student List</t>
        </is>
      </c>
      <c r="H2685" s="101" t="n"/>
      <c r="I2685" s="101" t="n"/>
      <c r="J2685" s="102" t="n"/>
    </row>
    <row r="2686" ht="15.75" customHeight="1" s="84">
      <c r="A2686" s="105">
        <f>IFERROR(__xludf.DUMMYFUNCTION("IF(batches!A448="""","""",TEXTJOIN(CHAR(10),TRUE,FILTER(admissions!$G$2:$G$78,admissions!$M$2:$M$78=batches!A448,"""")))"),"")</f>
        <v/>
      </c>
      <c r="B2686" s="101" t="n"/>
      <c r="C2686" s="101" t="n"/>
      <c r="D2686" s="102" t="n"/>
      <c r="G2686" s="105">
        <f>IFERROR(__xludf.DUMMYFUNCTION("IF(batches!A449="""","""",TEXTJOIN(CHAR(10),TRUE,FILTER(admissions!$G$2:$G$78,admissions!$M$2:$M$78=batches!A449,"""")))"),"")</f>
        <v/>
      </c>
      <c r="H2686" s="101" t="n"/>
      <c r="I2686" s="101" t="n"/>
      <c r="J2686" s="102" t="n"/>
    </row>
    <row r="2687" ht="15.75" customHeight="1" s="84"/>
    <row r="2688" ht="15.75" customHeight="1" s="84"/>
    <row r="2689" ht="15.75" customHeight="1" s="84">
      <c r="A2689" s="100">
        <f>IF(batches!A450="","",batches!A450)</f>
        <v/>
      </c>
      <c r="B2689" s="101" t="n"/>
      <c r="C2689" s="101" t="n"/>
      <c r="D2689" s="102" t="n"/>
      <c r="G2689" s="100">
        <f>IF(batches!A451="","",batches!A451)</f>
        <v/>
      </c>
      <c r="H2689" s="101" t="n"/>
      <c r="I2689" s="101" t="n"/>
      <c r="J2689" s="102" t="n"/>
    </row>
    <row r="2690" ht="15.75" customHeight="1" s="84">
      <c r="A2690" s="80" t="inlineStr">
        <is>
          <t>Level / Mode</t>
        </is>
      </c>
      <c r="B2690" s="103">
        <f>IF(A2689="","",batches!B450&amp;" / "&amp;batches!C450)</f>
        <v/>
      </c>
      <c r="C2690" s="101" t="n"/>
      <c r="D2690" s="102" t="n"/>
      <c r="G2690" s="80" t="inlineStr">
        <is>
          <t>Level / Mode</t>
        </is>
      </c>
      <c r="H2690" s="103">
        <f>IF(G2689="","",batches!B451&amp;" / "&amp;batches!C451)</f>
        <v/>
      </c>
      <c r="I2690" s="101" t="n"/>
      <c r="J2690" s="102" t="n"/>
    </row>
    <row r="2691" ht="15.75" customHeight="1" s="84">
      <c r="A2691" s="80" t="inlineStr">
        <is>
          <t>Dates</t>
        </is>
      </c>
      <c r="B2691" s="103">
        <f>IF(A2689="","",TEXT(batches!D450,"yyyy-mm-dd")&amp;" to "&amp;TEXT(batches!E450,"yyyy-mm-dd"))</f>
        <v/>
      </c>
      <c r="C2691" s="101" t="n"/>
      <c r="D2691" s="102" t="n"/>
      <c r="G2691" s="80" t="inlineStr">
        <is>
          <t>Dates</t>
        </is>
      </c>
      <c r="H2691" s="103">
        <f>IF(G2689="","",TEXT(batches!D451,"yyyy-mm-dd")&amp;" to "&amp;TEXT(batches!E451,"yyyy-mm-dd"))</f>
        <v/>
      </c>
      <c r="I2691" s="101" t="n"/>
      <c r="J2691" s="102" t="n"/>
    </row>
    <row r="2692" ht="15.75" customHeight="1" s="84">
      <c r="A2692" s="80" t="inlineStr">
        <is>
          <t>Duration</t>
        </is>
      </c>
      <c r="B2692" s="103">
        <f>IF(OR(batches!D450="",batches!E450=""),"",batches!E450-batches!D450+1&amp;" days")</f>
        <v/>
      </c>
      <c r="C2692" s="101" t="n"/>
      <c r="D2692" s="102" t="n"/>
      <c r="G2692" s="80" t="inlineStr">
        <is>
          <t>Duration</t>
        </is>
      </c>
      <c r="H2692" s="103">
        <f>IF(OR(batches!D451="",batches!E451=""),"",batches!E451-batches!D451+1&amp;" days")</f>
        <v/>
      </c>
      <c r="I2692" s="101" t="n"/>
      <c r="J2692" s="102" t="n"/>
    </row>
    <row r="2693" ht="15.75" customHeight="1" s="84">
      <c r="A2693" s="80" t="inlineStr">
        <is>
          <t>Timing</t>
        </is>
      </c>
      <c r="B2693" s="103">
        <f>IF(A2689="","",batches!F450)</f>
        <v/>
      </c>
      <c r="C2693" s="101" t="n"/>
      <c r="D2693" s="102" t="n"/>
      <c r="G2693" s="80" t="inlineStr">
        <is>
          <t>Timing</t>
        </is>
      </c>
      <c r="H2693" s="103">
        <f>IF(G2689="","",batches!F451)</f>
        <v/>
      </c>
      <c r="I2693" s="101" t="n"/>
      <c r="J2693" s="102" t="n"/>
    </row>
    <row r="2694" ht="15.75" customHeight="1" s="84">
      <c r="A2694" s="80" t="inlineStr">
        <is>
          <t>Capacity</t>
        </is>
      </c>
      <c r="B2694" s="103">
        <f>IF(A2689="","",batches!G450)</f>
        <v/>
      </c>
      <c r="C2694" s="101" t="n"/>
      <c r="D2694" s="102" t="n"/>
      <c r="G2694" s="80" t="inlineStr">
        <is>
          <t>Capacity</t>
        </is>
      </c>
      <c r="H2694" s="103">
        <f>IF(G2689="","",batches!G451)</f>
        <v/>
      </c>
      <c r="I2694" s="101" t="n"/>
      <c r="J2694" s="102" t="n"/>
    </row>
    <row r="2695" ht="15.75" customHeight="1" s="84">
      <c r="A2695" s="80" t="inlineStr">
        <is>
          <t>Enrolled</t>
        </is>
      </c>
      <c r="B2695" s="103">
        <f>IF(A2689="","",COUNTIF(admissions!$M:$M,batches!A450))</f>
        <v/>
      </c>
      <c r="C2695" s="101" t="n"/>
      <c r="D2695" s="102" t="n"/>
      <c r="G2695" s="80" t="inlineStr">
        <is>
          <t>Enrolled</t>
        </is>
      </c>
      <c r="H2695" s="103">
        <f>IF(G2689="","",COUNTIF(admissions!$M:$M,batches!A451))</f>
        <v/>
      </c>
      <c r="I2695" s="101" t="n"/>
      <c r="J2695" s="102" t="n"/>
    </row>
    <row r="2696" ht="15.75" customHeight="1" s="84">
      <c r="A2696" s="80" t="inlineStr">
        <is>
          <t>Available</t>
        </is>
      </c>
      <c r="B2696" s="103">
        <f>IF(OR(batches!A450="",batches!G450=""),"",batches!G450-COUNTIF(admissions!$M:$M,batches!A450))</f>
        <v/>
      </c>
      <c r="C2696" s="101" t="n"/>
      <c r="D2696" s="102" t="n"/>
      <c r="G2696" s="80" t="inlineStr">
        <is>
          <t>Available</t>
        </is>
      </c>
      <c r="H2696" s="103">
        <f>IF(OR(batches!A451="",batches!G451=""),"",batches!G451-COUNTIF(admissions!$M:$M,batches!A451))</f>
        <v/>
      </c>
      <c r="I2696" s="101" t="n"/>
      <c r="J2696" s="102" t="n"/>
    </row>
    <row r="2697" ht="15.75" customHeight="1" s="84">
      <c r="A2697" s="104" t="inlineStr">
        <is>
          <t>Student List</t>
        </is>
      </c>
      <c r="B2697" s="101" t="n"/>
      <c r="C2697" s="101" t="n"/>
      <c r="D2697" s="102" t="n"/>
      <c r="G2697" s="104" t="inlineStr">
        <is>
          <t>Student List</t>
        </is>
      </c>
      <c r="H2697" s="101" t="n"/>
      <c r="I2697" s="101" t="n"/>
      <c r="J2697" s="102" t="n"/>
    </row>
    <row r="2698" ht="15.75" customHeight="1" s="84">
      <c r="A2698" s="105">
        <f>IFERROR(__xludf.DUMMYFUNCTION("IF(batches!A450="""","""",TEXTJOIN(CHAR(10),TRUE,FILTER(admissions!$G$2:$G$78,admissions!$M$2:$M$78=batches!A450,"""")))"),"")</f>
        <v/>
      </c>
      <c r="B2698" s="101" t="n"/>
      <c r="C2698" s="101" t="n"/>
      <c r="D2698" s="102" t="n"/>
      <c r="G2698" s="105">
        <f>IFERROR(__xludf.DUMMYFUNCTION("IF(batches!A451="""","""",TEXTJOIN(CHAR(10),TRUE,FILTER(admissions!$G$2:$G$78,admissions!$M$2:$M$78=batches!A451,"""")))"),"")</f>
        <v/>
      </c>
      <c r="H2698" s="101" t="n"/>
      <c r="I2698" s="101" t="n"/>
      <c r="J2698" s="102" t="n"/>
    </row>
    <row r="2699" ht="15.75" customHeight="1" s="84"/>
    <row r="2700" ht="15.75" customHeight="1" s="84"/>
    <row r="2701" ht="15.75" customHeight="1" s="84">
      <c r="A2701" s="100">
        <f>IF(batches!A452="","",batches!A452)</f>
        <v/>
      </c>
      <c r="B2701" s="101" t="n"/>
      <c r="C2701" s="101" t="n"/>
      <c r="D2701" s="102" t="n"/>
      <c r="G2701" s="100">
        <f>IF(batches!A453="","",batches!A453)</f>
        <v/>
      </c>
      <c r="H2701" s="101" t="n"/>
      <c r="I2701" s="101" t="n"/>
      <c r="J2701" s="102" t="n"/>
    </row>
    <row r="2702" ht="15.75" customHeight="1" s="84">
      <c r="A2702" s="80" t="inlineStr">
        <is>
          <t>Level / Mode</t>
        </is>
      </c>
      <c r="B2702" s="103">
        <f>IF(A2701="","",batches!B452&amp;" / "&amp;batches!C452)</f>
        <v/>
      </c>
      <c r="C2702" s="101" t="n"/>
      <c r="D2702" s="102" t="n"/>
      <c r="G2702" s="80" t="inlineStr">
        <is>
          <t>Level / Mode</t>
        </is>
      </c>
      <c r="H2702" s="103">
        <f>IF(G2701="","",batches!B453&amp;" / "&amp;batches!C453)</f>
        <v/>
      </c>
      <c r="I2702" s="101" t="n"/>
      <c r="J2702" s="102" t="n"/>
    </row>
    <row r="2703" ht="15.75" customHeight="1" s="84">
      <c r="A2703" s="80" t="inlineStr">
        <is>
          <t>Dates</t>
        </is>
      </c>
      <c r="B2703" s="103">
        <f>IF(A2701="","",TEXT(batches!D452,"yyyy-mm-dd")&amp;" to "&amp;TEXT(batches!E452,"yyyy-mm-dd"))</f>
        <v/>
      </c>
      <c r="C2703" s="101" t="n"/>
      <c r="D2703" s="102" t="n"/>
      <c r="G2703" s="80" t="inlineStr">
        <is>
          <t>Dates</t>
        </is>
      </c>
      <c r="H2703" s="103">
        <f>IF(G2701="","",TEXT(batches!D453,"yyyy-mm-dd")&amp;" to "&amp;TEXT(batches!E453,"yyyy-mm-dd"))</f>
        <v/>
      </c>
      <c r="I2703" s="101" t="n"/>
      <c r="J2703" s="102" t="n"/>
    </row>
    <row r="2704" ht="15.75" customHeight="1" s="84">
      <c r="A2704" s="80" t="inlineStr">
        <is>
          <t>Duration</t>
        </is>
      </c>
      <c r="B2704" s="103">
        <f>IF(OR(batches!D452="",batches!E452=""),"",batches!E452-batches!D452+1&amp;" days")</f>
        <v/>
      </c>
      <c r="C2704" s="101" t="n"/>
      <c r="D2704" s="102" t="n"/>
      <c r="G2704" s="80" t="inlineStr">
        <is>
          <t>Duration</t>
        </is>
      </c>
      <c r="H2704" s="103">
        <f>IF(OR(batches!D453="",batches!E453=""),"",batches!E453-batches!D453+1&amp;" days")</f>
        <v/>
      </c>
      <c r="I2704" s="101" t="n"/>
      <c r="J2704" s="102" t="n"/>
    </row>
    <row r="2705" ht="15.75" customHeight="1" s="84">
      <c r="A2705" s="80" t="inlineStr">
        <is>
          <t>Timing</t>
        </is>
      </c>
      <c r="B2705" s="103">
        <f>IF(A2701="","",batches!F452)</f>
        <v/>
      </c>
      <c r="C2705" s="101" t="n"/>
      <c r="D2705" s="102" t="n"/>
      <c r="G2705" s="80" t="inlineStr">
        <is>
          <t>Timing</t>
        </is>
      </c>
      <c r="H2705" s="103">
        <f>IF(G2701="","",batches!F453)</f>
        <v/>
      </c>
      <c r="I2705" s="101" t="n"/>
      <c r="J2705" s="102" t="n"/>
    </row>
    <row r="2706" ht="15.75" customHeight="1" s="84">
      <c r="A2706" s="80" t="inlineStr">
        <is>
          <t>Capacity</t>
        </is>
      </c>
      <c r="B2706" s="103">
        <f>IF(A2701="","",batches!G452)</f>
        <v/>
      </c>
      <c r="C2706" s="101" t="n"/>
      <c r="D2706" s="102" t="n"/>
      <c r="G2706" s="80" t="inlineStr">
        <is>
          <t>Capacity</t>
        </is>
      </c>
      <c r="H2706" s="103">
        <f>IF(G2701="","",batches!G453)</f>
        <v/>
      </c>
      <c r="I2706" s="101" t="n"/>
      <c r="J2706" s="102" t="n"/>
    </row>
    <row r="2707" ht="15.75" customHeight="1" s="84">
      <c r="A2707" s="80" t="inlineStr">
        <is>
          <t>Enrolled</t>
        </is>
      </c>
      <c r="B2707" s="103">
        <f>IF(A2701="","",COUNTIF(admissions!$M:$M,batches!A452))</f>
        <v/>
      </c>
      <c r="C2707" s="101" t="n"/>
      <c r="D2707" s="102" t="n"/>
      <c r="G2707" s="80" t="inlineStr">
        <is>
          <t>Enrolled</t>
        </is>
      </c>
      <c r="H2707" s="103">
        <f>IF(G2701="","",COUNTIF(admissions!$M:$M,batches!A453))</f>
        <v/>
      </c>
      <c r="I2707" s="101" t="n"/>
      <c r="J2707" s="102" t="n"/>
    </row>
    <row r="2708" ht="15.75" customHeight="1" s="84">
      <c r="A2708" s="80" t="inlineStr">
        <is>
          <t>Available</t>
        </is>
      </c>
      <c r="B2708" s="103">
        <f>IF(OR(batches!A452="",batches!G452=""),"",batches!G452-COUNTIF(admissions!$M:$M,batches!A452))</f>
        <v/>
      </c>
      <c r="C2708" s="101" t="n"/>
      <c r="D2708" s="102" t="n"/>
      <c r="G2708" s="80" t="inlineStr">
        <is>
          <t>Available</t>
        </is>
      </c>
      <c r="H2708" s="103">
        <f>IF(OR(batches!A453="",batches!G453=""),"",batches!G453-COUNTIF(admissions!$M:$M,batches!A453))</f>
        <v/>
      </c>
      <c r="I2708" s="101" t="n"/>
      <c r="J2708" s="102" t="n"/>
    </row>
    <row r="2709" ht="15.75" customHeight="1" s="84">
      <c r="A2709" s="104" t="inlineStr">
        <is>
          <t>Student List</t>
        </is>
      </c>
      <c r="B2709" s="101" t="n"/>
      <c r="C2709" s="101" t="n"/>
      <c r="D2709" s="102" t="n"/>
      <c r="G2709" s="104" t="inlineStr">
        <is>
          <t>Student List</t>
        </is>
      </c>
      <c r="H2709" s="101" t="n"/>
      <c r="I2709" s="101" t="n"/>
      <c r="J2709" s="102" t="n"/>
    </row>
    <row r="2710" ht="15.75" customHeight="1" s="84">
      <c r="A2710" s="105">
        <f>IFERROR(__xludf.DUMMYFUNCTION("IF(batches!A452="""","""",TEXTJOIN(CHAR(10),TRUE,FILTER(admissions!$G$2:$G$78,admissions!$M$2:$M$78=batches!A452,"""")))"),"")</f>
        <v/>
      </c>
      <c r="B2710" s="101" t="n"/>
      <c r="C2710" s="101" t="n"/>
      <c r="D2710" s="102" t="n"/>
      <c r="G2710" s="105">
        <f>IFERROR(__xludf.DUMMYFUNCTION("IF(batches!A453="""","""",TEXTJOIN(CHAR(10),TRUE,FILTER(admissions!$G$2:$G$78,admissions!$M$2:$M$78=batches!A453,"""")))"),"")</f>
        <v/>
      </c>
      <c r="H2710" s="101" t="n"/>
      <c r="I2710" s="101" t="n"/>
      <c r="J2710" s="102" t="n"/>
    </row>
    <row r="2711" ht="15.75" customHeight="1" s="84"/>
    <row r="2712" ht="15.75" customHeight="1" s="84"/>
    <row r="2713" ht="15.75" customHeight="1" s="84">
      <c r="A2713" s="100">
        <f>IF(batches!A454="","",batches!A454)</f>
        <v/>
      </c>
      <c r="B2713" s="101" t="n"/>
      <c r="C2713" s="101" t="n"/>
      <c r="D2713" s="102" t="n"/>
      <c r="G2713" s="100">
        <f>IF(batches!A455="","",batches!A455)</f>
        <v/>
      </c>
      <c r="H2713" s="101" t="n"/>
      <c r="I2713" s="101" t="n"/>
      <c r="J2713" s="102" t="n"/>
    </row>
    <row r="2714" ht="15.75" customHeight="1" s="84">
      <c r="A2714" s="80" t="inlineStr">
        <is>
          <t>Level / Mode</t>
        </is>
      </c>
      <c r="B2714" s="103">
        <f>IF(A2713="","",batches!B454&amp;" / "&amp;batches!C454)</f>
        <v/>
      </c>
      <c r="C2714" s="101" t="n"/>
      <c r="D2714" s="102" t="n"/>
      <c r="G2714" s="80" t="inlineStr">
        <is>
          <t>Level / Mode</t>
        </is>
      </c>
      <c r="H2714" s="103">
        <f>IF(G2713="","",batches!B455&amp;" / "&amp;batches!C455)</f>
        <v/>
      </c>
      <c r="I2714" s="101" t="n"/>
      <c r="J2714" s="102" t="n"/>
    </row>
    <row r="2715" ht="15.75" customHeight="1" s="84">
      <c r="A2715" s="80" t="inlineStr">
        <is>
          <t>Dates</t>
        </is>
      </c>
      <c r="B2715" s="103">
        <f>IF(A2713="","",TEXT(batches!D454,"yyyy-mm-dd")&amp;" to "&amp;TEXT(batches!E454,"yyyy-mm-dd"))</f>
        <v/>
      </c>
      <c r="C2715" s="101" t="n"/>
      <c r="D2715" s="102" t="n"/>
      <c r="G2715" s="80" t="inlineStr">
        <is>
          <t>Dates</t>
        </is>
      </c>
      <c r="H2715" s="103">
        <f>IF(G2713="","",TEXT(batches!D455,"yyyy-mm-dd")&amp;" to "&amp;TEXT(batches!E455,"yyyy-mm-dd"))</f>
        <v/>
      </c>
      <c r="I2715" s="101" t="n"/>
      <c r="J2715" s="102" t="n"/>
    </row>
    <row r="2716" ht="15.75" customHeight="1" s="84">
      <c r="A2716" s="80" t="inlineStr">
        <is>
          <t>Duration</t>
        </is>
      </c>
      <c r="B2716" s="103">
        <f>IF(OR(batches!D454="",batches!E454=""),"",batches!E454-batches!D454+1&amp;" days")</f>
        <v/>
      </c>
      <c r="C2716" s="101" t="n"/>
      <c r="D2716" s="102" t="n"/>
      <c r="G2716" s="80" t="inlineStr">
        <is>
          <t>Duration</t>
        </is>
      </c>
      <c r="H2716" s="103">
        <f>IF(OR(batches!D455="",batches!E455=""),"",batches!E455-batches!D455+1&amp;" days")</f>
        <v/>
      </c>
      <c r="I2716" s="101" t="n"/>
      <c r="J2716" s="102" t="n"/>
    </row>
    <row r="2717" ht="15.75" customHeight="1" s="84">
      <c r="A2717" s="80" t="inlineStr">
        <is>
          <t>Timing</t>
        </is>
      </c>
      <c r="B2717" s="103">
        <f>IF(A2713="","",batches!F454)</f>
        <v/>
      </c>
      <c r="C2717" s="101" t="n"/>
      <c r="D2717" s="102" t="n"/>
      <c r="G2717" s="80" t="inlineStr">
        <is>
          <t>Timing</t>
        </is>
      </c>
      <c r="H2717" s="103">
        <f>IF(G2713="","",batches!F455)</f>
        <v/>
      </c>
      <c r="I2717" s="101" t="n"/>
      <c r="J2717" s="102" t="n"/>
    </row>
    <row r="2718" ht="15.75" customHeight="1" s="84">
      <c r="A2718" s="80" t="inlineStr">
        <is>
          <t>Capacity</t>
        </is>
      </c>
      <c r="B2718" s="103">
        <f>IF(A2713="","",batches!G454)</f>
        <v/>
      </c>
      <c r="C2718" s="101" t="n"/>
      <c r="D2718" s="102" t="n"/>
      <c r="G2718" s="80" t="inlineStr">
        <is>
          <t>Capacity</t>
        </is>
      </c>
      <c r="H2718" s="103">
        <f>IF(G2713="","",batches!G455)</f>
        <v/>
      </c>
      <c r="I2718" s="101" t="n"/>
      <c r="J2718" s="102" t="n"/>
    </row>
    <row r="2719" ht="15.75" customHeight="1" s="84">
      <c r="A2719" s="80" t="inlineStr">
        <is>
          <t>Enrolled</t>
        </is>
      </c>
      <c r="B2719" s="103">
        <f>IF(A2713="","",COUNTIF(admissions!$M:$M,batches!A454))</f>
        <v/>
      </c>
      <c r="C2719" s="101" t="n"/>
      <c r="D2719" s="102" t="n"/>
      <c r="G2719" s="80" t="inlineStr">
        <is>
          <t>Enrolled</t>
        </is>
      </c>
      <c r="H2719" s="103">
        <f>IF(G2713="","",COUNTIF(admissions!$M:$M,batches!A455))</f>
        <v/>
      </c>
      <c r="I2719" s="101" t="n"/>
      <c r="J2719" s="102" t="n"/>
    </row>
    <row r="2720" ht="15.75" customHeight="1" s="84">
      <c r="A2720" s="80" t="inlineStr">
        <is>
          <t>Available</t>
        </is>
      </c>
      <c r="B2720" s="103">
        <f>IF(OR(batches!A454="",batches!G454=""),"",batches!G454-COUNTIF(admissions!$M:$M,batches!A454))</f>
        <v/>
      </c>
      <c r="C2720" s="101" t="n"/>
      <c r="D2720" s="102" t="n"/>
      <c r="G2720" s="80" t="inlineStr">
        <is>
          <t>Available</t>
        </is>
      </c>
      <c r="H2720" s="103">
        <f>IF(OR(batches!A455="",batches!G455=""),"",batches!G455-COUNTIF(admissions!$M:$M,batches!A455))</f>
        <v/>
      </c>
      <c r="I2720" s="101" t="n"/>
      <c r="J2720" s="102" t="n"/>
    </row>
    <row r="2721" ht="15.75" customHeight="1" s="84">
      <c r="A2721" s="104" t="inlineStr">
        <is>
          <t>Student List</t>
        </is>
      </c>
      <c r="B2721" s="101" t="n"/>
      <c r="C2721" s="101" t="n"/>
      <c r="D2721" s="102" t="n"/>
      <c r="G2721" s="104" t="inlineStr">
        <is>
          <t>Student List</t>
        </is>
      </c>
      <c r="H2721" s="101" t="n"/>
      <c r="I2721" s="101" t="n"/>
      <c r="J2721" s="102" t="n"/>
    </row>
    <row r="2722" ht="15.75" customHeight="1" s="84">
      <c r="A2722" s="105">
        <f>IFERROR(__xludf.DUMMYFUNCTION("IF(batches!A454="""","""",TEXTJOIN(CHAR(10),TRUE,FILTER(admissions!$G$2:$G$78,admissions!$M$2:$M$78=batches!A454,"""")))"),"")</f>
        <v/>
      </c>
      <c r="B2722" s="101" t="n"/>
      <c r="C2722" s="101" t="n"/>
      <c r="D2722" s="102" t="n"/>
      <c r="G2722" s="105">
        <f>IFERROR(__xludf.DUMMYFUNCTION("IF(batches!A455="""","""",TEXTJOIN(CHAR(10),TRUE,FILTER(admissions!$G$2:$G$78,admissions!$M$2:$M$78=batches!A455,"""")))"),"")</f>
        <v/>
      </c>
      <c r="H2722" s="101" t="n"/>
      <c r="I2722" s="101" t="n"/>
      <c r="J2722" s="102" t="n"/>
    </row>
    <row r="2723" ht="15.75" customHeight="1" s="84"/>
    <row r="2724" ht="15.75" customHeight="1" s="84"/>
    <row r="2725" ht="15.75" customHeight="1" s="84">
      <c r="A2725" s="100">
        <f>IF(batches!A456="","",batches!A456)</f>
        <v/>
      </c>
      <c r="B2725" s="101" t="n"/>
      <c r="C2725" s="101" t="n"/>
      <c r="D2725" s="102" t="n"/>
      <c r="G2725" s="100">
        <f>IF(batches!A457="","",batches!A457)</f>
        <v/>
      </c>
      <c r="H2725" s="101" t="n"/>
      <c r="I2725" s="101" t="n"/>
      <c r="J2725" s="102" t="n"/>
    </row>
    <row r="2726" ht="15.75" customHeight="1" s="84">
      <c r="A2726" s="80" t="inlineStr">
        <is>
          <t>Level / Mode</t>
        </is>
      </c>
      <c r="B2726" s="103">
        <f>IF(A2725="","",batches!B456&amp;" / "&amp;batches!C456)</f>
        <v/>
      </c>
      <c r="C2726" s="101" t="n"/>
      <c r="D2726" s="102" t="n"/>
      <c r="G2726" s="80" t="inlineStr">
        <is>
          <t>Level / Mode</t>
        </is>
      </c>
      <c r="H2726" s="103">
        <f>IF(G2725="","",batches!B457&amp;" / "&amp;batches!C457)</f>
        <v/>
      </c>
      <c r="I2726" s="101" t="n"/>
      <c r="J2726" s="102" t="n"/>
    </row>
    <row r="2727" ht="15.75" customHeight="1" s="84">
      <c r="A2727" s="80" t="inlineStr">
        <is>
          <t>Dates</t>
        </is>
      </c>
      <c r="B2727" s="103">
        <f>IF(A2725="","",TEXT(batches!D456,"yyyy-mm-dd")&amp;" to "&amp;TEXT(batches!E456,"yyyy-mm-dd"))</f>
        <v/>
      </c>
      <c r="C2727" s="101" t="n"/>
      <c r="D2727" s="102" t="n"/>
      <c r="G2727" s="80" t="inlineStr">
        <is>
          <t>Dates</t>
        </is>
      </c>
      <c r="H2727" s="103">
        <f>IF(G2725="","",TEXT(batches!D457,"yyyy-mm-dd")&amp;" to "&amp;TEXT(batches!E457,"yyyy-mm-dd"))</f>
        <v/>
      </c>
      <c r="I2727" s="101" t="n"/>
      <c r="J2727" s="102" t="n"/>
    </row>
    <row r="2728" ht="15.75" customHeight="1" s="84">
      <c r="A2728" s="80" t="inlineStr">
        <is>
          <t>Duration</t>
        </is>
      </c>
      <c r="B2728" s="103">
        <f>IF(OR(batches!D456="",batches!E456=""),"",batches!E456-batches!D456+1&amp;" days")</f>
        <v/>
      </c>
      <c r="C2728" s="101" t="n"/>
      <c r="D2728" s="102" t="n"/>
      <c r="G2728" s="80" t="inlineStr">
        <is>
          <t>Duration</t>
        </is>
      </c>
      <c r="H2728" s="103">
        <f>IF(OR(batches!D457="",batches!E457=""),"",batches!E457-batches!D457+1&amp;" days")</f>
        <v/>
      </c>
      <c r="I2728" s="101" t="n"/>
      <c r="J2728" s="102" t="n"/>
    </row>
    <row r="2729" ht="15.75" customHeight="1" s="84">
      <c r="A2729" s="80" t="inlineStr">
        <is>
          <t>Timing</t>
        </is>
      </c>
      <c r="B2729" s="103">
        <f>IF(A2725="","",batches!F456)</f>
        <v/>
      </c>
      <c r="C2729" s="101" t="n"/>
      <c r="D2729" s="102" t="n"/>
      <c r="G2729" s="80" t="inlineStr">
        <is>
          <t>Timing</t>
        </is>
      </c>
      <c r="H2729" s="103">
        <f>IF(G2725="","",batches!F457)</f>
        <v/>
      </c>
      <c r="I2729" s="101" t="n"/>
      <c r="J2729" s="102" t="n"/>
    </row>
    <row r="2730" ht="15.75" customHeight="1" s="84">
      <c r="A2730" s="80" t="inlineStr">
        <is>
          <t>Capacity</t>
        </is>
      </c>
      <c r="B2730" s="103">
        <f>IF(A2725="","",batches!G456)</f>
        <v/>
      </c>
      <c r="C2730" s="101" t="n"/>
      <c r="D2730" s="102" t="n"/>
      <c r="G2730" s="80" t="inlineStr">
        <is>
          <t>Capacity</t>
        </is>
      </c>
      <c r="H2730" s="103">
        <f>IF(G2725="","",batches!G457)</f>
        <v/>
      </c>
      <c r="I2730" s="101" t="n"/>
      <c r="J2730" s="102" t="n"/>
    </row>
    <row r="2731" ht="15.75" customHeight="1" s="84">
      <c r="A2731" s="80" t="inlineStr">
        <is>
          <t>Enrolled</t>
        </is>
      </c>
      <c r="B2731" s="103">
        <f>IF(A2725="","",COUNTIF(admissions!$M:$M,batches!A456))</f>
        <v/>
      </c>
      <c r="C2731" s="101" t="n"/>
      <c r="D2731" s="102" t="n"/>
      <c r="G2731" s="80" t="inlineStr">
        <is>
          <t>Enrolled</t>
        </is>
      </c>
      <c r="H2731" s="103">
        <f>IF(G2725="","",COUNTIF(admissions!$M:$M,batches!A457))</f>
        <v/>
      </c>
      <c r="I2731" s="101" t="n"/>
      <c r="J2731" s="102" t="n"/>
    </row>
    <row r="2732" ht="15.75" customHeight="1" s="84">
      <c r="A2732" s="80" t="inlineStr">
        <is>
          <t>Available</t>
        </is>
      </c>
      <c r="B2732" s="103">
        <f>IF(OR(batches!A456="",batches!G456=""),"",batches!G456-COUNTIF(admissions!$M:$M,batches!A456))</f>
        <v/>
      </c>
      <c r="C2732" s="101" t="n"/>
      <c r="D2732" s="102" t="n"/>
      <c r="G2732" s="80" t="inlineStr">
        <is>
          <t>Available</t>
        </is>
      </c>
      <c r="H2732" s="103">
        <f>IF(OR(batches!A457="",batches!G457=""),"",batches!G457-COUNTIF(admissions!$M:$M,batches!A457))</f>
        <v/>
      </c>
      <c r="I2732" s="101" t="n"/>
      <c r="J2732" s="102" t="n"/>
    </row>
    <row r="2733" ht="15.75" customHeight="1" s="84">
      <c r="A2733" s="104" t="inlineStr">
        <is>
          <t>Student List</t>
        </is>
      </c>
      <c r="B2733" s="101" t="n"/>
      <c r="C2733" s="101" t="n"/>
      <c r="D2733" s="102" t="n"/>
      <c r="G2733" s="104" t="inlineStr">
        <is>
          <t>Student List</t>
        </is>
      </c>
      <c r="H2733" s="101" t="n"/>
      <c r="I2733" s="101" t="n"/>
      <c r="J2733" s="102" t="n"/>
    </row>
    <row r="2734" ht="15.75" customHeight="1" s="84">
      <c r="A2734" s="105">
        <f>IFERROR(__xludf.DUMMYFUNCTION("IF(batches!A456="""","""",TEXTJOIN(CHAR(10),TRUE,FILTER(admissions!$G$2:$G$78,admissions!$M$2:$M$78=batches!A456,"""")))"),"")</f>
        <v/>
      </c>
      <c r="B2734" s="101" t="n"/>
      <c r="C2734" s="101" t="n"/>
      <c r="D2734" s="102" t="n"/>
      <c r="G2734" s="105">
        <f>IFERROR(__xludf.DUMMYFUNCTION("IF(batches!A457="""","""",TEXTJOIN(CHAR(10),TRUE,FILTER(admissions!$G$2:$G$78,admissions!$M$2:$M$78=batches!A457,"""")))"),"")</f>
        <v/>
      </c>
      <c r="H2734" s="101" t="n"/>
      <c r="I2734" s="101" t="n"/>
      <c r="J2734" s="102" t="n"/>
    </row>
    <row r="2735" ht="15.75" customHeight="1" s="84"/>
    <row r="2736" ht="15.75" customHeight="1" s="84"/>
    <row r="2737" ht="15.75" customHeight="1" s="84">
      <c r="A2737" s="100">
        <f>IF(batches!A458="","",batches!A458)</f>
        <v/>
      </c>
      <c r="B2737" s="101" t="n"/>
      <c r="C2737" s="101" t="n"/>
      <c r="D2737" s="102" t="n"/>
      <c r="G2737" s="100">
        <f>IF(batches!A459="","",batches!A459)</f>
        <v/>
      </c>
      <c r="H2737" s="101" t="n"/>
      <c r="I2737" s="101" t="n"/>
      <c r="J2737" s="102" t="n"/>
    </row>
    <row r="2738" ht="15.75" customHeight="1" s="84">
      <c r="A2738" s="80" t="inlineStr">
        <is>
          <t>Level / Mode</t>
        </is>
      </c>
      <c r="B2738" s="103">
        <f>IF(A2737="","",batches!B458&amp;" / "&amp;batches!C458)</f>
        <v/>
      </c>
      <c r="C2738" s="101" t="n"/>
      <c r="D2738" s="102" t="n"/>
      <c r="G2738" s="80" t="inlineStr">
        <is>
          <t>Level / Mode</t>
        </is>
      </c>
      <c r="H2738" s="103">
        <f>IF(G2737="","",batches!B459&amp;" / "&amp;batches!C459)</f>
        <v/>
      </c>
      <c r="I2738" s="101" t="n"/>
      <c r="J2738" s="102" t="n"/>
    </row>
    <row r="2739" ht="15.75" customHeight="1" s="84">
      <c r="A2739" s="80" t="inlineStr">
        <is>
          <t>Dates</t>
        </is>
      </c>
      <c r="B2739" s="103">
        <f>IF(A2737="","",TEXT(batches!D458,"yyyy-mm-dd")&amp;" to "&amp;TEXT(batches!E458,"yyyy-mm-dd"))</f>
        <v/>
      </c>
      <c r="C2739" s="101" t="n"/>
      <c r="D2739" s="102" t="n"/>
      <c r="G2739" s="80" t="inlineStr">
        <is>
          <t>Dates</t>
        </is>
      </c>
      <c r="H2739" s="103">
        <f>IF(G2737="","",TEXT(batches!D459,"yyyy-mm-dd")&amp;" to "&amp;TEXT(batches!E459,"yyyy-mm-dd"))</f>
        <v/>
      </c>
      <c r="I2739" s="101" t="n"/>
      <c r="J2739" s="102" t="n"/>
    </row>
    <row r="2740" ht="15.75" customHeight="1" s="84">
      <c r="A2740" s="80" t="inlineStr">
        <is>
          <t>Duration</t>
        </is>
      </c>
      <c r="B2740" s="103">
        <f>IF(OR(batches!D458="",batches!E458=""),"",batches!E458-batches!D458+1&amp;" days")</f>
        <v/>
      </c>
      <c r="C2740" s="101" t="n"/>
      <c r="D2740" s="102" t="n"/>
      <c r="G2740" s="80" t="inlineStr">
        <is>
          <t>Duration</t>
        </is>
      </c>
      <c r="H2740" s="103">
        <f>IF(OR(batches!D459="",batches!E459=""),"",batches!E459-batches!D459+1&amp;" days")</f>
        <v/>
      </c>
      <c r="I2740" s="101" t="n"/>
      <c r="J2740" s="102" t="n"/>
    </row>
    <row r="2741" ht="15.75" customHeight="1" s="84">
      <c r="A2741" s="80" t="inlineStr">
        <is>
          <t>Timing</t>
        </is>
      </c>
      <c r="B2741" s="103">
        <f>IF(A2737="","",batches!F458)</f>
        <v/>
      </c>
      <c r="C2741" s="101" t="n"/>
      <c r="D2741" s="102" t="n"/>
      <c r="G2741" s="80" t="inlineStr">
        <is>
          <t>Timing</t>
        </is>
      </c>
      <c r="H2741" s="103">
        <f>IF(G2737="","",batches!F459)</f>
        <v/>
      </c>
      <c r="I2741" s="101" t="n"/>
      <c r="J2741" s="102" t="n"/>
    </row>
    <row r="2742" ht="15.75" customHeight="1" s="84">
      <c r="A2742" s="80" t="inlineStr">
        <is>
          <t>Capacity</t>
        </is>
      </c>
      <c r="B2742" s="103">
        <f>IF(A2737="","",batches!G458)</f>
        <v/>
      </c>
      <c r="C2742" s="101" t="n"/>
      <c r="D2742" s="102" t="n"/>
      <c r="G2742" s="80" t="inlineStr">
        <is>
          <t>Capacity</t>
        </is>
      </c>
      <c r="H2742" s="103">
        <f>IF(G2737="","",batches!G459)</f>
        <v/>
      </c>
      <c r="I2742" s="101" t="n"/>
      <c r="J2742" s="102" t="n"/>
    </row>
    <row r="2743" ht="15.75" customHeight="1" s="84">
      <c r="A2743" s="80" t="inlineStr">
        <is>
          <t>Enrolled</t>
        </is>
      </c>
      <c r="B2743" s="103">
        <f>IF(A2737="","",COUNTIF(admissions!$M:$M,batches!A458))</f>
        <v/>
      </c>
      <c r="C2743" s="101" t="n"/>
      <c r="D2743" s="102" t="n"/>
      <c r="G2743" s="80" t="inlineStr">
        <is>
          <t>Enrolled</t>
        </is>
      </c>
      <c r="H2743" s="103">
        <f>IF(G2737="","",COUNTIF(admissions!$M:$M,batches!A459))</f>
        <v/>
      </c>
      <c r="I2743" s="101" t="n"/>
      <c r="J2743" s="102" t="n"/>
    </row>
    <row r="2744" ht="15.75" customHeight="1" s="84">
      <c r="A2744" s="80" t="inlineStr">
        <is>
          <t>Available</t>
        </is>
      </c>
      <c r="B2744" s="103">
        <f>IF(OR(batches!A458="",batches!G458=""),"",batches!G458-COUNTIF(admissions!$M:$M,batches!A458))</f>
        <v/>
      </c>
      <c r="C2744" s="101" t="n"/>
      <c r="D2744" s="102" t="n"/>
      <c r="G2744" s="80" t="inlineStr">
        <is>
          <t>Available</t>
        </is>
      </c>
      <c r="H2744" s="103">
        <f>IF(OR(batches!A459="",batches!G459=""),"",batches!G459-COUNTIF(admissions!$M:$M,batches!A459))</f>
        <v/>
      </c>
      <c r="I2744" s="101" t="n"/>
      <c r="J2744" s="102" t="n"/>
    </row>
    <row r="2745" ht="15.75" customHeight="1" s="84">
      <c r="A2745" s="104" t="inlineStr">
        <is>
          <t>Student List</t>
        </is>
      </c>
      <c r="B2745" s="101" t="n"/>
      <c r="C2745" s="101" t="n"/>
      <c r="D2745" s="102" t="n"/>
      <c r="G2745" s="104" t="inlineStr">
        <is>
          <t>Student List</t>
        </is>
      </c>
      <c r="H2745" s="101" t="n"/>
      <c r="I2745" s="101" t="n"/>
      <c r="J2745" s="102" t="n"/>
    </row>
    <row r="2746" ht="15.75" customHeight="1" s="84">
      <c r="A2746" s="105">
        <f>IFERROR(__xludf.DUMMYFUNCTION("IF(batches!A458="""","""",TEXTJOIN(CHAR(10),TRUE,FILTER(admissions!$G$2:$G$78,admissions!$M$2:$M$78=batches!A458,"""")))"),"")</f>
        <v/>
      </c>
      <c r="B2746" s="101" t="n"/>
      <c r="C2746" s="101" t="n"/>
      <c r="D2746" s="102" t="n"/>
      <c r="G2746" s="105">
        <f>IFERROR(__xludf.DUMMYFUNCTION("IF(batches!A459="""","""",TEXTJOIN(CHAR(10),TRUE,FILTER(admissions!$G$2:$G$78,admissions!$M$2:$M$78=batches!A459,"""")))"),"")</f>
        <v/>
      </c>
      <c r="H2746" s="101" t="n"/>
      <c r="I2746" s="101" t="n"/>
      <c r="J2746" s="102" t="n"/>
    </row>
    <row r="2747" ht="15.75" customHeight="1" s="84"/>
    <row r="2748" ht="15.75" customHeight="1" s="84"/>
    <row r="2749" ht="15.75" customHeight="1" s="84">
      <c r="A2749" s="100">
        <f>IF(batches!A460="","",batches!A460)</f>
        <v/>
      </c>
      <c r="B2749" s="101" t="n"/>
      <c r="C2749" s="101" t="n"/>
      <c r="D2749" s="102" t="n"/>
      <c r="G2749" s="100">
        <f>IF(batches!A461="","",batches!A461)</f>
        <v/>
      </c>
      <c r="H2749" s="101" t="n"/>
      <c r="I2749" s="101" t="n"/>
      <c r="J2749" s="102" t="n"/>
    </row>
    <row r="2750" ht="15.75" customHeight="1" s="84">
      <c r="A2750" s="80" t="inlineStr">
        <is>
          <t>Level / Mode</t>
        </is>
      </c>
      <c r="B2750" s="103">
        <f>IF(A2749="","",batches!B460&amp;" / "&amp;batches!C460)</f>
        <v/>
      </c>
      <c r="C2750" s="101" t="n"/>
      <c r="D2750" s="102" t="n"/>
      <c r="G2750" s="80" t="inlineStr">
        <is>
          <t>Level / Mode</t>
        </is>
      </c>
      <c r="H2750" s="103">
        <f>IF(G2749="","",batches!B461&amp;" / "&amp;batches!C461)</f>
        <v/>
      </c>
      <c r="I2750" s="101" t="n"/>
      <c r="J2750" s="102" t="n"/>
    </row>
    <row r="2751" ht="15.75" customHeight="1" s="84">
      <c r="A2751" s="80" t="inlineStr">
        <is>
          <t>Dates</t>
        </is>
      </c>
      <c r="B2751" s="103">
        <f>IF(A2749="","",TEXT(batches!D460,"yyyy-mm-dd")&amp;" to "&amp;TEXT(batches!E460,"yyyy-mm-dd"))</f>
        <v/>
      </c>
      <c r="C2751" s="101" t="n"/>
      <c r="D2751" s="102" t="n"/>
      <c r="G2751" s="80" t="inlineStr">
        <is>
          <t>Dates</t>
        </is>
      </c>
      <c r="H2751" s="103">
        <f>IF(G2749="","",TEXT(batches!D461,"yyyy-mm-dd")&amp;" to "&amp;TEXT(batches!E461,"yyyy-mm-dd"))</f>
        <v/>
      </c>
      <c r="I2751" s="101" t="n"/>
      <c r="J2751" s="102" t="n"/>
    </row>
    <row r="2752" ht="15.75" customHeight="1" s="84">
      <c r="A2752" s="80" t="inlineStr">
        <is>
          <t>Duration</t>
        </is>
      </c>
      <c r="B2752" s="103">
        <f>IF(OR(batches!D460="",batches!E460=""),"",batches!E460-batches!D460+1&amp;" days")</f>
        <v/>
      </c>
      <c r="C2752" s="101" t="n"/>
      <c r="D2752" s="102" t="n"/>
      <c r="G2752" s="80" t="inlineStr">
        <is>
          <t>Duration</t>
        </is>
      </c>
      <c r="H2752" s="103">
        <f>IF(OR(batches!D461="",batches!E461=""),"",batches!E461-batches!D461+1&amp;" days")</f>
        <v/>
      </c>
      <c r="I2752" s="101" t="n"/>
      <c r="J2752" s="102" t="n"/>
    </row>
    <row r="2753" ht="15.75" customHeight="1" s="84">
      <c r="A2753" s="80" t="inlineStr">
        <is>
          <t>Timing</t>
        </is>
      </c>
      <c r="B2753" s="103">
        <f>IF(A2749="","",batches!F460)</f>
        <v/>
      </c>
      <c r="C2753" s="101" t="n"/>
      <c r="D2753" s="102" t="n"/>
      <c r="G2753" s="80" t="inlineStr">
        <is>
          <t>Timing</t>
        </is>
      </c>
      <c r="H2753" s="103">
        <f>IF(G2749="","",batches!F461)</f>
        <v/>
      </c>
      <c r="I2753" s="101" t="n"/>
      <c r="J2753" s="102" t="n"/>
    </row>
    <row r="2754" ht="15.75" customHeight="1" s="84">
      <c r="A2754" s="80" t="inlineStr">
        <is>
          <t>Capacity</t>
        </is>
      </c>
      <c r="B2754" s="103">
        <f>IF(A2749="","",batches!G460)</f>
        <v/>
      </c>
      <c r="C2754" s="101" t="n"/>
      <c r="D2754" s="102" t="n"/>
      <c r="G2754" s="80" t="inlineStr">
        <is>
          <t>Capacity</t>
        </is>
      </c>
      <c r="H2754" s="103">
        <f>IF(G2749="","",batches!G461)</f>
        <v/>
      </c>
      <c r="I2754" s="101" t="n"/>
      <c r="J2754" s="102" t="n"/>
    </row>
    <row r="2755" ht="15.75" customHeight="1" s="84">
      <c r="A2755" s="80" t="inlineStr">
        <is>
          <t>Enrolled</t>
        </is>
      </c>
      <c r="B2755" s="103">
        <f>IF(A2749="","",COUNTIF(admissions!$M:$M,batches!A460))</f>
        <v/>
      </c>
      <c r="C2755" s="101" t="n"/>
      <c r="D2755" s="102" t="n"/>
      <c r="G2755" s="80" t="inlineStr">
        <is>
          <t>Enrolled</t>
        </is>
      </c>
      <c r="H2755" s="103">
        <f>IF(G2749="","",COUNTIF(admissions!$M:$M,batches!A461))</f>
        <v/>
      </c>
      <c r="I2755" s="101" t="n"/>
      <c r="J2755" s="102" t="n"/>
    </row>
    <row r="2756" ht="15.75" customHeight="1" s="84">
      <c r="A2756" s="80" t="inlineStr">
        <is>
          <t>Available</t>
        </is>
      </c>
      <c r="B2756" s="103">
        <f>IF(OR(batches!A460="",batches!G460=""),"",batches!G460-COUNTIF(admissions!$M:$M,batches!A460))</f>
        <v/>
      </c>
      <c r="C2756" s="101" t="n"/>
      <c r="D2756" s="102" t="n"/>
      <c r="G2756" s="80" t="inlineStr">
        <is>
          <t>Available</t>
        </is>
      </c>
      <c r="H2756" s="103">
        <f>IF(OR(batches!A461="",batches!G461=""),"",batches!G461-COUNTIF(admissions!$M:$M,batches!A461))</f>
        <v/>
      </c>
      <c r="I2756" s="101" t="n"/>
      <c r="J2756" s="102" t="n"/>
    </row>
    <row r="2757" ht="15.75" customHeight="1" s="84">
      <c r="A2757" s="104" t="inlineStr">
        <is>
          <t>Student List</t>
        </is>
      </c>
      <c r="B2757" s="101" t="n"/>
      <c r="C2757" s="101" t="n"/>
      <c r="D2757" s="102" t="n"/>
      <c r="G2757" s="104" t="inlineStr">
        <is>
          <t>Student List</t>
        </is>
      </c>
      <c r="H2757" s="101" t="n"/>
      <c r="I2757" s="101" t="n"/>
      <c r="J2757" s="102" t="n"/>
    </row>
    <row r="2758" ht="15.75" customHeight="1" s="84">
      <c r="A2758" s="105">
        <f>IFERROR(__xludf.DUMMYFUNCTION("IF(batches!A460="""","""",TEXTJOIN(CHAR(10),TRUE,FILTER(admissions!$G$2:$G$78,admissions!$M$2:$M$78=batches!A460,"""")))"),"")</f>
        <v/>
      </c>
      <c r="B2758" s="101" t="n"/>
      <c r="C2758" s="101" t="n"/>
      <c r="D2758" s="102" t="n"/>
      <c r="G2758" s="105">
        <f>IFERROR(__xludf.DUMMYFUNCTION("IF(batches!A461="""","""",TEXTJOIN(CHAR(10),TRUE,FILTER(admissions!$G$2:$G$78,admissions!$M$2:$M$78=batches!A461,"""")))"),"")</f>
        <v/>
      </c>
      <c r="H2758" s="101" t="n"/>
      <c r="I2758" s="101" t="n"/>
      <c r="J2758" s="102" t="n"/>
    </row>
    <row r="2759" ht="15.75" customHeight="1" s="84"/>
    <row r="2760" ht="15.75" customHeight="1" s="84"/>
    <row r="2761" ht="15.75" customHeight="1" s="84">
      <c r="A2761" s="100">
        <f>IF(batches!A462="","",batches!A462)</f>
        <v/>
      </c>
      <c r="B2761" s="101" t="n"/>
      <c r="C2761" s="101" t="n"/>
      <c r="D2761" s="102" t="n"/>
      <c r="G2761" s="100">
        <f>IF(batches!A463="","",batches!A463)</f>
        <v/>
      </c>
      <c r="H2761" s="101" t="n"/>
      <c r="I2761" s="101" t="n"/>
      <c r="J2761" s="102" t="n"/>
    </row>
    <row r="2762" ht="15.75" customHeight="1" s="84">
      <c r="A2762" s="80" t="inlineStr">
        <is>
          <t>Level / Mode</t>
        </is>
      </c>
      <c r="B2762" s="103">
        <f>IF(A2761="","",batches!B462&amp;" / "&amp;batches!C462)</f>
        <v/>
      </c>
      <c r="C2762" s="101" t="n"/>
      <c r="D2762" s="102" t="n"/>
      <c r="G2762" s="80" t="inlineStr">
        <is>
          <t>Level / Mode</t>
        </is>
      </c>
      <c r="H2762" s="103">
        <f>IF(G2761="","",batches!B463&amp;" / "&amp;batches!C463)</f>
        <v/>
      </c>
      <c r="I2762" s="101" t="n"/>
      <c r="J2762" s="102" t="n"/>
    </row>
    <row r="2763" ht="15.75" customHeight="1" s="84">
      <c r="A2763" s="80" t="inlineStr">
        <is>
          <t>Dates</t>
        </is>
      </c>
      <c r="B2763" s="103">
        <f>IF(A2761="","",TEXT(batches!D462,"yyyy-mm-dd")&amp;" to "&amp;TEXT(batches!E462,"yyyy-mm-dd"))</f>
        <v/>
      </c>
      <c r="C2763" s="101" t="n"/>
      <c r="D2763" s="102" t="n"/>
      <c r="G2763" s="80" t="inlineStr">
        <is>
          <t>Dates</t>
        </is>
      </c>
      <c r="H2763" s="103">
        <f>IF(G2761="","",TEXT(batches!D463,"yyyy-mm-dd")&amp;" to "&amp;TEXT(batches!E463,"yyyy-mm-dd"))</f>
        <v/>
      </c>
      <c r="I2763" s="101" t="n"/>
      <c r="J2763" s="102" t="n"/>
    </row>
    <row r="2764" ht="15.75" customHeight="1" s="84">
      <c r="A2764" s="80" t="inlineStr">
        <is>
          <t>Duration</t>
        </is>
      </c>
      <c r="B2764" s="103">
        <f>IF(OR(batches!D462="",batches!E462=""),"",batches!E462-batches!D462+1&amp;" days")</f>
        <v/>
      </c>
      <c r="C2764" s="101" t="n"/>
      <c r="D2764" s="102" t="n"/>
      <c r="G2764" s="80" t="inlineStr">
        <is>
          <t>Duration</t>
        </is>
      </c>
      <c r="H2764" s="103">
        <f>IF(OR(batches!D463="",batches!E463=""),"",batches!E463-batches!D463+1&amp;" days")</f>
        <v/>
      </c>
      <c r="I2764" s="101" t="n"/>
      <c r="J2764" s="102" t="n"/>
    </row>
    <row r="2765" ht="15.75" customHeight="1" s="84">
      <c r="A2765" s="80" t="inlineStr">
        <is>
          <t>Timing</t>
        </is>
      </c>
      <c r="B2765" s="103">
        <f>IF(A2761="","",batches!F462)</f>
        <v/>
      </c>
      <c r="C2765" s="101" t="n"/>
      <c r="D2765" s="102" t="n"/>
      <c r="G2765" s="80" t="inlineStr">
        <is>
          <t>Timing</t>
        </is>
      </c>
      <c r="H2765" s="103">
        <f>IF(G2761="","",batches!F463)</f>
        <v/>
      </c>
      <c r="I2765" s="101" t="n"/>
      <c r="J2765" s="102" t="n"/>
    </row>
    <row r="2766" ht="15.75" customHeight="1" s="84">
      <c r="A2766" s="80" t="inlineStr">
        <is>
          <t>Capacity</t>
        </is>
      </c>
      <c r="B2766" s="103">
        <f>IF(A2761="","",batches!G462)</f>
        <v/>
      </c>
      <c r="C2766" s="101" t="n"/>
      <c r="D2766" s="102" t="n"/>
      <c r="G2766" s="80" t="inlineStr">
        <is>
          <t>Capacity</t>
        </is>
      </c>
      <c r="H2766" s="103">
        <f>IF(G2761="","",batches!G463)</f>
        <v/>
      </c>
      <c r="I2766" s="101" t="n"/>
      <c r="J2766" s="102" t="n"/>
    </row>
    <row r="2767" ht="15.75" customHeight="1" s="84">
      <c r="A2767" s="80" t="inlineStr">
        <is>
          <t>Enrolled</t>
        </is>
      </c>
      <c r="B2767" s="103">
        <f>IF(A2761="","",COUNTIF(admissions!$M:$M,batches!A462))</f>
        <v/>
      </c>
      <c r="C2767" s="101" t="n"/>
      <c r="D2767" s="102" t="n"/>
      <c r="G2767" s="80" t="inlineStr">
        <is>
          <t>Enrolled</t>
        </is>
      </c>
      <c r="H2767" s="103">
        <f>IF(G2761="","",COUNTIF(admissions!$M:$M,batches!A463))</f>
        <v/>
      </c>
      <c r="I2767" s="101" t="n"/>
      <c r="J2767" s="102" t="n"/>
    </row>
    <row r="2768" ht="15.75" customHeight="1" s="84">
      <c r="A2768" s="80" t="inlineStr">
        <is>
          <t>Available</t>
        </is>
      </c>
      <c r="B2768" s="103">
        <f>IF(OR(batches!A462="",batches!G462=""),"",batches!G462-COUNTIF(admissions!$M:$M,batches!A462))</f>
        <v/>
      </c>
      <c r="C2768" s="101" t="n"/>
      <c r="D2768" s="102" t="n"/>
      <c r="G2768" s="80" t="inlineStr">
        <is>
          <t>Available</t>
        </is>
      </c>
      <c r="H2768" s="103">
        <f>IF(OR(batches!A463="",batches!G463=""),"",batches!G463-COUNTIF(admissions!$M:$M,batches!A463))</f>
        <v/>
      </c>
      <c r="I2768" s="101" t="n"/>
      <c r="J2768" s="102" t="n"/>
    </row>
    <row r="2769" ht="15.75" customHeight="1" s="84">
      <c r="A2769" s="104" t="inlineStr">
        <is>
          <t>Student List</t>
        </is>
      </c>
      <c r="B2769" s="101" t="n"/>
      <c r="C2769" s="101" t="n"/>
      <c r="D2769" s="102" t="n"/>
      <c r="G2769" s="104" t="inlineStr">
        <is>
          <t>Student List</t>
        </is>
      </c>
      <c r="H2769" s="101" t="n"/>
      <c r="I2769" s="101" t="n"/>
      <c r="J2769" s="102" t="n"/>
    </row>
    <row r="2770" ht="15.75" customHeight="1" s="84">
      <c r="A2770" s="105">
        <f>IFERROR(__xludf.DUMMYFUNCTION("IF(batches!A462="""","""",TEXTJOIN(CHAR(10),TRUE,FILTER(admissions!$G$2:$G$78,admissions!$M$2:$M$78=batches!A462,"""")))"),"")</f>
        <v/>
      </c>
      <c r="B2770" s="101" t="n"/>
      <c r="C2770" s="101" t="n"/>
      <c r="D2770" s="102" t="n"/>
      <c r="G2770" s="105">
        <f>IFERROR(__xludf.DUMMYFUNCTION("IF(batches!A463="""","""",TEXTJOIN(CHAR(10),TRUE,FILTER(admissions!$G$2:$G$78,admissions!$M$2:$M$78=batches!A463,"""")))"),"")</f>
        <v/>
      </c>
      <c r="H2770" s="101" t="n"/>
      <c r="I2770" s="101" t="n"/>
      <c r="J2770" s="102" t="n"/>
    </row>
    <row r="2771" ht="15.75" customHeight="1" s="84"/>
    <row r="2772" ht="15.75" customHeight="1" s="84"/>
    <row r="2773" ht="15.75" customHeight="1" s="84">
      <c r="A2773" s="100">
        <f>IF(batches!A464="","",batches!A464)</f>
        <v/>
      </c>
      <c r="B2773" s="101" t="n"/>
      <c r="C2773" s="101" t="n"/>
      <c r="D2773" s="102" t="n"/>
      <c r="G2773" s="100">
        <f>IF(batches!A465="","",batches!A465)</f>
        <v/>
      </c>
      <c r="H2773" s="101" t="n"/>
      <c r="I2773" s="101" t="n"/>
      <c r="J2773" s="102" t="n"/>
    </row>
    <row r="2774" ht="15.75" customHeight="1" s="84">
      <c r="A2774" s="80" t="inlineStr">
        <is>
          <t>Level / Mode</t>
        </is>
      </c>
      <c r="B2774" s="103">
        <f>IF(A2773="","",batches!B464&amp;" / "&amp;batches!C464)</f>
        <v/>
      </c>
      <c r="C2774" s="101" t="n"/>
      <c r="D2774" s="102" t="n"/>
      <c r="G2774" s="80" t="inlineStr">
        <is>
          <t>Level / Mode</t>
        </is>
      </c>
      <c r="H2774" s="103">
        <f>IF(G2773="","",batches!B465&amp;" / "&amp;batches!C465)</f>
        <v/>
      </c>
      <c r="I2774" s="101" t="n"/>
      <c r="J2774" s="102" t="n"/>
    </row>
    <row r="2775" ht="15.75" customHeight="1" s="84">
      <c r="A2775" s="80" t="inlineStr">
        <is>
          <t>Dates</t>
        </is>
      </c>
      <c r="B2775" s="103">
        <f>IF(A2773="","",TEXT(batches!D464,"yyyy-mm-dd")&amp;" to "&amp;TEXT(batches!E464,"yyyy-mm-dd"))</f>
        <v/>
      </c>
      <c r="C2775" s="101" t="n"/>
      <c r="D2775" s="102" t="n"/>
      <c r="G2775" s="80" t="inlineStr">
        <is>
          <t>Dates</t>
        </is>
      </c>
      <c r="H2775" s="103">
        <f>IF(G2773="","",TEXT(batches!D465,"yyyy-mm-dd")&amp;" to "&amp;TEXT(batches!E465,"yyyy-mm-dd"))</f>
        <v/>
      </c>
      <c r="I2775" s="101" t="n"/>
      <c r="J2775" s="102" t="n"/>
    </row>
    <row r="2776" ht="15.75" customHeight="1" s="84">
      <c r="A2776" s="80" t="inlineStr">
        <is>
          <t>Duration</t>
        </is>
      </c>
      <c r="B2776" s="103">
        <f>IF(OR(batches!D464="",batches!E464=""),"",batches!E464-batches!D464+1&amp;" days")</f>
        <v/>
      </c>
      <c r="C2776" s="101" t="n"/>
      <c r="D2776" s="102" t="n"/>
      <c r="G2776" s="80" t="inlineStr">
        <is>
          <t>Duration</t>
        </is>
      </c>
      <c r="H2776" s="103">
        <f>IF(OR(batches!D465="",batches!E465=""),"",batches!E465-batches!D465+1&amp;" days")</f>
        <v/>
      </c>
      <c r="I2776" s="101" t="n"/>
      <c r="J2776" s="102" t="n"/>
    </row>
    <row r="2777" ht="15.75" customHeight="1" s="84">
      <c r="A2777" s="80" t="inlineStr">
        <is>
          <t>Timing</t>
        </is>
      </c>
      <c r="B2777" s="103">
        <f>IF(A2773="","",batches!F464)</f>
        <v/>
      </c>
      <c r="C2777" s="101" t="n"/>
      <c r="D2777" s="102" t="n"/>
      <c r="G2777" s="80" t="inlineStr">
        <is>
          <t>Timing</t>
        </is>
      </c>
      <c r="H2777" s="103">
        <f>IF(G2773="","",batches!F465)</f>
        <v/>
      </c>
      <c r="I2777" s="101" t="n"/>
      <c r="J2777" s="102" t="n"/>
    </row>
    <row r="2778" ht="15.75" customHeight="1" s="84">
      <c r="A2778" s="80" t="inlineStr">
        <is>
          <t>Capacity</t>
        </is>
      </c>
      <c r="B2778" s="103">
        <f>IF(A2773="","",batches!G464)</f>
        <v/>
      </c>
      <c r="C2778" s="101" t="n"/>
      <c r="D2778" s="102" t="n"/>
      <c r="G2778" s="80" t="inlineStr">
        <is>
          <t>Capacity</t>
        </is>
      </c>
      <c r="H2778" s="103">
        <f>IF(G2773="","",batches!G465)</f>
        <v/>
      </c>
      <c r="I2778" s="101" t="n"/>
      <c r="J2778" s="102" t="n"/>
    </row>
    <row r="2779" ht="15.75" customHeight="1" s="84">
      <c r="A2779" s="80" t="inlineStr">
        <is>
          <t>Enrolled</t>
        </is>
      </c>
      <c r="B2779" s="103">
        <f>IF(A2773="","",COUNTIF(admissions!$M:$M,batches!A464))</f>
        <v/>
      </c>
      <c r="C2779" s="101" t="n"/>
      <c r="D2779" s="102" t="n"/>
      <c r="G2779" s="80" t="inlineStr">
        <is>
          <t>Enrolled</t>
        </is>
      </c>
      <c r="H2779" s="103">
        <f>IF(G2773="","",COUNTIF(admissions!$M:$M,batches!A465))</f>
        <v/>
      </c>
      <c r="I2779" s="101" t="n"/>
      <c r="J2779" s="102" t="n"/>
    </row>
    <row r="2780" ht="15.75" customHeight="1" s="84">
      <c r="A2780" s="80" t="inlineStr">
        <is>
          <t>Available</t>
        </is>
      </c>
      <c r="B2780" s="103">
        <f>IF(OR(batches!A464="",batches!G464=""),"",batches!G464-COUNTIF(admissions!$M:$M,batches!A464))</f>
        <v/>
      </c>
      <c r="C2780" s="101" t="n"/>
      <c r="D2780" s="102" t="n"/>
      <c r="G2780" s="80" t="inlineStr">
        <is>
          <t>Available</t>
        </is>
      </c>
      <c r="H2780" s="103">
        <f>IF(OR(batches!A465="",batches!G465=""),"",batches!G465-COUNTIF(admissions!$M:$M,batches!A465))</f>
        <v/>
      </c>
      <c r="I2780" s="101" t="n"/>
      <c r="J2780" s="102" t="n"/>
    </row>
    <row r="2781" ht="15.75" customHeight="1" s="84">
      <c r="A2781" s="104" t="inlineStr">
        <is>
          <t>Student List</t>
        </is>
      </c>
      <c r="B2781" s="101" t="n"/>
      <c r="C2781" s="101" t="n"/>
      <c r="D2781" s="102" t="n"/>
      <c r="G2781" s="104" t="inlineStr">
        <is>
          <t>Student List</t>
        </is>
      </c>
      <c r="H2781" s="101" t="n"/>
      <c r="I2781" s="101" t="n"/>
      <c r="J2781" s="102" t="n"/>
    </row>
    <row r="2782" ht="15.75" customHeight="1" s="84">
      <c r="A2782" s="105">
        <f>IFERROR(__xludf.DUMMYFUNCTION("IF(batches!A464="""","""",TEXTJOIN(CHAR(10),TRUE,FILTER(admissions!$G$2:$G$78,admissions!$M$2:$M$78=batches!A464,"""")))"),"")</f>
        <v/>
      </c>
      <c r="B2782" s="101" t="n"/>
      <c r="C2782" s="101" t="n"/>
      <c r="D2782" s="102" t="n"/>
      <c r="G2782" s="105">
        <f>IFERROR(__xludf.DUMMYFUNCTION("IF(batches!A465="""","""",TEXTJOIN(CHAR(10),TRUE,FILTER(admissions!$G$2:$G$78,admissions!$M$2:$M$78=batches!A465,"""")))"),"")</f>
        <v/>
      </c>
      <c r="H2782" s="101" t="n"/>
      <c r="I2782" s="101" t="n"/>
      <c r="J2782" s="102" t="n"/>
    </row>
    <row r="2783" ht="15.75" customHeight="1" s="84"/>
    <row r="2784" ht="15.75" customHeight="1" s="84"/>
    <row r="2785" ht="15.75" customHeight="1" s="84">
      <c r="A2785" s="100">
        <f>IF(batches!A466="","",batches!A466)</f>
        <v/>
      </c>
      <c r="B2785" s="101" t="n"/>
      <c r="C2785" s="101" t="n"/>
      <c r="D2785" s="102" t="n"/>
      <c r="G2785" s="100">
        <f>IF(batches!A467="","",batches!A467)</f>
        <v/>
      </c>
      <c r="H2785" s="101" t="n"/>
      <c r="I2785" s="101" t="n"/>
      <c r="J2785" s="102" t="n"/>
    </row>
    <row r="2786" ht="15.75" customHeight="1" s="84">
      <c r="A2786" s="80" t="inlineStr">
        <is>
          <t>Level / Mode</t>
        </is>
      </c>
      <c r="B2786" s="103">
        <f>IF(A2785="","",batches!B466&amp;" / "&amp;batches!C466)</f>
        <v/>
      </c>
      <c r="C2786" s="101" t="n"/>
      <c r="D2786" s="102" t="n"/>
      <c r="G2786" s="80" t="inlineStr">
        <is>
          <t>Level / Mode</t>
        </is>
      </c>
      <c r="H2786" s="103">
        <f>IF(G2785="","",batches!B467&amp;" / "&amp;batches!C467)</f>
        <v/>
      </c>
      <c r="I2786" s="101" t="n"/>
      <c r="J2786" s="102" t="n"/>
    </row>
    <row r="2787" ht="15.75" customHeight="1" s="84">
      <c r="A2787" s="80" t="inlineStr">
        <is>
          <t>Dates</t>
        </is>
      </c>
      <c r="B2787" s="103">
        <f>IF(A2785="","",TEXT(batches!D466,"yyyy-mm-dd")&amp;" to "&amp;TEXT(batches!E466,"yyyy-mm-dd"))</f>
        <v/>
      </c>
      <c r="C2787" s="101" t="n"/>
      <c r="D2787" s="102" t="n"/>
      <c r="G2787" s="80" t="inlineStr">
        <is>
          <t>Dates</t>
        </is>
      </c>
      <c r="H2787" s="103">
        <f>IF(G2785="","",TEXT(batches!D467,"yyyy-mm-dd")&amp;" to "&amp;TEXT(batches!E467,"yyyy-mm-dd"))</f>
        <v/>
      </c>
      <c r="I2787" s="101" t="n"/>
      <c r="J2787" s="102" t="n"/>
    </row>
    <row r="2788" ht="15.75" customHeight="1" s="84">
      <c r="A2788" s="80" t="inlineStr">
        <is>
          <t>Duration</t>
        </is>
      </c>
      <c r="B2788" s="103">
        <f>IF(OR(batches!D466="",batches!E466=""),"",batches!E466-batches!D466+1&amp;" days")</f>
        <v/>
      </c>
      <c r="C2788" s="101" t="n"/>
      <c r="D2788" s="102" t="n"/>
      <c r="G2788" s="80" t="inlineStr">
        <is>
          <t>Duration</t>
        </is>
      </c>
      <c r="H2788" s="103">
        <f>IF(OR(batches!D467="",batches!E467=""),"",batches!E467-batches!D467+1&amp;" days")</f>
        <v/>
      </c>
      <c r="I2788" s="101" t="n"/>
      <c r="J2788" s="102" t="n"/>
    </row>
    <row r="2789" ht="15.75" customHeight="1" s="84">
      <c r="A2789" s="80" t="inlineStr">
        <is>
          <t>Timing</t>
        </is>
      </c>
      <c r="B2789" s="103">
        <f>IF(A2785="","",batches!F466)</f>
        <v/>
      </c>
      <c r="C2789" s="101" t="n"/>
      <c r="D2789" s="102" t="n"/>
      <c r="G2789" s="80" t="inlineStr">
        <is>
          <t>Timing</t>
        </is>
      </c>
      <c r="H2789" s="103">
        <f>IF(G2785="","",batches!F467)</f>
        <v/>
      </c>
      <c r="I2789" s="101" t="n"/>
      <c r="J2789" s="102" t="n"/>
    </row>
    <row r="2790" ht="15.75" customHeight="1" s="84">
      <c r="A2790" s="80" t="inlineStr">
        <is>
          <t>Capacity</t>
        </is>
      </c>
      <c r="B2790" s="103">
        <f>IF(A2785="","",batches!G466)</f>
        <v/>
      </c>
      <c r="C2790" s="101" t="n"/>
      <c r="D2790" s="102" t="n"/>
      <c r="G2790" s="80" t="inlineStr">
        <is>
          <t>Capacity</t>
        </is>
      </c>
      <c r="H2790" s="103">
        <f>IF(G2785="","",batches!G467)</f>
        <v/>
      </c>
      <c r="I2790" s="101" t="n"/>
      <c r="J2790" s="102" t="n"/>
    </row>
    <row r="2791" ht="15.75" customHeight="1" s="84">
      <c r="A2791" s="80" t="inlineStr">
        <is>
          <t>Enrolled</t>
        </is>
      </c>
      <c r="B2791" s="103">
        <f>IF(A2785="","",COUNTIF(admissions!$M:$M,batches!A466))</f>
        <v/>
      </c>
      <c r="C2791" s="101" t="n"/>
      <c r="D2791" s="102" t="n"/>
      <c r="G2791" s="80" t="inlineStr">
        <is>
          <t>Enrolled</t>
        </is>
      </c>
      <c r="H2791" s="103">
        <f>IF(G2785="","",COUNTIF(admissions!$M:$M,batches!A467))</f>
        <v/>
      </c>
      <c r="I2791" s="101" t="n"/>
      <c r="J2791" s="102" t="n"/>
    </row>
    <row r="2792" ht="15.75" customHeight="1" s="84">
      <c r="A2792" s="80" t="inlineStr">
        <is>
          <t>Available</t>
        </is>
      </c>
      <c r="B2792" s="103">
        <f>IF(OR(batches!A466="",batches!G466=""),"",batches!G466-COUNTIF(admissions!$M:$M,batches!A466))</f>
        <v/>
      </c>
      <c r="C2792" s="101" t="n"/>
      <c r="D2792" s="102" t="n"/>
      <c r="G2792" s="80" t="inlineStr">
        <is>
          <t>Available</t>
        </is>
      </c>
      <c r="H2792" s="103">
        <f>IF(OR(batches!A467="",batches!G467=""),"",batches!G467-COUNTIF(admissions!$M:$M,batches!A467))</f>
        <v/>
      </c>
      <c r="I2792" s="101" t="n"/>
      <c r="J2792" s="102" t="n"/>
    </row>
    <row r="2793" ht="15.75" customHeight="1" s="84">
      <c r="A2793" s="104" t="inlineStr">
        <is>
          <t>Student List</t>
        </is>
      </c>
      <c r="B2793" s="101" t="n"/>
      <c r="C2793" s="101" t="n"/>
      <c r="D2793" s="102" t="n"/>
      <c r="G2793" s="104" t="inlineStr">
        <is>
          <t>Student List</t>
        </is>
      </c>
      <c r="H2793" s="101" t="n"/>
      <c r="I2793" s="101" t="n"/>
      <c r="J2793" s="102" t="n"/>
    </row>
    <row r="2794" ht="15.75" customHeight="1" s="84">
      <c r="A2794" s="105">
        <f>IFERROR(__xludf.DUMMYFUNCTION("IF(batches!A466="""","""",TEXTJOIN(CHAR(10),TRUE,FILTER(admissions!$G$2:$G$78,admissions!$M$2:$M$78=batches!A466,"""")))"),"")</f>
        <v/>
      </c>
      <c r="B2794" s="101" t="n"/>
      <c r="C2794" s="101" t="n"/>
      <c r="D2794" s="102" t="n"/>
      <c r="G2794" s="105">
        <f>IFERROR(__xludf.DUMMYFUNCTION("IF(batches!A467="""","""",TEXTJOIN(CHAR(10),TRUE,FILTER(admissions!$G$2:$G$78,admissions!$M$2:$M$78=batches!A467,"""")))"),"")</f>
        <v/>
      </c>
      <c r="H2794" s="101" t="n"/>
      <c r="I2794" s="101" t="n"/>
      <c r="J2794" s="102" t="n"/>
    </row>
    <row r="2795" ht="15.75" customHeight="1" s="84"/>
    <row r="2796" ht="15.75" customHeight="1" s="84"/>
    <row r="2797" ht="15.75" customHeight="1" s="84">
      <c r="A2797" s="100">
        <f>IF(batches!A468="","",batches!A468)</f>
        <v/>
      </c>
      <c r="B2797" s="101" t="n"/>
      <c r="C2797" s="101" t="n"/>
      <c r="D2797" s="102" t="n"/>
      <c r="G2797" s="100">
        <f>IF(batches!A469="","",batches!A469)</f>
        <v/>
      </c>
      <c r="H2797" s="101" t="n"/>
      <c r="I2797" s="101" t="n"/>
      <c r="J2797" s="102" t="n"/>
    </row>
    <row r="2798" ht="15.75" customHeight="1" s="84">
      <c r="A2798" s="80" t="inlineStr">
        <is>
          <t>Level / Mode</t>
        </is>
      </c>
      <c r="B2798" s="103">
        <f>IF(A2797="","",batches!B468&amp;" / "&amp;batches!C468)</f>
        <v/>
      </c>
      <c r="C2798" s="101" t="n"/>
      <c r="D2798" s="102" t="n"/>
      <c r="G2798" s="80" t="inlineStr">
        <is>
          <t>Level / Mode</t>
        </is>
      </c>
      <c r="H2798" s="103">
        <f>IF(G2797="","",batches!B469&amp;" / "&amp;batches!C469)</f>
        <v/>
      </c>
      <c r="I2798" s="101" t="n"/>
      <c r="J2798" s="102" t="n"/>
    </row>
    <row r="2799" ht="15.75" customHeight="1" s="84">
      <c r="A2799" s="80" t="inlineStr">
        <is>
          <t>Dates</t>
        </is>
      </c>
      <c r="B2799" s="103">
        <f>IF(A2797="","",TEXT(batches!D468,"yyyy-mm-dd")&amp;" to "&amp;TEXT(batches!E468,"yyyy-mm-dd"))</f>
        <v/>
      </c>
      <c r="C2799" s="101" t="n"/>
      <c r="D2799" s="102" t="n"/>
      <c r="G2799" s="80" t="inlineStr">
        <is>
          <t>Dates</t>
        </is>
      </c>
      <c r="H2799" s="103">
        <f>IF(G2797="","",TEXT(batches!D469,"yyyy-mm-dd")&amp;" to "&amp;TEXT(batches!E469,"yyyy-mm-dd"))</f>
        <v/>
      </c>
      <c r="I2799" s="101" t="n"/>
      <c r="J2799" s="102" t="n"/>
    </row>
    <row r="2800" ht="15.75" customHeight="1" s="84">
      <c r="A2800" s="80" t="inlineStr">
        <is>
          <t>Duration</t>
        </is>
      </c>
      <c r="B2800" s="103">
        <f>IF(OR(batches!D468="",batches!E468=""),"",batches!E468-batches!D468+1&amp;" days")</f>
        <v/>
      </c>
      <c r="C2800" s="101" t="n"/>
      <c r="D2800" s="102" t="n"/>
      <c r="G2800" s="80" t="inlineStr">
        <is>
          <t>Duration</t>
        </is>
      </c>
      <c r="H2800" s="103">
        <f>IF(OR(batches!D469="",batches!E469=""),"",batches!E469-batches!D469+1&amp;" days")</f>
        <v/>
      </c>
      <c r="I2800" s="101" t="n"/>
      <c r="J2800" s="102" t="n"/>
    </row>
    <row r="2801" ht="15.75" customHeight="1" s="84">
      <c r="A2801" s="80" t="inlineStr">
        <is>
          <t>Timing</t>
        </is>
      </c>
      <c r="B2801" s="103">
        <f>IF(A2797="","",batches!F468)</f>
        <v/>
      </c>
      <c r="C2801" s="101" t="n"/>
      <c r="D2801" s="102" t="n"/>
      <c r="G2801" s="80" t="inlineStr">
        <is>
          <t>Timing</t>
        </is>
      </c>
      <c r="H2801" s="103">
        <f>IF(G2797="","",batches!F469)</f>
        <v/>
      </c>
      <c r="I2801" s="101" t="n"/>
      <c r="J2801" s="102" t="n"/>
    </row>
    <row r="2802" ht="15.75" customHeight="1" s="84">
      <c r="A2802" s="80" t="inlineStr">
        <is>
          <t>Capacity</t>
        </is>
      </c>
      <c r="B2802" s="103">
        <f>IF(A2797="","",batches!G468)</f>
        <v/>
      </c>
      <c r="C2802" s="101" t="n"/>
      <c r="D2802" s="102" t="n"/>
      <c r="G2802" s="80" t="inlineStr">
        <is>
          <t>Capacity</t>
        </is>
      </c>
      <c r="H2802" s="103">
        <f>IF(G2797="","",batches!G469)</f>
        <v/>
      </c>
      <c r="I2802" s="101" t="n"/>
      <c r="J2802" s="102" t="n"/>
    </row>
    <row r="2803" ht="15.75" customHeight="1" s="84">
      <c r="A2803" s="80" t="inlineStr">
        <is>
          <t>Enrolled</t>
        </is>
      </c>
      <c r="B2803" s="103">
        <f>IF(A2797="","",COUNTIF(admissions!$M:$M,batches!A468))</f>
        <v/>
      </c>
      <c r="C2803" s="101" t="n"/>
      <c r="D2803" s="102" t="n"/>
      <c r="G2803" s="80" t="inlineStr">
        <is>
          <t>Enrolled</t>
        </is>
      </c>
      <c r="H2803" s="103">
        <f>IF(G2797="","",COUNTIF(admissions!$M:$M,batches!A469))</f>
        <v/>
      </c>
      <c r="I2803" s="101" t="n"/>
      <c r="J2803" s="102" t="n"/>
    </row>
    <row r="2804" ht="15.75" customHeight="1" s="84">
      <c r="A2804" s="80" t="inlineStr">
        <is>
          <t>Available</t>
        </is>
      </c>
      <c r="B2804" s="103">
        <f>IF(OR(batches!A468="",batches!G468=""),"",batches!G468-COUNTIF(admissions!$M:$M,batches!A468))</f>
        <v/>
      </c>
      <c r="C2804" s="101" t="n"/>
      <c r="D2804" s="102" t="n"/>
      <c r="G2804" s="80" t="inlineStr">
        <is>
          <t>Available</t>
        </is>
      </c>
      <c r="H2804" s="103">
        <f>IF(OR(batches!A469="",batches!G469=""),"",batches!G469-COUNTIF(admissions!$M:$M,batches!A469))</f>
        <v/>
      </c>
      <c r="I2804" s="101" t="n"/>
      <c r="J2804" s="102" t="n"/>
    </row>
    <row r="2805" ht="15.75" customHeight="1" s="84">
      <c r="A2805" s="104" t="inlineStr">
        <is>
          <t>Student List</t>
        </is>
      </c>
      <c r="B2805" s="101" t="n"/>
      <c r="C2805" s="101" t="n"/>
      <c r="D2805" s="102" t="n"/>
      <c r="G2805" s="104" t="inlineStr">
        <is>
          <t>Student List</t>
        </is>
      </c>
      <c r="H2805" s="101" t="n"/>
      <c r="I2805" s="101" t="n"/>
      <c r="J2805" s="102" t="n"/>
    </row>
    <row r="2806" ht="15.75" customHeight="1" s="84">
      <c r="A2806" s="105">
        <f>IFERROR(__xludf.DUMMYFUNCTION("IF(batches!A468="""","""",TEXTJOIN(CHAR(10),TRUE,FILTER(admissions!$G$2:$G$78,admissions!$M$2:$M$78=batches!A468,"""")))"),"")</f>
        <v/>
      </c>
      <c r="B2806" s="101" t="n"/>
      <c r="C2806" s="101" t="n"/>
      <c r="D2806" s="102" t="n"/>
      <c r="G2806" s="105">
        <f>IFERROR(__xludf.DUMMYFUNCTION("IF(batches!A469="""","""",TEXTJOIN(CHAR(10),TRUE,FILTER(admissions!$G$2:$G$78,admissions!$M$2:$M$78=batches!A469,"""")))"),"")</f>
        <v/>
      </c>
      <c r="H2806" s="101" t="n"/>
      <c r="I2806" s="101" t="n"/>
      <c r="J2806" s="102" t="n"/>
    </row>
    <row r="2807" ht="15.75" customHeight="1" s="84"/>
    <row r="2808" ht="15.75" customHeight="1" s="84"/>
    <row r="2809" ht="15.75" customHeight="1" s="84">
      <c r="A2809" s="100">
        <f>IF(batches!A470="","",batches!A470)</f>
        <v/>
      </c>
      <c r="B2809" s="101" t="n"/>
      <c r="C2809" s="101" t="n"/>
      <c r="D2809" s="102" t="n"/>
      <c r="G2809" s="100">
        <f>IF(batches!A471="","",batches!A471)</f>
        <v/>
      </c>
      <c r="H2809" s="101" t="n"/>
      <c r="I2809" s="101" t="n"/>
      <c r="J2809" s="102" t="n"/>
    </row>
    <row r="2810" ht="15.75" customHeight="1" s="84">
      <c r="A2810" s="80" t="inlineStr">
        <is>
          <t>Level / Mode</t>
        </is>
      </c>
      <c r="B2810" s="103">
        <f>IF(A2809="","",batches!B470&amp;" / "&amp;batches!C470)</f>
        <v/>
      </c>
      <c r="C2810" s="101" t="n"/>
      <c r="D2810" s="102" t="n"/>
      <c r="G2810" s="80" t="inlineStr">
        <is>
          <t>Level / Mode</t>
        </is>
      </c>
      <c r="H2810" s="103">
        <f>IF(G2809="","",batches!B471&amp;" / "&amp;batches!C471)</f>
        <v/>
      </c>
      <c r="I2810" s="101" t="n"/>
      <c r="J2810" s="102" t="n"/>
    </row>
    <row r="2811" ht="15.75" customHeight="1" s="84">
      <c r="A2811" s="80" t="inlineStr">
        <is>
          <t>Dates</t>
        </is>
      </c>
      <c r="B2811" s="103">
        <f>IF(A2809="","",TEXT(batches!D470,"yyyy-mm-dd")&amp;" to "&amp;TEXT(batches!E470,"yyyy-mm-dd"))</f>
        <v/>
      </c>
      <c r="C2811" s="101" t="n"/>
      <c r="D2811" s="102" t="n"/>
      <c r="G2811" s="80" t="inlineStr">
        <is>
          <t>Dates</t>
        </is>
      </c>
      <c r="H2811" s="103">
        <f>IF(G2809="","",TEXT(batches!D471,"yyyy-mm-dd")&amp;" to "&amp;TEXT(batches!E471,"yyyy-mm-dd"))</f>
        <v/>
      </c>
      <c r="I2811" s="101" t="n"/>
      <c r="J2811" s="102" t="n"/>
    </row>
    <row r="2812" ht="15.75" customHeight="1" s="84">
      <c r="A2812" s="80" t="inlineStr">
        <is>
          <t>Duration</t>
        </is>
      </c>
      <c r="B2812" s="103">
        <f>IF(OR(batches!D470="",batches!E470=""),"",batches!E470-batches!D470+1&amp;" days")</f>
        <v/>
      </c>
      <c r="C2812" s="101" t="n"/>
      <c r="D2812" s="102" t="n"/>
      <c r="G2812" s="80" t="inlineStr">
        <is>
          <t>Duration</t>
        </is>
      </c>
      <c r="H2812" s="103">
        <f>IF(OR(batches!D471="",batches!E471=""),"",batches!E471-batches!D471+1&amp;" days")</f>
        <v/>
      </c>
      <c r="I2812" s="101" t="n"/>
      <c r="J2812" s="102" t="n"/>
    </row>
    <row r="2813" ht="15.75" customHeight="1" s="84">
      <c r="A2813" s="80" t="inlineStr">
        <is>
          <t>Timing</t>
        </is>
      </c>
      <c r="B2813" s="103">
        <f>IF(A2809="","",batches!F470)</f>
        <v/>
      </c>
      <c r="C2813" s="101" t="n"/>
      <c r="D2813" s="102" t="n"/>
      <c r="G2813" s="80" t="inlineStr">
        <is>
          <t>Timing</t>
        </is>
      </c>
      <c r="H2813" s="103">
        <f>IF(G2809="","",batches!F471)</f>
        <v/>
      </c>
      <c r="I2813" s="101" t="n"/>
      <c r="J2813" s="102" t="n"/>
    </row>
    <row r="2814" ht="15.75" customHeight="1" s="84">
      <c r="A2814" s="80" t="inlineStr">
        <is>
          <t>Capacity</t>
        </is>
      </c>
      <c r="B2814" s="103">
        <f>IF(A2809="","",batches!G470)</f>
        <v/>
      </c>
      <c r="C2814" s="101" t="n"/>
      <c r="D2814" s="102" t="n"/>
      <c r="G2814" s="80" t="inlineStr">
        <is>
          <t>Capacity</t>
        </is>
      </c>
      <c r="H2814" s="103">
        <f>IF(G2809="","",batches!G471)</f>
        <v/>
      </c>
      <c r="I2814" s="101" t="n"/>
      <c r="J2814" s="102" t="n"/>
    </row>
    <row r="2815" ht="15.75" customHeight="1" s="84">
      <c r="A2815" s="80" t="inlineStr">
        <is>
          <t>Enrolled</t>
        </is>
      </c>
      <c r="B2815" s="103">
        <f>IF(A2809="","",COUNTIF(admissions!$M:$M,batches!A470))</f>
        <v/>
      </c>
      <c r="C2815" s="101" t="n"/>
      <c r="D2815" s="102" t="n"/>
      <c r="G2815" s="80" t="inlineStr">
        <is>
          <t>Enrolled</t>
        </is>
      </c>
      <c r="H2815" s="103">
        <f>IF(G2809="","",COUNTIF(admissions!$M:$M,batches!A471))</f>
        <v/>
      </c>
      <c r="I2815" s="101" t="n"/>
      <c r="J2815" s="102" t="n"/>
    </row>
    <row r="2816" ht="15.75" customHeight="1" s="84">
      <c r="A2816" s="80" t="inlineStr">
        <is>
          <t>Available</t>
        </is>
      </c>
      <c r="B2816" s="103">
        <f>IF(OR(batches!A470="",batches!G470=""),"",batches!G470-COUNTIF(admissions!$M:$M,batches!A470))</f>
        <v/>
      </c>
      <c r="C2816" s="101" t="n"/>
      <c r="D2816" s="102" t="n"/>
      <c r="G2816" s="80" t="inlineStr">
        <is>
          <t>Available</t>
        </is>
      </c>
      <c r="H2816" s="103">
        <f>IF(OR(batches!A471="",batches!G471=""),"",batches!G471-COUNTIF(admissions!$M:$M,batches!A471))</f>
        <v/>
      </c>
      <c r="I2816" s="101" t="n"/>
      <c r="J2816" s="102" t="n"/>
    </row>
    <row r="2817" ht="15.75" customHeight="1" s="84">
      <c r="A2817" s="104" t="inlineStr">
        <is>
          <t>Student List</t>
        </is>
      </c>
      <c r="B2817" s="101" t="n"/>
      <c r="C2817" s="101" t="n"/>
      <c r="D2817" s="102" t="n"/>
      <c r="G2817" s="104" t="inlineStr">
        <is>
          <t>Student List</t>
        </is>
      </c>
      <c r="H2817" s="101" t="n"/>
      <c r="I2817" s="101" t="n"/>
      <c r="J2817" s="102" t="n"/>
    </row>
    <row r="2818" ht="15.75" customHeight="1" s="84">
      <c r="A2818" s="105">
        <f>IFERROR(__xludf.DUMMYFUNCTION("IF(batches!A470="""","""",TEXTJOIN(CHAR(10),TRUE,FILTER(admissions!$G$2:$G$78,admissions!$M$2:$M$78=batches!A470,"""")))"),"")</f>
        <v/>
      </c>
      <c r="B2818" s="101" t="n"/>
      <c r="C2818" s="101" t="n"/>
      <c r="D2818" s="102" t="n"/>
      <c r="G2818" s="105">
        <f>IFERROR(__xludf.DUMMYFUNCTION("IF(batches!A471="""","""",TEXTJOIN(CHAR(10),TRUE,FILTER(admissions!$G$2:$G$78,admissions!$M$2:$M$78=batches!A471,"""")))"),"")</f>
        <v/>
      </c>
      <c r="H2818" s="101" t="n"/>
      <c r="I2818" s="101" t="n"/>
      <c r="J2818" s="102" t="n"/>
    </row>
    <row r="2819" ht="15.75" customHeight="1" s="84"/>
    <row r="2820" ht="15.75" customHeight="1" s="84"/>
    <row r="2821" ht="15.75" customHeight="1" s="84">
      <c r="A2821" s="100">
        <f>IF(batches!A472="","",batches!A472)</f>
        <v/>
      </c>
      <c r="B2821" s="101" t="n"/>
      <c r="C2821" s="101" t="n"/>
      <c r="D2821" s="102" t="n"/>
      <c r="G2821" s="100">
        <f>IF(batches!A473="","",batches!A473)</f>
        <v/>
      </c>
      <c r="H2821" s="101" t="n"/>
      <c r="I2821" s="101" t="n"/>
      <c r="J2821" s="102" t="n"/>
    </row>
    <row r="2822" ht="15.75" customHeight="1" s="84">
      <c r="A2822" s="80" t="inlineStr">
        <is>
          <t>Level / Mode</t>
        </is>
      </c>
      <c r="B2822" s="103">
        <f>IF(A2821="","",batches!B472&amp;" / "&amp;batches!C472)</f>
        <v/>
      </c>
      <c r="C2822" s="101" t="n"/>
      <c r="D2822" s="102" t="n"/>
      <c r="G2822" s="80" t="inlineStr">
        <is>
          <t>Level / Mode</t>
        </is>
      </c>
      <c r="H2822" s="103">
        <f>IF(G2821="","",batches!B473&amp;" / "&amp;batches!C473)</f>
        <v/>
      </c>
      <c r="I2822" s="101" t="n"/>
      <c r="J2822" s="102" t="n"/>
    </row>
    <row r="2823" ht="15.75" customHeight="1" s="84">
      <c r="A2823" s="80" t="inlineStr">
        <is>
          <t>Dates</t>
        </is>
      </c>
      <c r="B2823" s="103">
        <f>IF(A2821="","",TEXT(batches!D472,"yyyy-mm-dd")&amp;" to "&amp;TEXT(batches!E472,"yyyy-mm-dd"))</f>
        <v/>
      </c>
      <c r="C2823" s="101" t="n"/>
      <c r="D2823" s="102" t="n"/>
      <c r="G2823" s="80" t="inlineStr">
        <is>
          <t>Dates</t>
        </is>
      </c>
      <c r="H2823" s="103">
        <f>IF(G2821="","",TEXT(batches!D473,"yyyy-mm-dd")&amp;" to "&amp;TEXT(batches!E473,"yyyy-mm-dd"))</f>
        <v/>
      </c>
      <c r="I2823" s="101" t="n"/>
      <c r="J2823" s="102" t="n"/>
    </row>
    <row r="2824" ht="15.75" customHeight="1" s="84">
      <c r="A2824" s="80" t="inlineStr">
        <is>
          <t>Duration</t>
        </is>
      </c>
      <c r="B2824" s="103">
        <f>IF(OR(batches!D472="",batches!E472=""),"",batches!E472-batches!D472+1&amp;" days")</f>
        <v/>
      </c>
      <c r="C2824" s="101" t="n"/>
      <c r="D2824" s="102" t="n"/>
      <c r="G2824" s="80" t="inlineStr">
        <is>
          <t>Duration</t>
        </is>
      </c>
      <c r="H2824" s="103">
        <f>IF(OR(batches!D473="",batches!E473=""),"",batches!E473-batches!D473+1&amp;" days")</f>
        <v/>
      </c>
      <c r="I2824" s="101" t="n"/>
      <c r="J2824" s="102" t="n"/>
    </row>
    <row r="2825" ht="15.75" customHeight="1" s="84">
      <c r="A2825" s="80" t="inlineStr">
        <is>
          <t>Timing</t>
        </is>
      </c>
      <c r="B2825" s="103">
        <f>IF(A2821="","",batches!F472)</f>
        <v/>
      </c>
      <c r="C2825" s="101" t="n"/>
      <c r="D2825" s="102" t="n"/>
      <c r="G2825" s="80" t="inlineStr">
        <is>
          <t>Timing</t>
        </is>
      </c>
      <c r="H2825" s="103">
        <f>IF(G2821="","",batches!F473)</f>
        <v/>
      </c>
      <c r="I2825" s="101" t="n"/>
      <c r="J2825" s="102" t="n"/>
    </row>
    <row r="2826" ht="15.75" customHeight="1" s="84">
      <c r="A2826" s="80" t="inlineStr">
        <is>
          <t>Capacity</t>
        </is>
      </c>
      <c r="B2826" s="103">
        <f>IF(A2821="","",batches!G472)</f>
        <v/>
      </c>
      <c r="C2826" s="101" t="n"/>
      <c r="D2826" s="102" t="n"/>
      <c r="G2826" s="80" t="inlineStr">
        <is>
          <t>Capacity</t>
        </is>
      </c>
      <c r="H2826" s="103">
        <f>IF(G2821="","",batches!G473)</f>
        <v/>
      </c>
      <c r="I2826" s="101" t="n"/>
      <c r="J2826" s="102" t="n"/>
    </row>
    <row r="2827" ht="15.75" customHeight="1" s="84">
      <c r="A2827" s="80" t="inlineStr">
        <is>
          <t>Enrolled</t>
        </is>
      </c>
      <c r="B2827" s="103">
        <f>IF(A2821="","",COUNTIF(admissions!$M:$M,batches!A472))</f>
        <v/>
      </c>
      <c r="C2827" s="101" t="n"/>
      <c r="D2827" s="102" t="n"/>
      <c r="G2827" s="80" t="inlineStr">
        <is>
          <t>Enrolled</t>
        </is>
      </c>
      <c r="H2827" s="103">
        <f>IF(G2821="","",COUNTIF(admissions!$M:$M,batches!A473))</f>
        <v/>
      </c>
      <c r="I2827" s="101" t="n"/>
      <c r="J2827" s="102" t="n"/>
    </row>
    <row r="2828" ht="15.75" customHeight="1" s="84">
      <c r="A2828" s="80" t="inlineStr">
        <is>
          <t>Available</t>
        </is>
      </c>
      <c r="B2828" s="103">
        <f>IF(OR(batches!A472="",batches!G472=""),"",batches!G472-COUNTIF(admissions!$M:$M,batches!A472))</f>
        <v/>
      </c>
      <c r="C2828" s="101" t="n"/>
      <c r="D2828" s="102" t="n"/>
      <c r="G2828" s="80" t="inlineStr">
        <is>
          <t>Available</t>
        </is>
      </c>
      <c r="H2828" s="103">
        <f>IF(OR(batches!A473="",batches!G473=""),"",batches!G473-COUNTIF(admissions!$M:$M,batches!A473))</f>
        <v/>
      </c>
      <c r="I2828" s="101" t="n"/>
      <c r="J2828" s="102" t="n"/>
    </row>
    <row r="2829" ht="15.75" customHeight="1" s="84">
      <c r="A2829" s="104" t="inlineStr">
        <is>
          <t>Student List</t>
        </is>
      </c>
      <c r="B2829" s="101" t="n"/>
      <c r="C2829" s="101" t="n"/>
      <c r="D2829" s="102" t="n"/>
      <c r="G2829" s="104" t="inlineStr">
        <is>
          <t>Student List</t>
        </is>
      </c>
      <c r="H2829" s="101" t="n"/>
      <c r="I2829" s="101" t="n"/>
      <c r="J2829" s="102" t="n"/>
    </row>
    <row r="2830" ht="15.75" customHeight="1" s="84">
      <c r="A2830" s="105">
        <f>IFERROR(__xludf.DUMMYFUNCTION("IF(batches!A472="""","""",TEXTJOIN(CHAR(10),TRUE,FILTER(admissions!$G$2:$G$78,admissions!$M$2:$M$78=batches!A472,"""")))"),"")</f>
        <v/>
      </c>
      <c r="B2830" s="101" t="n"/>
      <c r="C2830" s="101" t="n"/>
      <c r="D2830" s="102" t="n"/>
      <c r="G2830" s="105">
        <f>IFERROR(__xludf.DUMMYFUNCTION("IF(batches!A473="""","""",TEXTJOIN(CHAR(10),TRUE,FILTER(admissions!$G$2:$G$78,admissions!$M$2:$M$78=batches!A473,"""")))"),"")</f>
        <v/>
      </c>
      <c r="H2830" s="101" t="n"/>
      <c r="I2830" s="101" t="n"/>
      <c r="J2830" s="102" t="n"/>
    </row>
    <row r="2831" ht="15.75" customHeight="1" s="84"/>
    <row r="2832" ht="15.75" customHeight="1" s="84"/>
    <row r="2833" ht="15.75" customHeight="1" s="84">
      <c r="A2833" s="100">
        <f>IF(batches!A474="","",batches!A474)</f>
        <v/>
      </c>
      <c r="B2833" s="101" t="n"/>
      <c r="C2833" s="101" t="n"/>
      <c r="D2833" s="102" t="n"/>
      <c r="G2833" s="100">
        <f>IF(batches!A475="","",batches!A475)</f>
        <v/>
      </c>
      <c r="H2833" s="101" t="n"/>
      <c r="I2833" s="101" t="n"/>
      <c r="J2833" s="102" t="n"/>
    </row>
    <row r="2834" ht="15.75" customHeight="1" s="84">
      <c r="A2834" s="80" t="inlineStr">
        <is>
          <t>Level / Mode</t>
        </is>
      </c>
      <c r="B2834" s="103">
        <f>IF(A2833="","",batches!B474&amp;" / "&amp;batches!C474)</f>
        <v/>
      </c>
      <c r="C2834" s="101" t="n"/>
      <c r="D2834" s="102" t="n"/>
      <c r="G2834" s="80" t="inlineStr">
        <is>
          <t>Level / Mode</t>
        </is>
      </c>
      <c r="H2834" s="103">
        <f>IF(G2833="","",batches!B475&amp;" / "&amp;batches!C475)</f>
        <v/>
      </c>
      <c r="I2834" s="101" t="n"/>
      <c r="J2834" s="102" t="n"/>
    </row>
    <row r="2835" ht="15.75" customHeight="1" s="84">
      <c r="A2835" s="80" t="inlineStr">
        <is>
          <t>Dates</t>
        </is>
      </c>
      <c r="B2835" s="103">
        <f>IF(A2833="","",TEXT(batches!D474,"yyyy-mm-dd")&amp;" to "&amp;TEXT(batches!E474,"yyyy-mm-dd"))</f>
        <v/>
      </c>
      <c r="C2835" s="101" t="n"/>
      <c r="D2835" s="102" t="n"/>
      <c r="G2835" s="80" t="inlineStr">
        <is>
          <t>Dates</t>
        </is>
      </c>
      <c r="H2835" s="103">
        <f>IF(G2833="","",TEXT(batches!D475,"yyyy-mm-dd")&amp;" to "&amp;TEXT(batches!E475,"yyyy-mm-dd"))</f>
        <v/>
      </c>
      <c r="I2835" s="101" t="n"/>
      <c r="J2835" s="102" t="n"/>
    </row>
    <row r="2836" ht="15.75" customHeight="1" s="84">
      <c r="A2836" s="80" t="inlineStr">
        <is>
          <t>Duration</t>
        </is>
      </c>
      <c r="B2836" s="103">
        <f>IF(OR(batches!D474="",batches!E474=""),"",batches!E474-batches!D474+1&amp;" days")</f>
        <v/>
      </c>
      <c r="C2836" s="101" t="n"/>
      <c r="D2836" s="102" t="n"/>
      <c r="G2836" s="80" t="inlineStr">
        <is>
          <t>Duration</t>
        </is>
      </c>
      <c r="H2836" s="103">
        <f>IF(OR(batches!D475="",batches!E475=""),"",batches!E475-batches!D475+1&amp;" days")</f>
        <v/>
      </c>
      <c r="I2836" s="101" t="n"/>
      <c r="J2836" s="102" t="n"/>
    </row>
    <row r="2837" ht="15.75" customHeight="1" s="84">
      <c r="A2837" s="80" t="inlineStr">
        <is>
          <t>Timing</t>
        </is>
      </c>
      <c r="B2837" s="103">
        <f>IF(A2833="","",batches!F474)</f>
        <v/>
      </c>
      <c r="C2837" s="101" t="n"/>
      <c r="D2837" s="102" t="n"/>
      <c r="G2837" s="80" t="inlineStr">
        <is>
          <t>Timing</t>
        </is>
      </c>
      <c r="H2837" s="103">
        <f>IF(G2833="","",batches!F475)</f>
        <v/>
      </c>
      <c r="I2837" s="101" t="n"/>
      <c r="J2837" s="102" t="n"/>
    </row>
    <row r="2838" ht="15.75" customHeight="1" s="84">
      <c r="A2838" s="80" t="inlineStr">
        <is>
          <t>Capacity</t>
        </is>
      </c>
      <c r="B2838" s="103">
        <f>IF(A2833="","",batches!G474)</f>
        <v/>
      </c>
      <c r="C2838" s="101" t="n"/>
      <c r="D2838" s="102" t="n"/>
      <c r="G2838" s="80" t="inlineStr">
        <is>
          <t>Capacity</t>
        </is>
      </c>
      <c r="H2838" s="103">
        <f>IF(G2833="","",batches!G475)</f>
        <v/>
      </c>
      <c r="I2838" s="101" t="n"/>
      <c r="J2838" s="102" t="n"/>
    </row>
    <row r="2839" ht="15.75" customHeight="1" s="84">
      <c r="A2839" s="80" t="inlineStr">
        <is>
          <t>Enrolled</t>
        </is>
      </c>
      <c r="B2839" s="103">
        <f>IF(A2833="","",COUNTIF(admissions!$M:$M,batches!A474))</f>
        <v/>
      </c>
      <c r="C2839" s="101" t="n"/>
      <c r="D2839" s="102" t="n"/>
      <c r="G2839" s="80" t="inlineStr">
        <is>
          <t>Enrolled</t>
        </is>
      </c>
      <c r="H2839" s="103">
        <f>IF(G2833="","",COUNTIF(admissions!$M:$M,batches!A475))</f>
        <v/>
      </c>
      <c r="I2839" s="101" t="n"/>
      <c r="J2839" s="102" t="n"/>
    </row>
    <row r="2840" ht="15.75" customHeight="1" s="84">
      <c r="A2840" s="80" t="inlineStr">
        <is>
          <t>Available</t>
        </is>
      </c>
      <c r="B2840" s="103">
        <f>IF(OR(batches!A474="",batches!G474=""),"",batches!G474-COUNTIF(admissions!$M:$M,batches!A474))</f>
        <v/>
      </c>
      <c r="C2840" s="101" t="n"/>
      <c r="D2840" s="102" t="n"/>
      <c r="G2840" s="80" t="inlineStr">
        <is>
          <t>Available</t>
        </is>
      </c>
      <c r="H2840" s="103">
        <f>IF(OR(batches!A475="",batches!G475=""),"",batches!G475-COUNTIF(admissions!$M:$M,batches!A475))</f>
        <v/>
      </c>
      <c r="I2840" s="101" t="n"/>
      <c r="J2840" s="102" t="n"/>
    </row>
    <row r="2841" ht="15.75" customHeight="1" s="84">
      <c r="A2841" s="104" t="inlineStr">
        <is>
          <t>Student List</t>
        </is>
      </c>
      <c r="B2841" s="101" t="n"/>
      <c r="C2841" s="101" t="n"/>
      <c r="D2841" s="102" t="n"/>
      <c r="G2841" s="104" t="inlineStr">
        <is>
          <t>Student List</t>
        </is>
      </c>
      <c r="H2841" s="101" t="n"/>
      <c r="I2841" s="101" t="n"/>
      <c r="J2841" s="102" t="n"/>
    </row>
    <row r="2842" ht="15.75" customHeight="1" s="84">
      <c r="A2842" s="105">
        <f>IFERROR(__xludf.DUMMYFUNCTION("IF(batches!A474="""","""",TEXTJOIN(CHAR(10),TRUE,FILTER(admissions!$G$2:$G$78,admissions!$M$2:$M$78=batches!A474,"""")))"),"")</f>
        <v/>
      </c>
      <c r="B2842" s="101" t="n"/>
      <c r="C2842" s="101" t="n"/>
      <c r="D2842" s="102" t="n"/>
      <c r="G2842" s="105">
        <f>IFERROR(__xludf.DUMMYFUNCTION("IF(batches!A475="""","""",TEXTJOIN(CHAR(10),TRUE,FILTER(admissions!$G$2:$G$78,admissions!$M$2:$M$78=batches!A475,"""")))"),"")</f>
        <v/>
      </c>
      <c r="H2842" s="101" t="n"/>
      <c r="I2842" s="101" t="n"/>
      <c r="J2842" s="102" t="n"/>
    </row>
    <row r="2843" ht="15.75" customHeight="1" s="84"/>
    <row r="2844" ht="15.75" customHeight="1" s="84"/>
    <row r="2845" ht="15.75" customHeight="1" s="84">
      <c r="A2845" s="100">
        <f>IF(batches!A476="","",batches!A476)</f>
        <v/>
      </c>
      <c r="B2845" s="101" t="n"/>
      <c r="C2845" s="101" t="n"/>
      <c r="D2845" s="102" t="n"/>
      <c r="G2845" s="100">
        <f>IF(batches!A477="","",batches!A477)</f>
        <v/>
      </c>
      <c r="H2845" s="101" t="n"/>
      <c r="I2845" s="101" t="n"/>
      <c r="J2845" s="102" t="n"/>
    </row>
    <row r="2846" ht="15.75" customHeight="1" s="84">
      <c r="A2846" s="80" t="inlineStr">
        <is>
          <t>Level / Mode</t>
        </is>
      </c>
      <c r="B2846" s="103">
        <f>IF(A2845="","",batches!B476&amp;" / "&amp;batches!C476)</f>
        <v/>
      </c>
      <c r="C2846" s="101" t="n"/>
      <c r="D2846" s="102" t="n"/>
      <c r="G2846" s="80" t="inlineStr">
        <is>
          <t>Level / Mode</t>
        </is>
      </c>
      <c r="H2846" s="103">
        <f>IF(G2845="","",batches!B477&amp;" / "&amp;batches!C477)</f>
        <v/>
      </c>
      <c r="I2846" s="101" t="n"/>
      <c r="J2846" s="102" t="n"/>
    </row>
    <row r="2847" ht="15.75" customHeight="1" s="84">
      <c r="A2847" s="80" t="inlineStr">
        <is>
          <t>Dates</t>
        </is>
      </c>
      <c r="B2847" s="103">
        <f>IF(A2845="","",TEXT(batches!D476,"yyyy-mm-dd")&amp;" to "&amp;TEXT(batches!E476,"yyyy-mm-dd"))</f>
        <v/>
      </c>
      <c r="C2847" s="101" t="n"/>
      <c r="D2847" s="102" t="n"/>
      <c r="G2847" s="80" t="inlineStr">
        <is>
          <t>Dates</t>
        </is>
      </c>
      <c r="H2847" s="103">
        <f>IF(G2845="","",TEXT(batches!D477,"yyyy-mm-dd")&amp;" to "&amp;TEXT(batches!E477,"yyyy-mm-dd"))</f>
        <v/>
      </c>
      <c r="I2847" s="101" t="n"/>
      <c r="J2847" s="102" t="n"/>
    </row>
    <row r="2848" ht="15.75" customHeight="1" s="84">
      <c r="A2848" s="80" t="inlineStr">
        <is>
          <t>Duration</t>
        </is>
      </c>
      <c r="B2848" s="103">
        <f>IF(OR(batches!D476="",batches!E476=""),"",batches!E476-batches!D476+1&amp;" days")</f>
        <v/>
      </c>
      <c r="C2848" s="101" t="n"/>
      <c r="D2848" s="102" t="n"/>
      <c r="G2848" s="80" t="inlineStr">
        <is>
          <t>Duration</t>
        </is>
      </c>
      <c r="H2848" s="103">
        <f>IF(OR(batches!D477="",batches!E477=""),"",batches!E477-batches!D477+1&amp;" days")</f>
        <v/>
      </c>
      <c r="I2848" s="101" t="n"/>
      <c r="J2848" s="102" t="n"/>
    </row>
    <row r="2849" ht="15.75" customHeight="1" s="84">
      <c r="A2849" s="80" t="inlineStr">
        <is>
          <t>Timing</t>
        </is>
      </c>
      <c r="B2849" s="103">
        <f>IF(A2845="","",batches!F476)</f>
        <v/>
      </c>
      <c r="C2849" s="101" t="n"/>
      <c r="D2849" s="102" t="n"/>
      <c r="G2849" s="80" t="inlineStr">
        <is>
          <t>Timing</t>
        </is>
      </c>
      <c r="H2849" s="103">
        <f>IF(G2845="","",batches!F477)</f>
        <v/>
      </c>
      <c r="I2849" s="101" t="n"/>
      <c r="J2849" s="102" t="n"/>
    </row>
    <row r="2850" ht="15.75" customHeight="1" s="84">
      <c r="A2850" s="80" t="inlineStr">
        <is>
          <t>Capacity</t>
        </is>
      </c>
      <c r="B2850" s="103">
        <f>IF(A2845="","",batches!G476)</f>
        <v/>
      </c>
      <c r="C2850" s="101" t="n"/>
      <c r="D2850" s="102" t="n"/>
      <c r="G2850" s="80" t="inlineStr">
        <is>
          <t>Capacity</t>
        </is>
      </c>
      <c r="H2850" s="103">
        <f>IF(G2845="","",batches!G477)</f>
        <v/>
      </c>
      <c r="I2850" s="101" t="n"/>
      <c r="J2850" s="102" t="n"/>
    </row>
    <row r="2851" ht="15.75" customHeight="1" s="84">
      <c r="A2851" s="80" t="inlineStr">
        <is>
          <t>Enrolled</t>
        </is>
      </c>
      <c r="B2851" s="103">
        <f>IF(A2845="","",COUNTIF(admissions!$M:$M,batches!A476))</f>
        <v/>
      </c>
      <c r="C2851" s="101" t="n"/>
      <c r="D2851" s="102" t="n"/>
      <c r="G2851" s="80" t="inlineStr">
        <is>
          <t>Enrolled</t>
        </is>
      </c>
      <c r="H2851" s="103">
        <f>IF(G2845="","",COUNTIF(admissions!$M:$M,batches!A477))</f>
        <v/>
      </c>
      <c r="I2851" s="101" t="n"/>
      <c r="J2851" s="102" t="n"/>
    </row>
    <row r="2852" ht="15.75" customHeight="1" s="84">
      <c r="A2852" s="80" t="inlineStr">
        <is>
          <t>Available</t>
        </is>
      </c>
      <c r="B2852" s="103">
        <f>IF(OR(batches!A476="",batches!G476=""),"",batches!G476-COUNTIF(admissions!$M:$M,batches!A476))</f>
        <v/>
      </c>
      <c r="C2852" s="101" t="n"/>
      <c r="D2852" s="102" t="n"/>
      <c r="G2852" s="80" t="inlineStr">
        <is>
          <t>Available</t>
        </is>
      </c>
      <c r="H2852" s="103">
        <f>IF(OR(batches!A477="",batches!G477=""),"",batches!G477-COUNTIF(admissions!$M:$M,batches!A477))</f>
        <v/>
      </c>
      <c r="I2852" s="101" t="n"/>
      <c r="J2852" s="102" t="n"/>
    </row>
    <row r="2853" ht="15.75" customHeight="1" s="84">
      <c r="A2853" s="104" t="inlineStr">
        <is>
          <t>Student List</t>
        </is>
      </c>
      <c r="B2853" s="101" t="n"/>
      <c r="C2853" s="101" t="n"/>
      <c r="D2853" s="102" t="n"/>
      <c r="G2853" s="104" t="inlineStr">
        <is>
          <t>Student List</t>
        </is>
      </c>
      <c r="H2853" s="101" t="n"/>
      <c r="I2853" s="101" t="n"/>
      <c r="J2853" s="102" t="n"/>
    </row>
    <row r="2854" ht="15.75" customHeight="1" s="84">
      <c r="A2854" s="105">
        <f>IFERROR(__xludf.DUMMYFUNCTION("IF(batches!A476="""","""",TEXTJOIN(CHAR(10),TRUE,FILTER(admissions!$G$2:$G$78,admissions!$M$2:$M$78=batches!A476,"""")))"),"")</f>
        <v/>
      </c>
      <c r="B2854" s="101" t="n"/>
      <c r="C2854" s="101" t="n"/>
      <c r="D2854" s="102" t="n"/>
      <c r="G2854" s="105">
        <f>IFERROR(__xludf.DUMMYFUNCTION("IF(batches!A477="""","""",TEXTJOIN(CHAR(10),TRUE,FILTER(admissions!$G$2:$G$78,admissions!$M$2:$M$78=batches!A477,"""")))"),"")</f>
        <v/>
      </c>
      <c r="H2854" s="101" t="n"/>
      <c r="I2854" s="101" t="n"/>
      <c r="J2854" s="102" t="n"/>
    </row>
    <row r="2855" ht="15.75" customHeight="1" s="84"/>
    <row r="2856" ht="15.75" customHeight="1" s="84"/>
    <row r="2857" ht="15.75" customHeight="1" s="84">
      <c r="A2857" s="100">
        <f>IF(batches!A478="","",batches!A478)</f>
        <v/>
      </c>
      <c r="B2857" s="101" t="n"/>
      <c r="C2857" s="101" t="n"/>
      <c r="D2857" s="102" t="n"/>
      <c r="G2857" s="100">
        <f>IF(batches!A479="","",batches!A479)</f>
        <v/>
      </c>
      <c r="H2857" s="101" t="n"/>
      <c r="I2857" s="101" t="n"/>
      <c r="J2857" s="102" t="n"/>
    </row>
    <row r="2858" ht="15.75" customHeight="1" s="84">
      <c r="A2858" s="80" t="inlineStr">
        <is>
          <t>Level / Mode</t>
        </is>
      </c>
      <c r="B2858" s="103">
        <f>IF(A2857="","",batches!B478&amp;" / "&amp;batches!C478)</f>
        <v/>
      </c>
      <c r="C2858" s="101" t="n"/>
      <c r="D2858" s="102" t="n"/>
      <c r="G2858" s="80" t="inlineStr">
        <is>
          <t>Level / Mode</t>
        </is>
      </c>
      <c r="H2858" s="103">
        <f>IF(G2857="","",batches!B479&amp;" / "&amp;batches!C479)</f>
        <v/>
      </c>
      <c r="I2858" s="101" t="n"/>
      <c r="J2858" s="102" t="n"/>
    </row>
    <row r="2859" ht="15.75" customHeight="1" s="84">
      <c r="A2859" s="80" t="inlineStr">
        <is>
          <t>Dates</t>
        </is>
      </c>
      <c r="B2859" s="103">
        <f>IF(A2857="","",TEXT(batches!D478,"yyyy-mm-dd")&amp;" to "&amp;TEXT(batches!E478,"yyyy-mm-dd"))</f>
        <v/>
      </c>
      <c r="C2859" s="101" t="n"/>
      <c r="D2859" s="102" t="n"/>
      <c r="G2859" s="80" t="inlineStr">
        <is>
          <t>Dates</t>
        </is>
      </c>
      <c r="H2859" s="103">
        <f>IF(G2857="","",TEXT(batches!D479,"yyyy-mm-dd")&amp;" to "&amp;TEXT(batches!E479,"yyyy-mm-dd"))</f>
        <v/>
      </c>
      <c r="I2859" s="101" t="n"/>
      <c r="J2859" s="102" t="n"/>
    </row>
    <row r="2860" ht="15.75" customHeight="1" s="84">
      <c r="A2860" s="80" t="inlineStr">
        <is>
          <t>Duration</t>
        </is>
      </c>
      <c r="B2860" s="103">
        <f>IF(OR(batches!D478="",batches!E478=""),"",batches!E478-batches!D478+1&amp;" days")</f>
        <v/>
      </c>
      <c r="C2860" s="101" t="n"/>
      <c r="D2860" s="102" t="n"/>
      <c r="G2860" s="80" t="inlineStr">
        <is>
          <t>Duration</t>
        </is>
      </c>
      <c r="H2860" s="103">
        <f>IF(OR(batches!D479="",batches!E479=""),"",batches!E479-batches!D479+1&amp;" days")</f>
        <v/>
      </c>
      <c r="I2860" s="101" t="n"/>
      <c r="J2860" s="102" t="n"/>
    </row>
    <row r="2861" ht="15.75" customHeight="1" s="84">
      <c r="A2861" s="80" t="inlineStr">
        <is>
          <t>Timing</t>
        </is>
      </c>
      <c r="B2861" s="103">
        <f>IF(A2857="","",batches!F478)</f>
        <v/>
      </c>
      <c r="C2861" s="101" t="n"/>
      <c r="D2861" s="102" t="n"/>
      <c r="G2861" s="80" t="inlineStr">
        <is>
          <t>Timing</t>
        </is>
      </c>
      <c r="H2861" s="103">
        <f>IF(G2857="","",batches!F479)</f>
        <v/>
      </c>
      <c r="I2861" s="101" t="n"/>
      <c r="J2861" s="102" t="n"/>
    </row>
    <row r="2862" ht="15.75" customHeight="1" s="84">
      <c r="A2862" s="80" t="inlineStr">
        <is>
          <t>Capacity</t>
        </is>
      </c>
      <c r="B2862" s="103">
        <f>IF(A2857="","",batches!G478)</f>
        <v/>
      </c>
      <c r="C2862" s="101" t="n"/>
      <c r="D2862" s="102" t="n"/>
      <c r="G2862" s="80" t="inlineStr">
        <is>
          <t>Capacity</t>
        </is>
      </c>
      <c r="H2862" s="103">
        <f>IF(G2857="","",batches!G479)</f>
        <v/>
      </c>
      <c r="I2862" s="101" t="n"/>
      <c r="J2862" s="102" t="n"/>
    </row>
    <row r="2863" ht="15.75" customHeight="1" s="84">
      <c r="A2863" s="80" t="inlineStr">
        <is>
          <t>Enrolled</t>
        </is>
      </c>
      <c r="B2863" s="103">
        <f>IF(A2857="","",COUNTIF(admissions!$M:$M,batches!A478))</f>
        <v/>
      </c>
      <c r="C2863" s="101" t="n"/>
      <c r="D2863" s="102" t="n"/>
      <c r="G2863" s="80" t="inlineStr">
        <is>
          <t>Enrolled</t>
        </is>
      </c>
      <c r="H2863" s="103">
        <f>IF(G2857="","",COUNTIF(admissions!$M:$M,batches!A479))</f>
        <v/>
      </c>
      <c r="I2863" s="101" t="n"/>
      <c r="J2863" s="102" t="n"/>
    </row>
    <row r="2864" ht="15.75" customHeight="1" s="84">
      <c r="A2864" s="80" t="inlineStr">
        <is>
          <t>Available</t>
        </is>
      </c>
      <c r="B2864" s="103">
        <f>IF(OR(batches!A478="",batches!G478=""),"",batches!G478-COUNTIF(admissions!$M:$M,batches!A478))</f>
        <v/>
      </c>
      <c r="C2864" s="101" t="n"/>
      <c r="D2864" s="102" t="n"/>
      <c r="G2864" s="80" t="inlineStr">
        <is>
          <t>Available</t>
        </is>
      </c>
      <c r="H2864" s="103">
        <f>IF(OR(batches!A479="",batches!G479=""),"",batches!G479-COUNTIF(admissions!$M:$M,batches!A479))</f>
        <v/>
      </c>
      <c r="I2864" s="101" t="n"/>
      <c r="J2864" s="102" t="n"/>
    </row>
    <row r="2865" ht="15.75" customHeight="1" s="84">
      <c r="A2865" s="104" t="inlineStr">
        <is>
          <t>Student List</t>
        </is>
      </c>
      <c r="B2865" s="101" t="n"/>
      <c r="C2865" s="101" t="n"/>
      <c r="D2865" s="102" t="n"/>
      <c r="G2865" s="104" t="inlineStr">
        <is>
          <t>Student List</t>
        </is>
      </c>
      <c r="H2865" s="101" t="n"/>
      <c r="I2865" s="101" t="n"/>
      <c r="J2865" s="102" t="n"/>
    </row>
    <row r="2866" ht="15.75" customHeight="1" s="84">
      <c r="A2866" s="105">
        <f>IFERROR(__xludf.DUMMYFUNCTION("IF(batches!A478="""","""",TEXTJOIN(CHAR(10),TRUE,FILTER(admissions!$G$2:$G$78,admissions!$M$2:$M$78=batches!A478,"""")))"),"")</f>
        <v/>
      </c>
      <c r="B2866" s="101" t="n"/>
      <c r="C2866" s="101" t="n"/>
      <c r="D2866" s="102" t="n"/>
      <c r="G2866" s="105">
        <f>IFERROR(__xludf.DUMMYFUNCTION("IF(batches!A479="""","""",TEXTJOIN(CHAR(10),TRUE,FILTER(admissions!$G$2:$G$78,admissions!$M$2:$M$78=batches!A479,"""")))"),"")</f>
        <v/>
      </c>
      <c r="H2866" s="101" t="n"/>
      <c r="I2866" s="101" t="n"/>
      <c r="J2866" s="102" t="n"/>
    </row>
    <row r="2867" ht="15.75" customHeight="1" s="84"/>
    <row r="2868" ht="15.75" customHeight="1" s="84"/>
    <row r="2869" ht="15.75" customHeight="1" s="84">
      <c r="A2869" s="100">
        <f>IF(batches!A480="","",batches!A480)</f>
        <v/>
      </c>
      <c r="B2869" s="101" t="n"/>
      <c r="C2869" s="101" t="n"/>
      <c r="D2869" s="102" t="n"/>
      <c r="G2869" s="100">
        <f>IF(batches!A481="","",batches!A481)</f>
        <v/>
      </c>
      <c r="H2869" s="101" t="n"/>
      <c r="I2869" s="101" t="n"/>
      <c r="J2869" s="102" t="n"/>
    </row>
    <row r="2870" ht="15.75" customHeight="1" s="84">
      <c r="A2870" s="80" t="inlineStr">
        <is>
          <t>Level / Mode</t>
        </is>
      </c>
      <c r="B2870" s="103">
        <f>IF(A2869="","",batches!B480&amp;" / "&amp;batches!C480)</f>
        <v/>
      </c>
      <c r="C2870" s="101" t="n"/>
      <c r="D2870" s="102" t="n"/>
      <c r="G2870" s="80" t="inlineStr">
        <is>
          <t>Level / Mode</t>
        </is>
      </c>
      <c r="H2870" s="103">
        <f>IF(G2869="","",batches!B481&amp;" / "&amp;batches!C481)</f>
        <v/>
      </c>
      <c r="I2870" s="101" t="n"/>
      <c r="J2870" s="102" t="n"/>
    </row>
    <row r="2871" ht="15.75" customHeight="1" s="84">
      <c r="A2871" s="80" t="inlineStr">
        <is>
          <t>Dates</t>
        </is>
      </c>
      <c r="B2871" s="103">
        <f>IF(A2869="","",TEXT(batches!D480,"yyyy-mm-dd")&amp;" to "&amp;TEXT(batches!E480,"yyyy-mm-dd"))</f>
        <v/>
      </c>
      <c r="C2871" s="101" t="n"/>
      <c r="D2871" s="102" t="n"/>
      <c r="G2871" s="80" t="inlineStr">
        <is>
          <t>Dates</t>
        </is>
      </c>
      <c r="H2871" s="103">
        <f>IF(G2869="","",TEXT(batches!D481,"yyyy-mm-dd")&amp;" to "&amp;TEXT(batches!E481,"yyyy-mm-dd"))</f>
        <v/>
      </c>
      <c r="I2871" s="101" t="n"/>
      <c r="J2871" s="102" t="n"/>
    </row>
    <row r="2872" ht="15.75" customHeight="1" s="84">
      <c r="A2872" s="80" t="inlineStr">
        <is>
          <t>Duration</t>
        </is>
      </c>
      <c r="B2872" s="103">
        <f>IF(OR(batches!D480="",batches!E480=""),"",batches!E480-batches!D480+1&amp;" days")</f>
        <v/>
      </c>
      <c r="C2872" s="101" t="n"/>
      <c r="D2872" s="102" t="n"/>
      <c r="G2872" s="80" t="inlineStr">
        <is>
          <t>Duration</t>
        </is>
      </c>
      <c r="H2872" s="103">
        <f>IF(OR(batches!D481="",batches!E481=""),"",batches!E481-batches!D481+1&amp;" days")</f>
        <v/>
      </c>
      <c r="I2872" s="101" t="n"/>
      <c r="J2872" s="102" t="n"/>
    </row>
    <row r="2873" ht="15.75" customHeight="1" s="84">
      <c r="A2873" s="80" t="inlineStr">
        <is>
          <t>Timing</t>
        </is>
      </c>
      <c r="B2873" s="103">
        <f>IF(A2869="","",batches!F480)</f>
        <v/>
      </c>
      <c r="C2873" s="101" t="n"/>
      <c r="D2873" s="102" t="n"/>
      <c r="G2873" s="80" t="inlineStr">
        <is>
          <t>Timing</t>
        </is>
      </c>
      <c r="H2873" s="103">
        <f>IF(G2869="","",batches!F481)</f>
        <v/>
      </c>
      <c r="I2873" s="101" t="n"/>
      <c r="J2873" s="102" t="n"/>
    </row>
    <row r="2874" ht="15.75" customHeight="1" s="84">
      <c r="A2874" s="80" t="inlineStr">
        <is>
          <t>Capacity</t>
        </is>
      </c>
      <c r="B2874" s="103">
        <f>IF(A2869="","",batches!G480)</f>
        <v/>
      </c>
      <c r="C2874" s="101" t="n"/>
      <c r="D2874" s="102" t="n"/>
      <c r="G2874" s="80" t="inlineStr">
        <is>
          <t>Capacity</t>
        </is>
      </c>
      <c r="H2874" s="103">
        <f>IF(G2869="","",batches!G481)</f>
        <v/>
      </c>
      <c r="I2874" s="101" t="n"/>
      <c r="J2874" s="102" t="n"/>
    </row>
    <row r="2875" ht="15.75" customHeight="1" s="84">
      <c r="A2875" s="80" t="inlineStr">
        <is>
          <t>Enrolled</t>
        </is>
      </c>
      <c r="B2875" s="103">
        <f>IF(A2869="","",COUNTIF(admissions!$M:$M,batches!A480))</f>
        <v/>
      </c>
      <c r="C2875" s="101" t="n"/>
      <c r="D2875" s="102" t="n"/>
      <c r="G2875" s="80" t="inlineStr">
        <is>
          <t>Enrolled</t>
        </is>
      </c>
      <c r="H2875" s="103">
        <f>IF(G2869="","",COUNTIF(admissions!$M:$M,batches!A481))</f>
        <v/>
      </c>
      <c r="I2875" s="101" t="n"/>
      <c r="J2875" s="102" t="n"/>
    </row>
    <row r="2876" ht="15.75" customHeight="1" s="84">
      <c r="A2876" s="80" t="inlineStr">
        <is>
          <t>Available</t>
        </is>
      </c>
      <c r="B2876" s="103">
        <f>IF(OR(batches!A480="",batches!G480=""),"",batches!G480-COUNTIF(admissions!$M:$M,batches!A480))</f>
        <v/>
      </c>
      <c r="C2876" s="101" t="n"/>
      <c r="D2876" s="102" t="n"/>
      <c r="G2876" s="80" t="inlineStr">
        <is>
          <t>Available</t>
        </is>
      </c>
      <c r="H2876" s="103">
        <f>IF(OR(batches!A481="",batches!G481=""),"",batches!G481-COUNTIF(admissions!$M:$M,batches!A481))</f>
        <v/>
      </c>
      <c r="I2876" s="101" t="n"/>
      <c r="J2876" s="102" t="n"/>
    </row>
    <row r="2877" ht="15.75" customHeight="1" s="84">
      <c r="A2877" s="104" t="inlineStr">
        <is>
          <t>Student List</t>
        </is>
      </c>
      <c r="B2877" s="101" t="n"/>
      <c r="C2877" s="101" t="n"/>
      <c r="D2877" s="102" t="n"/>
      <c r="G2877" s="104" t="inlineStr">
        <is>
          <t>Student List</t>
        </is>
      </c>
      <c r="H2877" s="101" t="n"/>
      <c r="I2877" s="101" t="n"/>
      <c r="J2877" s="102" t="n"/>
    </row>
    <row r="2878" ht="15.75" customHeight="1" s="84">
      <c r="A2878" s="105">
        <f>IFERROR(__xludf.DUMMYFUNCTION("IF(batches!A480="""","""",TEXTJOIN(CHAR(10),TRUE,FILTER(admissions!$G$2:$G$78,admissions!$M$2:$M$78=batches!A480,"""")))"),"")</f>
        <v/>
      </c>
      <c r="B2878" s="101" t="n"/>
      <c r="C2878" s="101" t="n"/>
      <c r="D2878" s="102" t="n"/>
      <c r="G2878" s="105">
        <f>IFERROR(__xludf.DUMMYFUNCTION("IF(batches!A481="""","""",TEXTJOIN(CHAR(10),TRUE,FILTER(admissions!$G$2:$G$78,admissions!$M$2:$M$78=batches!A481,"""")))"),"")</f>
        <v/>
      </c>
      <c r="H2878" s="101" t="n"/>
      <c r="I2878" s="101" t="n"/>
      <c r="J2878" s="102" t="n"/>
    </row>
    <row r="2879" ht="15.75" customHeight="1" s="84"/>
    <row r="2880" ht="15.75" customHeight="1" s="84"/>
    <row r="2881" ht="15.75" customHeight="1" s="84">
      <c r="A2881" s="100">
        <f>IF(batches!A482="","",batches!A482)</f>
        <v/>
      </c>
      <c r="B2881" s="101" t="n"/>
      <c r="C2881" s="101" t="n"/>
      <c r="D2881" s="102" t="n"/>
      <c r="G2881" s="100">
        <f>IF(batches!A483="","",batches!A483)</f>
        <v/>
      </c>
      <c r="H2881" s="101" t="n"/>
      <c r="I2881" s="101" t="n"/>
      <c r="J2881" s="102" t="n"/>
    </row>
    <row r="2882" ht="15.75" customHeight="1" s="84">
      <c r="A2882" s="80" t="inlineStr">
        <is>
          <t>Level / Mode</t>
        </is>
      </c>
      <c r="B2882" s="103">
        <f>IF(A2881="","",batches!B482&amp;" / "&amp;batches!C482)</f>
        <v/>
      </c>
      <c r="C2882" s="101" t="n"/>
      <c r="D2882" s="102" t="n"/>
      <c r="G2882" s="80" t="inlineStr">
        <is>
          <t>Level / Mode</t>
        </is>
      </c>
      <c r="H2882" s="103">
        <f>IF(G2881="","",batches!B483&amp;" / "&amp;batches!C483)</f>
        <v/>
      </c>
      <c r="I2882" s="101" t="n"/>
      <c r="J2882" s="102" t="n"/>
    </row>
    <row r="2883" ht="15.75" customHeight="1" s="84">
      <c r="A2883" s="80" t="inlineStr">
        <is>
          <t>Dates</t>
        </is>
      </c>
      <c r="B2883" s="103">
        <f>IF(A2881="","",TEXT(batches!D482,"yyyy-mm-dd")&amp;" to "&amp;TEXT(batches!E482,"yyyy-mm-dd"))</f>
        <v/>
      </c>
      <c r="C2883" s="101" t="n"/>
      <c r="D2883" s="102" t="n"/>
      <c r="G2883" s="80" t="inlineStr">
        <is>
          <t>Dates</t>
        </is>
      </c>
      <c r="H2883" s="103">
        <f>IF(G2881="","",TEXT(batches!D483,"yyyy-mm-dd")&amp;" to "&amp;TEXT(batches!E483,"yyyy-mm-dd"))</f>
        <v/>
      </c>
      <c r="I2883" s="101" t="n"/>
      <c r="J2883" s="102" t="n"/>
    </row>
    <row r="2884" ht="15.75" customHeight="1" s="84">
      <c r="A2884" s="80" t="inlineStr">
        <is>
          <t>Duration</t>
        </is>
      </c>
      <c r="B2884" s="103">
        <f>IF(OR(batches!D482="",batches!E482=""),"",batches!E482-batches!D482+1&amp;" days")</f>
        <v/>
      </c>
      <c r="C2884" s="101" t="n"/>
      <c r="D2884" s="102" t="n"/>
      <c r="G2884" s="80" t="inlineStr">
        <is>
          <t>Duration</t>
        </is>
      </c>
      <c r="H2884" s="103">
        <f>IF(OR(batches!D483="",batches!E483=""),"",batches!E483-batches!D483+1&amp;" days")</f>
        <v/>
      </c>
      <c r="I2884" s="101" t="n"/>
      <c r="J2884" s="102" t="n"/>
    </row>
    <row r="2885" ht="15.75" customHeight="1" s="84">
      <c r="A2885" s="80" t="inlineStr">
        <is>
          <t>Timing</t>
        </is>
      </c>
      <c r="B2885" s="103">
        <f>IF(A2881="","",batches!F482)</f>
        <v/>
      </c>
      <c r="C2885" s="101" t="n"/>
      <c r="D2885" s="102" t="n"/>
      <c r="G2885" s="80" t="inlineStr">
        <is>
          <t>Timing</t>
        </is>
      </c>
      <c r="H2885" s="103">
        <f>IF(G2881="","",batches!F483)</f>
        <v/>
      </c>
      <c r="I2885" s="101" t="n"/>
      <c r="J2885" s="102" t="n"/>
    </row>
    <row r="2886" ht="15.75" customHeight="1" s="84">
      <c r="A2886" s="80" t="inlineStr">
        <is>
          <t>Capacity</t>
        </is>
      </c>
      <c r="B2886" s="103">
        <f>IF(A2881="","",batches!G482)</f>
        <v/>
      </c>
      <c r="C2886" s="101" t="n"/>
      <c r="D2886" s="102" t="n"/>
      <c r="G2886" s="80" t="inlineStr">
        <is>
          <t>Capacity</t>
        </is>
      </c>
      <c r="H2886" s="103">
        <f>IF(G2881="","",batches!G483)</f>
        <v/>
      </c>
      <c r="I2886" s="101" t="n"/>
      <c r="J2886" s="102" t="n"/>
    </row>
    <row r="2887" ht="15.75" customHeight="1" s="84">
      <c r="A2887" s="80" t="inlineStr">
        <is>
          <t>Enrolled</t>
        </is>
      </c>
      <c r="B2887" s="103">
        <f>IF(A2881="","",COUNTIF(admissions!$M:$M,batches!A482))</f>
        <v/>
      </c>
      <c r="C2887" s="101" t="n"/>
      <c r="D2887" s="102" t="n"/>
      <c r="G2887" s="80" t="inlineStr">
        <is>
          <t>Enrolled</t>
        </is>
      </c>
      <c r="H2887" s="103">
        <f>IF(G2881="","",COUNTIF(admissions!$M:$M,batches!A483))</f>
        <v/>
      </c>
      <c r="I2887" s="101" t="n"/>
      <c r="J2887" s="102" t="n"/>
    </row>
    <row r="2888" ht="15.75" customHeight="1" s="84">
      <c r="A2888" s="80" t="inlineStr">
        <is>
          <t>Available</t>
        </is>
      </c>
      <c r="B2888" s="103">
        <f>IF(OR(batches!A482="",batches!G482=""),"",batches!G482-COUNTIF(admissions!$M:$M,batches!A482))</f>
        <v/>
      </c>
      <c r="C2888" s="101" t="n"/>
      <c r="D2888" s="102" t="n"/>
      <c r="G2888" s="80" t="inlineStr">
        <is>
          <t>Available</t>
        </is>
      </c>
      <c r="H2888" s="103">
        <f>IF(OR(batches!A483="",batches!G483=""),"",batches!G483-COUNTIF(admissions!$M:$M,batches!A483))</f>
        <v/>
      </c>
      <c r="I2888" s="101" t="n"/>
      <c r="J2888" s="102" t="n"/>
    </row>
    <row r="2889" ht="15.75" customHeight="1" s="84">
      <c r="A2889" s="104" t="inlineStr">
        <is>
          <t>Student List</t>
        </is>
      </c>
      <c r="B2889" s="101" t="n"/>
      <c r="C2889" s="101" t="n"/>
      <c r="D2889" s="102" t="n"/>
      <c r="G2889" s="104" t="inlineStr">
        <is>
          <t>Student List</t>
        </is>
      </c>
      <c r="H2889" s="101" t="n"/>
      <c r="I2889" s="101" t="n"/>
      <c r="J2889" s="102" t="n"/>
    </row>
    <row r="2890" ht="15.75" customHeight="1" s="84">
      <c r="A2890" s="105">
        <f>IFERROR(__xludf.DUMMYFUNCTION("IF(batches!A482="""","""",TEXTJOIN(CHAR(10),TRUE,FILTER(admissions!$G$2:$G$78,admissions!$M$2:$M$78=batches!A482,"""")))"),"")</f>
        <v/>
      </c>
      <c r="B2890" s="101" t="n"/>
      <c r="C2890" s="101" t="n"/>
      <c r="D2890" s="102" t="n"/>
      <c r="G2890" s="105">
        <f>IFERROR(__xludf.DUMMYFUNCTION("IF(batches!A483="""","""",TEXTJOIN(CHAR(10),TRUE,FILTER(admissions!$G$2:$G$78,admissions!$M$2:$M$78=batches!A483,"""")))"),"")</f>
        <v/>
      </c>
      <c r="H2890" s="101" t="n"/>
      <c r="I2890" s="101" t="n"/>
      <c r="J2890" s="102" t="n"/>
    </row>
    <row r="2891" ht="15.75" customHeight="1" s="84"/>
    <row r="2892" ht="15.75" customHeight="1" s="84"/>
    <row r="2893" ht="15.75" customHeight="1" s="84">
      <c r="A2893" s="100">
        <f>IF(batches!A484="","",batches!A484)</f>
        <v/>
      </c>
      <c r="B2893" s="101" t="n"/>
      <c r="C2893" s="101" t="n"/>
      <c r="D2893" s="102" t="n"/>
      <c r="G2893" s="100">
        <f>IF(batches!A485="","",batches!A485)</f>
        <v/>
      </c>
      <c r="H2893" s="101" t="n"/>
      <c r="I2893" s="101" t="n"/>
      <c r="J2893" s="102" t="n"/>
    </row>
    <row r="2894" ht="15.75" customHeight="1" s="84">
      <c r="A2894" s="80" t="inlineStr">
        <is>
          <t>Level / Mode</t>
        </is>
      </c>
      <c r="B2894" s="103">
        <f>IF(A2893="","",batches!B484&amp;" / "&amp;batches!C484)</f>
        <v/>
      </c>
      <c r="C2894" s="101" t="n"/>
      <c r="D2894" s="102" t="n"/>
      <c r="G2894" s="80" t="inlineStr">
        <is>
          <t>Level / Mode</t>
        </is>
      </c>
      <c r="H2894" s="103">
        <f>IF(G2893="","",batches!B485&amp;" / "&amp;batches!C485)</f>
        <v/>
      </c>
      <c r="I2894" s="101" t="n"/>
      <c r="J2894" s="102" t="n"/>
    </row>
    <row r="2895" ht="15.75" customHeight="1" s="84">
      <c r="A2895" s="80" t="inlineStr">
        <is>
          <t>Dates</t>
        </is>
      </c>
      <c r="B2895" s="103">
        <f>IF(A2893="","",TEXT(batches!D484,"yyyy-mm-dd")&amp;" to "&amp;TEXT(batches!E484,"yyyy-mm-dd"))</f>
        <v/>
      </c>
      <c r="C2895" s="101" t="n"/>
      <c r="D2895" s="102" t="n"/>
      <c r="G2895" s="80" t="inlineStr">
        <is>
          <t>Dates</t>
        </is>
      </c>
      <c r="H2895" s="103">
        <f>IF(G2893="","",TEXT(batches!D485,"yyyy-mm-dd")&amp;" to "&amp;TEXT(batches!E485,"yyyy-mm-dd"))</f>
        <v/>
      </c>
      <c r="I2895" s="101" t="n"/>
      <c r="J2895" s="102" t="n"/>
    </row>
    <row r="2896" ht="15.75" customHeight="1" s="84">
      <c r="A2896" s="80" t="inlineStr">
        <is>
          <t>Duration</t>
        </is>
      </c>
      <c r="B2896" s="103">
        <f>IF(OR(batches!D484="",batches!E484=""),"",batches!E484-batches!D484+1&amp;" days")</f>
        <v/>
      </c>
      <c r="C2896" s="101" t="n"/>
      <c r="D2896" s="102" t="n"/>
      <c r="G2896" s="80" t="inlineStr">
        <is>
          <t>Duration</t>
        </is>
      </c>
      <c r="H2896" s="103">
        <f>IF(OR(batches!D485="",batches!E485=""),"",batches!E485-batches!D485+1&amp;" days")</f>
        <v/>
      </c>
      <c r="I2896" s="101" t="n"/>
      <c r="J2896" s="102" t="n"/>
    </row>
    <row r="2897" ht="15.75" customHeight="1" s="84">
      <c r="A2897" s="80" t="inlineStr">
        <is>
          <t>Timing</t>
        </is>
      </c>
      <c r="B2897" s="103">
        <f>IF(A2893="","",batches!F484)</f>
        <v/>
      </c>
      <c r="C2897" s="101" t="n"/>
      <c r="D2897" s="102" t="n"/>
      <c r="G2897" s="80" t="inlineStr">
        <is>
          <t>Timing</t>
        </is>
      </c>
      <c r="H2897" s="103">
        <f>IF(G2893="","",batches!F485)</f>
        <v/>
      </c>
      <c r="I2897" s="101" t="n"/>
      <c r="J2897" s="102" t="n"/>
    </row>
    <row r="2898" ht="15.75" customHeight="1" s="84">
      <c r="A2898" s="80" t="inlineStr">
        <is>
          <t>Capacity</t>
        </is>
      </c>
      <c r="B2898" s="103">
        <f>IF(A2893="","",batches!G484)</f>
        <v/>
      </c>
      <c r="C2898" s="101" t="n"/>
      <c r="D2898" s="102" t="n"/>
      <c r="G2898" s="80" t="inlineStr">
        <is>
          <t>Capacity</t>
        </is>
      </c>
      <c r="H2898" s="103">
        <f>IF(G2893="","",batches!G485)</f>
        <v/>
      </c>
      <c r="I2898" s="101" t="n"/>
      <c r="J2898" s="102" t="n"/>
    </row>
    <row r="2899" ht="15.75" customHeight="1" s="84">
      <c r="A2899" s="80" t="inlineStr">
        <is>
          <t>Enrolled</t>
        </is>
      </c>
      <c r="B2899" s="103">
        <f>IF(A2893="","",COUNTIF(admissions!$M:$M,batches!A484))</f>
        <v/>
      </c>
      <c r="C2899" s="101" t="n"/>
      <c r="D2899" s="102" t="n"/>
      <c r="G2899" s="80" t="inlineStr">
        <is>
          <t>Enrolled</t>
        </is>
      </c>
      <c r="H2899" s="103">
        <f>IF(G2893="","",COUNTIF(admissions!$M:$M,batches!A485))</f>
        <v/>
      </c>
      <c r="I2899" s="101" t="n"/>
      <c r="J2899" s="102" t="n"/>
    </row>
    <row r="2900" ht="15.75" customHeight="1" s="84">
      <c r="A2900" s="80" t="inlineStr">
        <is>
          <t>Available</t>
        </is>
      </c>
      <c r="B2900" s="103">
        <f>IF(OR(batches!A484="",batches!G484=""),"",batches!G484-COUNTIF(admissions!$M:$M,batches!A484))</f>
        <v/>
      </c>
      <c r="C2900" s="101" t="n"/>
      <c r="D2900" s="102" t="n"/>
      <c r="G2900" s="80" t="inlineStr">
        <is>
          <t>Available</t>
        </is>
      </c>
      <c r="H2900" s="103">
        <f>IF(OR(batches!A485="",batches!G485=""),"",batches!G485-COUNTIF(admissions!$M:$M,batches!A485))</f>
        <v/>
      </c>
      <c r="I2900" s="101" t="n"/>
      <c r="J2900" s="102" t="n"/>
    </row>
    <row r="2901" ht="15.75" customHeight="1" s="84">
      <c r="A2901" s="104" t="inlineStr">
        <is>
          <t>Student List</t>
        </is>
      </c>
      <c r="B2901" s="101" t="n"/>
      <c r="C2901" s="101" t="n"/>
      <c r="D2901" s="102" t="n"/>
      <c r="G2901" s="104" t="inlineStr">
        <is>
          <t>Student List</t>
        </is>
      </c>
      <c r="H2901" s="101" t="n"/>
      <c r="I2901" s="101" t="n"/>
      <c r="J2901" s="102" t="n"/>
    </row>
    <row r="2902" ht="15.75" customHeight="1" s="84">
      <c r="A2902" s="105">
        <f>IFERROR(__xludf.DUMMYFUNCTION("IF(batches!A484="""","""",TEXTJOIN(CHAR(10),TRUE,FILTER(admissions!$G$2:$G$78,admissions!$M$2:$M$78=batches!A484,"""")))"),"")</f>
        <v/>
      </c>
      <c r="B2902" s="101" t="n"/>
      <c r="C2902" s="101" t="n"/>
      <c r="D2902" s="102" t="n"/>
      <c r="G2902" s="105">
        <f>IFERROR(__xludf.DUMMYFUNCTION("IF(batches!A485="""","""",TEXTJOIN(CHAR(10),TRUE,FILTER(admissions!$G$2:$G$78,admissions!$M$2:$M$78=batches!A485,"""")))"),"")</f>
        <v/>
      </c>
      <c r="H2902" s="101" t="n"/>
      <c r="I2902" s="101" t="n"/>
      <c r="J2902" s="102" t="n"/>
    </row>
    <row r="2903" ht="15.75" customHeight="1" s="84"/>
    <row r="2904" ht="15.75" customHeight="1" s="84"/>
    <row r="2905" ht="15.75" customHeight="1" s="84">
      <c r="A2905" s="100">
        <f>IF(batches!A486="","",batches!A486)</f>
        <v/>
      </c>
      <c r="B2905" s="101" t="n"/>
      <c r="C2905" s="101" t="n"/>
      <c r="D2905" s="102" t="n"/>
      <c r="G2905" s="100">
        <f>IF(batches!A487="","",batches!A487)</f>
        <v/>
      </c>
      <c r="H2905" s="101" t="n"/>
      <c r="I2905" s="101" t="n"/>
      <c r="J2905" s="102" t="n"/>
    </row>
    <row r="2906" ht="15.75" customHeight="1" s="84">
      <c r="A2906" s="80" t="inlineStr">
        <is>
          <t>Level / Mode</t>
        </is>
      </c>
      <c r="B2906" s="103">
        <f>IF(A2905="","",batches!B486&amp;" / "&amp;batches!C486)</f>
        <v/>
      </c>
      <c r="C2906" s="101" t="n"/>
      <c r="D2906" s="102" t="n"/>
      <c r="G2906" s="80" t="inlineStr">
        <is>
          <t>Level / Mode</t>
        </is>
      </c>
      <c r="H2906" s="103">
        <f>IF(G2905="","",batches!B487&amp;" / "&amp;batches!C487)</f>
        <v/>
      </c>
      <c r="I2906" s="101" t="n"/>
      <c r="J2906" s="102" t="n"/>
    </row>
    <row r="2907" ht="15.75" customHeight="1" s="84">
      <c r="A2907" s="80" t="inlineStr">
        <is>
          <t>Dates</t>
        </is>
      </c>
      <c r="B2907" s="103">
        <f>IF(A2905="","",TEXT(batches!D486,"yyyy-mm-dd")&amp;" to "&amp;TEXT(batches!E486,"yyyy-mm-dd"))</f>
        <v/>
      </c>
      <c r="C2907" s="101" t="n"/>
      <c r="D2907" s="102" t="n"/>
      <c r="G2907" s="80" t="inlineStr">
        <is>
          <t>Dates</t>
        </is>
      </c>
      <c r="H2907" s="103">
        <f>IF(G2905="","",TEXT(batches!D487,"yyyy-mm-dd")&amp;" to "&amp;TEXT(batches!E487,"yyyy-mm-dd"))</f>
        <v/>
      </c>
      <c r="I2907" s="101" t="n"/>
      <c r="J2907" s="102" t="n"/>
    </row>
    <row r="2908" ht="15.75" customHeight="1" s="84">
      <c r="A2908" s="80" t="inlineStr">
        <is>
          <t>Duration</t>
        </is>
      </c>
      <c r="B2908" s="103">
        <f>IF(OR(batches!D486="",batches!E486=""),"",batches!E486-batches!D486+1&amp;" days")</f>
        <v/>
      </c>
      <c r="C2908" s="101" t="n"/>
      <c r="D2908" s="102" t="n"/>
      <c r="G2908" s="80" t="inlineStr">
        <is>
          <t>Duration</t>
        </is>
      </c>
      <c r="H2908" s="103">
        <f>IF(OR(batches!D487="",batches!E487=""),"",batches!E487-batches!D487+1&amp;" days")</f>
        <v/>
      </c>
      <c r="I2908" s="101" t="n"/>
      <c r="J2908" s="102" t="n"/>
    </row>
    <row r="2909" ht="15.75" customHeight="1" s="84">
      <c r="A2909" s="80" t="inlineStr">
        <is>
          <t>Timing</t>
        </is>
      </c>
      <c r="B2909" s="103">
        <f>IF(A2905="","",batches!F486)</f>
        <v/>
      </c>
      <c r="C2909" s="101" t="n"/>
      <c r="D2909" s="102" t="n"/>
      <c r="G2909" s="80" t="inlineStr">
        <is>
          <t>Timing</t>
        </is>
      </c>
      <c r="H2909" s="103">
        <f>IF(G2905="","",batches!F487)</f>
        <v/>
      </c>
      <c r="I2909" s="101" t="n"/>
      <c r="J2909" s="102" t="n"/>
    </row>
    <row r="2910" ht="15.75" customHeight="1" s="84">
      <c r="A2910" s="80" t="inlineStr">
        <is>
          <t>Capacity</t>
        </is>
      </c>
      <c r="B2910" s="103">
        <f>IF(A2905="","",batches!G486)</f>
        <v/>
      </c>
      <c r="C2910" s="101" t="n"/>
      <c r="D2910" s="102" t="n"/>
      <c r="G2910" s="80" t="inlineStr">
        <is>
          <t>Capacity</t>
        </is>
      </c>
      <c r="H2910" s="103">
        <f>IF(G2905="","",batches!G487)</f>
        <v/>
      </c>
      <c r="I2910" s="101" t="n"/>
      <c r="J2910" s="102" t="n"/>
    </row>
    <row r="2911" ht="15.75" customHeight="1" s="84">
      <c r="A2911" s="80" t="inlineStr">
        <is>
          <t>Enrolled</t>
        </is>
      </c>
      <c r="B2911" s="103">
        <f>IF(A2905="","",COUNTIF(admissions!$M:$M,batches!A486))</f>
        <v/>
      </c>
      <c r="C2911" s="101" t="n"/>
      <c r="D2911" s="102" t="n"/>
      <c r="G2911" s="80" t="inlineStr">
        <is>
          <t>Enrolled</t>
        </is>
      </c>
      <c r="H2911" s="103">
        <f>IF(G2905="","",COUNTIF(admissions!$M:$M,batches!A487))</f>
        <v/>
      </c>
      <c r="I2911" s="101" t="n"/>
      <c r="J2911" s="102" t="n"/>
    </row>
    <row r="2912" ht="15.75" customHeight="1" s="84">
      <c r="A2912" s="80" t="inlineStr">
        <is>
          <t>Available</t>
        </is>
      </c>
      <c r="B2912" s="103">
        <f>IF(OR(batches!A486="",batches!G486=""),"",batches!G486-COUNTIF(admissions!$M:$M,batches!A486))</f>
        <v/>
      </c>
      <c r="C2912" s="101" t="n"/>
      <c r="D2912" s="102" t="n"/>
      <c r="G2912" s="80" t="inlineStr">
        <is>
          <t>Available</t>
        </is>
      </c>
      <c r="H2912" s="103">
        <f>IF(OR(batches!A487="",batches!G487=""),"",batches!G487-COUNTIF(admissions!$M:$M,batches!A487))</f>
        <v/>
      </c>
      <c r="I2912" s="101" t="n"/>
      <c r="J2912" s="102" t="n"/>
    </row>
    <row r="2913" ht="15.75" customHeight="1" s="84">
      <c r="A2913" s="104" t="inlineStr">
        <is>
          <t>Student List</t>
        </is>
      </c>
      <c r="B2913" s="101" t="n"/>
      <c r="C2913" s="101" t="n"/>
      <c r="D2913" s="102" t="n"/>
      <c r="G2913" s="104" t="inlineStr">
        <is>
          <t>Student List</t>
        </is>
      </c>
      <c r="H2913" s="101" t="n"/>
      <c r="I2913" s="101" t="n"/>
      <c r="J2913" s="102" t="n"/>
    </row>
    <row r="2914" ht="15.75" customHeight="1" s="84">
      <c r="A2914" s="105">
        <f>IFERROR(__xludf.DUMMYFUNCTION("IF(batches!A486="""","""",TEXTJOIN(CHAR(10),TRUE,FILTER(admissions!$G$2:$G$78,admissions!$M$2:$M$78=batches!A486,"""")))"),"")</f>
        <v/>
      </c>
      <c r="B2914" s="101" t="n"/>
      <c r="C2914" s="101" t="n"/>
      <c r="D2914" s="102" t="n"/>
      <c r="G2914" s="105">
        <f>IFERROR(__xludf.DUMMYFUNCTION("IF(batches!A487="""","""",TEXTJOIN(CHAR(10),TRUE,FILTER(admissions!$G$2:$G$78,admissions!$M$2:$M$78=batches!A487,"""")))"),"")</f>
        <v/>
      </c>
      <c r="H2914" s="101" t="n"/>
      <c r="I2914" s="101" t="n"/>
      <c r="J2914" s="102" t="n"/>
    </row>
    <row r="2915" ht="15.75" customHeight="1" s="84"/>
    <row r="2916" ht="15.75" customHeight="1" s="84"/>
    <row r="2917" ht="15.75" customHeight="1" s="84">
      <c r="A2917" s="100">
        <f>IF(batches!A488="","",batches!A488)</f>
        <v/>
      </c>
      <c r="B2917" s="101" t="n"/>
      <c r="C2917" s="101" t="n"/>
      <c r="D2917" s="102" t="n"/>
      <c r="G2917" s="100">
        <f>IF(batches!A489="","",batches!A489)</f>
        <v/>
      </c>
      <c r="H2917" s="101" t="n"/>
      <c r="I2917" s="101" t="n"/>
      <c r="J2917" s="102" t="n"/>
    </row>
    <row r="2918" ht="15.75" customHeight="1" s="84">
      <c r="A2918" s="80" t="inlineStr">
        <is>
          <t>Level / Mode</t>
        </is>
      </c>
      <c r="B2918" s="103">
        <f>IF(A2917="","",batches!B488&amp;" / "&amp;batches!C488)</f>
        <v/>
      </c>
      <c r="C2918" s="101" t="n"/>
      <c r="D2918" s="102" t="n"/>
      <c r="G2918" s="80" t="inlineStr">
        <is>
          <t>Level / Mode</t>
        </is>
      </c>
      <c r="H2918" s="103">
        <f>IF(G2917="","",batches!B489&amp;" / "&amp;batches!C489)</f>
        <v/>
      </c>
      <c r="I2918" s="101" t="n"/>
      <c r="J2918" s="102" t="n"/>
    </row>
    <row r="2919" ht="15.75" customHeight="1" s="84">
      <c r="A2919" s="80" t="inlineStr">
        <is>
          <t>Dates</t>
        </is>
      </c>
      <c r="B2919" s="103">
        <f>IF(A2917="","",TEXT(batches!D488,"yyyy-mm-dd")&amp;" to "&amp;TEXT(batches!E488,"yyyy-mm-dd"))</f>
        <v/>
      </c>
      <c r="C2919" s="101" t="n"/>
      <c r="D2919" s="102" t="n"/>
      <c r="G2919" s="80" t="inlineStr">
        <is>
          <t>Dates</t>
        </is>
      </c>
      <c r="H2919" s="103">
        <f>IF(G2917="","",TEXT(batches!D489,"yyyy-mm-dd")&amp;" to "&amp;TEXT(batches!E489,"yyyy-mm-dd"))</f>
        <v/>
      </c>
      <c r="I2919" s="101" t="n"/>
      <c r="J2919" s="102" t="n"/>
    </row>
    <row r="2920" ht="15.75" customHeight="1" s="84">
      <c r="A2920" s="80" t="inlineStr">
        <is>
          <t>Duration</t>
        </is>
      </c>
      <c r="B2920" s="103">
        <f>IF(OR(batches!D488="",batches!E488=""),"",batches!E488-batches!D488+1&amp;" days")</f>
        <v/>
      </c>
      <c r="C2920" s="101" t="n"/>
      <c r="D2920" s="102" t="n"/>
      <c r="G2920" s="80" t="inlineStr">
        <is>
          <t>Duration</t>
        </is>
      </c>
      <c r="H2920" s="103">
        <f>IF(OR(batches!D489="",batches!E489=""),"",batches!E489-batches!D489+1&amp;" days")</f>
        <v/>
      </c>
      <c r="I2920" s="101" t="n"/>
      <c r="J2920" s="102" t="n"/>
    </row>
    <row r="2921" ht="15.75" customHeight="1" s="84">
      <c r="A2921" s="80" t="inlineStr">
        <is>
          <t>Timing</t>
        </is>
      </c>
      <c r="B2921" s="103">
        <f>IF(A2917="","",batches!F488)</f>
        <v/>
      </c>
      <c r="C2921" s="101" t="n"/>
      <c r="D2921" s="102" t="n"/>
      <c r="G2921" s="80" t="inlineStr">
        <is>
          <t>Timing</t>
        </is>
      </c>
      <c r="H2921" s="103">
        <f>IF(G2917="","",batches!F489)</f>
        <v/>
      </c>
      <c r="I2921" s="101" t="n"/>
      <c r="J2921" s="102" t="n"/>
    </row>
    <row r="2922" ht="15.75" customHeight="1" s="84">
      <c r="A2922" s="80" t="inlineStr">
        <is>
          <t>Capacity</t>
        </is>
      </c>
      <c r="B2922" s="103">
        <f>IF(A2917="","",batches!G488)</f>
        <v/>
      </c>
      <c r="C2922" s="101" t="n"/>
      <c r="D2922" s="102" t="n"/>
      <c r="G2922" s="80" t="inlineStr">
        <is>
          <t>Capacity</t>
        </is>
      </c>
      <c r="H2922" s="103">
        <f>IF(G2917="","",batches!G489)</f>
        <v/>
      </c>
      <c r="I2922" s="101" t="n"/>
      <c r="J2922" s="102" t="n"/>
    </row>
    <row r="2923" ht="15.75" customHeight="1" s="84">
      <c r="A2923" s="80" t="inlineStr">
        <is>
          <t>Enrolled</t>
        </is>
      </c>
      <c r="B2923" s="103">
        <f>IF(A2917="","",COUNTIF(admissions!$M:$M,batches!A488))</f>
        <v/>
      </c>
      <c r="C2923" s="101" t="n"/>
      <c r="D2923" s="102" t="n"/>
      <c r="G2923" s="80" t="inlineStr">
        <is>
          <t>Enrolled</t>
        </is>
      </c>
      <c r="H2923" s="103">
        <f>IF(G2917="","",COUNTIF(admissions!$M:$M,batches!A489))</f>
        <v/>
      </c>
      <c r="I2923" s="101" t="n"/>
      <c r="J2923" s="102" t="n"/>
    </row>
    <row r="2924" ht="15.75" customHeight="1" s="84">
      <c r="A2924" s="80" t="inlineStr">
        <is>
          <t>Available</t>
        </is>
      </c>
      <c r="B2924" s="103">
        <f>IF(OR(batches!A488="",batches!G488=""),"",batches!G488-COUNTIF(admissions!$M:$M,batches!A488))</f>
        <v/>
      </c>
      <c r="C2924" s="101" t="n"/>
      <c r="D2924" s="102" t="n"/>
      <c r="G2924" s="80" t="inlineStr">
        <is>
          <t>Available</t>
        </is>
      </c>
      <c r="H2924" s="103">
        <f>IF(OR(batches!A489="",batches!G489=""),"",batches!G489-COUNTIF(admissions!$M:$M,batches!A489))</f>
        <v/>
      </c>
      <c r="I2924" s="101" t="n"/>
      <c r="J2924" s="102" t="n"/>
    </row>
    <row r="2925" ht="15.75" customHeight="1" s="84">
      <c r="A2925" s="104" t="inlineStr">
        <is>
          <t>Student List</t>
        </is>
      </c>
      <c r="B2925" s="101" t="n"/>
      <c r="C2925" s="101" t="n"/>
      <c r="D2925" s="102" t="n"/>
      <c r="G2925" s="104" t="inlineStr">
        <is>
          <t>Student List</t>
        </is>
      </c>
      <c r="H2925" s="101" t="n"/>
      <c r="I2925" s="101" t="n"/>
      <c r="J2925" s="102" t="n"/>
    </row>
    <row r="2926" ht="15.75" customHeight="1" s="84">
      <c r="A2926" s="105">
        <f>IFERROR(__xludf.DUMMYFUNCTION("IF(batches!A488="""","""",TEXTJOIN(CHAR(10),TRUE,FILTER(admissions!$G$2:$G$78,admissions!$M$2:$M$78=batches!A488,"""")))"),"")</f>
        <v/>
      </c>
      <c r="B2926" s="101" t="n"/>
      <c r="C2926" s="101" t="n"/>
      <c r="D2926" s="102" t="n"/>
      <c r="G2926" s="105">
        <f>IFERROR(__xludf.DUMMYFUNCTION("IF(batches!A489="""","""",TEXTJOIN(CHAR(10),TRUE,FILTER(admissions!$G$2:$G$78,admissions!$M$2:$M$78=batches!A489,"""")))"),"")</f>
        <v/>
      </c>
      <c r="H2926" s="101" t="n"/>
      <c r="I2926" s="101" t="n"/>
      <c r="J2926" s="102" t="n"/>
    </row>
    <row r="2927" ht="15.75" customHeight="1" s="84"/>
    <row r="2928" ht="15.75" customHeight="1" s="84"/>
    <row r="2929" ht="15.75" customHeight="1" s="84">
      <c r="A2929" s="100">
        <f>IF(batches!A490="","",batches!A490)</f>
        <v/>
      </c>
      <c r="B2929" s="101" t="n"/>
      <c r="C2929" s="101" t="n"/>
      <c r="D2929" s="102" t="n"/>
      <c r="G2929" s="100">
        <f>IF(batches!A491="","",batches!A491)</f>
        <v/>
      </c>
      <c r="H2929" s="101" t="n"/>
      <c r="I2929" s="101" t="n"/>
      <c r="J2929" s="102" t="n"/>
    </row>
    <row r="2930" ht="15.75" customHeight="1" s="84">
      <c r="A2930" s="80" t="inlineStr">
        <is>
          <t>Level / Mode</t>
        </is>
      </c>
      <c r="B2930" s="103">
        <f>IF(A2929="","",batches!B490&amp;" / "&amp;batches!C490)</f>
        <v/>
      </c>
      <c r="C2930" s="101" t="n"/>
      <c r="D2930" s="102" t="n"/>
      <c r="G2930" s="80" t="inlineStr">
        <is>
          <t>Level / Mode</t>
        </is>
      </c>
      <c r="H2930" s="103">
        <f>IF(G2929="","",batches!B491&amp;" / "&amp;batches!C491)</f>
        <v/>
      </c>
      <c r="I2930" s="101" t="n"/>
      <c r="J2930" s="102" t="n"/>
    </row>
    <row r="2931" ht="15.75" customHeight="1" s="84">
      <c r="A2931" s="80" t="inlineStr">
        <is>
          <t>Dates</t>
        </is>
      </c>
      <c r="B2931" s="103">
        <f>IF(A2929="","",TEXT(batches!D490,"yyyy-mm-dd")&amp;" to "&amp;TEXT(batches!E490,"yyyy-mm-dd"))</f>
        <v/>
      </c>
      <c r="C2931" s="101" t="n"/>
      <c r="D2931" s="102" t="n"/>
      <c r="G2931" s="80" t="inlineStr">
        <is>
          <t>Dates</t>
        </is>
      </c>
      <c r="H2931" s="103">
        <f>IF(G2929="","",TEXT(batches!D491,"yyyy-mm-dd")&amp;" to "&amp;TEXT(batches!E491,"yyyy-mm-dd"))</f>
        <v/>
      </c>
      <c r="I2931" s="101" t="n"/>
      <c r="J2931" s="102" t="n"/>
    </row>
    <row r="2932" ht="15.75" customHeight="1" s="84">
      <c r="A2932" s="80" t="inlineStr">
        <is>
          <t>Duration</t>
        </is>
      </c>
      <c r="B2932" s="103">
        <f>IF(OR(batches!D490="",batches!E490=""),"",batches!E490-batches!D490+1&amp;" days")</f>
        <v/>
      </c>
      <c r="C2932" s="101" t="n"/>
      <c r="D2932" s="102" t="n"/>
      <c r="G2932" s="80" t="inlineStr">
        <is>
          <t>Duration</t>
        </is>
      </c>
      <c r="H2932" s="103">
        <f>IF(OR(batches!D491="",batches!E491=""),"",batches!E491-batches!D491+1&amp;" days")</f>
        <v/>
      </c>
      <c r="I2932" s="101" t="n"/>
      <c r="J2932" s="102" t="n"/>
    </row>
    <row r="2933" ht="15.75" customHeight="1" s="84">
      <c r="A2933" s="80" t="inlineStr">
        <is>
          <t>Timing</t>
        </is>
      </c>
      <c r="B2933" s="103">
        <f>IF(A2929="","",batches!F490)</f>
        <v/>
      </c>
      <c r="C2933" s="101" t="n"/>
      <c r="D2933" s="102" t="n"/>
      <c r="G2933" s="80" t="inlineStr">
        <is>
          <t>Timing</t>
        </is>
      </c>
      <c r="H2933" s="103">
        <f>IF(G2929="","",batches!F491)</f>
        <v/>
      </c>
      <c r="I2933" s="101" t="n"/>
      <c r="J2933" s="102" t="n"/>
    </row>
    <row r="2934" ht="15.75" customHeight="1" s="84">
      <c r="A2934" s="80" t="inlineStr">
        <is>
          <t>Capacity</t>
        </is>
      </c>
      <c r="B2934" s="103">
        <f>IF(A2929="","",batches!G490)</f>
        <v/>
      </c>
      <c r="C2934" s="101" t="n"/>
      <c r="D2934" s="102" t="n"/>
      <c r="G2934" s="80" t="inlineStr">
        <is>
          <t>Capacity</t>
        </is>
      </c>
      <c r="H2934" s="103">
        <f>IF(G2929="","",batches!G491)</f>
        <v/>
      </c>
      <c r="I2934" s="101" t="n"/>
      <c r="J2934" s="102" t="n"/>
    </row>
    <row r="2935" ht="15.75" customHeight="1" s="84">
      <c r="A2935" s="80" t="inlineStr">
        <is>
          <t>Enrolled</t>
        </is>
      </c>
      <c r="B2935" s="103">
        <f>IF(A2929="","",COUNTIF(admissions!$M:$M,batches!A490))</f>
        <v/>
      </c>
      <c r="C2935" s="101" t="n"/>
      <c r="D2935" s="102" t="n"/>
      <c r="G2935" s="80" t="inlineStr">
        <is>
          <t>Enrolled</t>
        </is>
      </c>
      <c r="H2935" s="103">
        <f>IF(G2929="","",COUNTIF(admissions!$M:$M,batches!A491))</f>
        <v/>
      </c>
      <c r="I2935" s="101" t="n"/>
      <c r="J2935" s="102" t="n"/>
    </row>
    <row r="2936" ht="15.75" customHeight="1" s="84">
      <c r="A2936" s="80" t="inlineStr">
        <is>
          <t>Available</t>
        </is>
      </c>
      <c r="B2936" s="103">
        <f>IF(OR(batches!A490="",batches!G490=""),"",batches!G490-COUNTIF(admissions!$M:$M,batches!A490))</f>
        <v/>
      </c>
      <c r="C2936" s="101" t="n"/>
      <c r="D2936" s="102" t="n"/>
      <c r="G2936" s="80" t="inlineStr">
        <is>
          <t>Available</t>
        </is>
      </c>
      <c r="H2936" s="103">
        <f>IF(OR(batches!A491="",batches!G491=""),"",batches!G491-COUNTIF(admissions!$M:$M,batches!A491))</f>
        <v/>
      </c>
      <c r="I2936" s="101" t="n"/>
      <c r="J2936" s="102" t="n"/>
    </row>
    <row r="2937" ht="15.75" customHeight="1" s="84">
      <c r="A2937" s="104" t="inlineStr">
        <is>
          <t>Student List</t>
        </is>
      </c>
      <c r="B2937" s="101" t="n"/>
      <c r="C2937" s="101" t="n"/>
      <c r="D2937" s="102" t="n"/>
      <c r="G2937" s="104" t="inlineStr">
        <is>
          <t>Student List</t>
        </is>
      </c>
      <c r="H2937" s="101" t="n"/>
      <c r="I2937" s="101" t="n"/>
      <c r="J2937" s="102" t="n"/>
    </row>
    <row r="2938" ht="15.75" customHeight="1" s="84">
      <c r="A2938" s="105">
        <f>IFERROR(__xludf.DUMMYFUNCTION("IF(batches!A490="""","""",TEXTJOIN(CHAR(10),TRUE,FILTER(admissions!$G$2:$G$78,admissions!$M$2:$M$78=batches!A490,"""")))"),"")</f>
        <v/>
      </c>
      <c r="B2938" s="101" t="n"/>
      <c r="C2938" s="101" t="n"/>
      <c r="D2938" s="102" t="n"/>
      <c r="G2938" s="105">
        <f>IFERROR(__xludf.DUMMYFUNCTION("IF(batches!A491="""","""",TEXTJOIN(CHAR(10),TRUE,FILTER(admissions!$G$2:$G$78,admissions!$M$2:$M$78=batches!A491,"""")))"),"")</f>
        <v/>
      </c>
      <c r="H2938" s="101" t="n"/>
      <c r="I2938" s="101" t="n"/>
      <c r="J2938" s="102" t="n"/>
    </row>
    <row r="2939" ht="15.75" customHeight="1" s="84"/>
    <row r="2940" ht="15.75" customHeight="1" s="84"/>
    <row r="2941" ht="15.75" customHeight="1" s="84">
      <c r="A2941" s="100">
        <f>IF(batches!A492="","",batches!A492)</f>
        <v/>
      </c>
      <c r="B2941" s="101" t="n"/>
      <c r="C2941" s="101" t="n"/>
      <c r="D2941" s="102" t="n"/>
      <c r="G2941" s="100">
        <f>IF(batches!A493="","",batches!A493)</f>
        <v/>
      </c>
      <c r="H2941" s="101" t="n"/>
      <c r="I2941" s="101" t="n"/>
      <c r="J2941" s="102" t="n"/>
    </row>
    <row r="2942" ht="15.75" customHeight="1" s="84">
      <c r="A2942" s="80" t="inlineStr">
        <is>
          <t>Level / Mode</t>
        </is>
      </c>
      <c r="B2942" s="103">
        <f>IF(A2941="","",batches!B492&amp;" / "&amp;batches!C492)</f>
        <v/>
      </c>
      <c r="C2942" s="101" t="n"/>
      <c r="D2942" s="102" t="n"/>
      <c r="G2942" s="80" t="inlineStr">
        <is>
          <t>Level / Mode</t>
        </is>
      </c>
      <c r="H2942" s="103">
        <f>IF(G2941="","",batches!B493&amp;" / "&amp;batches!C493)</f>
        <v/>
      </c>
      <c r="I2942" s="101" t="n"/>
      <c r="J2942" s="102" t="n"/>
    </row>
    <row r="2943" ht="15.75" customHeight="1" s="84">
      <c r="A2943" s="80" t="inlineStr">
        <is>
          <t>Dates</t>
        </is>
      </c>
      <c r="B2943" s="103">
        <f>IF(A2941="","",TEXT(batches!D492,"yyyy-mm-dd")&amp;" to "&amp;TEXT(batches!E492,"yyyy-mm-dd"))</f>
        <v/>
      </c>
      <c r="C2943" s="101" t="n"/>
      <c r="D2943" s="102" t="n"/>
      <c r="G2943" s="80" t="inlineStr">
        <is>
          <t>Dates</t>
        </is>
      </c>
      <c r="H2943" s="103">
        <f>IF(G2941="","",TEXT(batches!D493,"yyyy-mm-dd")&amp;" to "&amp;TEXT(batches!E493,"yyyy-mm-dd"))</f>
        <v/>
      </c>
      <c r="I2943" s="101" t="n"/>
      <c r="J2943" s="102" t="n"/>
    </row>
    <row r="2944" ht="15.75" customHeight="1" s="84">
      <c r="A2944" s="80" t="inlineStr">
        <is>
          <t>Duration</t>
        </is>
      </c>
      <c r="B2944" s="103">
        <f>IF(OR(batches!D492="",batches!E492=""),"",batches!E492-batches!D492+1&amp;" days")</f>
        <v/>
      </c>
      <c r="C2944" s="101" t="n"/>
      <c r="D2944" s="102" t="n"/>
      <c r="G2944" s="80" t="inlineStr">
        <is>
          <t>Duration</t>
        </is>
      </c>
      <c r="H2944" s="103">
        <f>IF(OR(batches!D493="",batches!E493=""),"",batches!E493-batches!D493+1&amp;" days")</f>
        <v/>
      </c>
      <c r="I2944" s="101" t="n"/>
      <c r="J2944" s="102" t="n"/>
    </row>
    <row r="2945" ht="15.75" customHeight="1" s="84">
      <c r="A2945" s="80" t="inlineStr">
        <is>
          <t>Timing</t>
        </is>
      </c>
      <c r="B2945" s="103">
        <f>IF(A2941="","",batches!F492)</f>
        <v/>
      </c>
      <c r="C2945" s="101" t="n"/>
      <c r="D2945" s="102" t="n"/>
      <c r="G2945" s="80" t="inlineStr">
        <is>
          <t>Timing</t>
        </is>
      </c>
      <c r="H2945" s="103">
        <f>IF(G2941="","",batches!F493)</f>
        <v/>
      </c>
      <c r="I2945" s="101" t="n"/>
      <c r="J2945" s="102" t="n"/>
    </row>
    <row r="2946" ht="15.75" customHeight="1" s="84">
      <c r="A2946" s="80" t="inlineStr">
        <is>
          <t>Capacity</t>
        </is>
      </c>
      <c r="B2946" s="103">
        <f>IF(A2941="","",batches!G492)</f>
        <v/>
      </c>
      <c r="C2946" s="101" t="n"/>
      <c r="D2946" s="102" t="n"/>
      <c r="G2946" s="80" t="inlineStr">
        <is>
          <t>Capacity</t>
        </is>
      </c>
      <c r="H2946" s="103">
        <f>IF(G2941="","",batches!G493)</f>
        <v/>
      </c>
      <c r="I2946" s="101" t="n"/>
      <c r="J2946" s="102" t="n"/>
    </row>
    <row r="2947" ht="15.75" customHeight="1" s="84">
      <c r="A2947" s="80" t="inlineStr">
        <is>
          <t>Enrolled</t>
        </is>
      </c>
      <c r="B2947" s="103">
        <f>IF(A2941="","",COUNTIF(admissions!$M:$M,batches!A492))</f>
        <v/>
      </c>
      <c r="C2947" s="101" t="n"/>
      <c r="D2947" s="102" t="n"/>
      <c r="G2947" s="80" t="inlineStr">
        <is>
          <t>Enrolled</t>
        </is>
      </c>
      <c r="H2947" s="103">
        <f>IF(G2941="","",COUNTIF(admissions!$M:$M,batches!A493))</f>
        <v/>
      </c>
      <c r="I2947" s="101" t="n"/>
      <c r="J2947" s="102" t="n"/>
    </row>
    <row r="2948" ht="15.75" customHeight="1" s="84">
      <c r="A2948" s="80" t="inlineStr">
        <is>
          <t>Available</t>
        </is>
      </c>
      <c r="B2948" s="103">
        <f>IF(OR(batches!A492="",batches!G492=""),"",batches!G492-COUNTIF(admissions!$M:$M,batches!A492))</f>
        <v/>
      </c>
      <c r="C2948" s="101" t="n"/>
      <c r="D2948" s="102" t="n"/>
      <c r="G2948" s="80" t="inlineStr">
        <is>
          <t>Available</t>
        </is>
      </c>
      <c r="H2948" s="103">
        <f>IF(OR(batches!A493="",batches!G493=""),"",batches!G493-COUNTIF(admissions!$M:$M,batches!A493))</f>
        <v/>
      </c>
      <c r="I2948" s="101" t="n"/>
      <c r="J2948" s="102" t="n"/>
    </row>
    <row r="2949" ht="15.75" customHeight="1" s="84">
      <c r="A2949" s="104" t="inlineStr">
        <is>
          <t>Student List</t>
        </is>
      </c>
      <c r="B2949" s="101" t="n"/>
      <c r="C2949" s="101" t="n"/>
      <c r="D2949" s="102" t="n"/>
      <c r="G2949" s="104" t="inlineStr">
        <is>
          <t>Student List</t>
        </is>
      </c>
      <c r="H2949" s="101" t="n"/>
      <c r="I2949" s="101" t="n"/>
      <c r="J2949" s="102" t="n"/>
    </row>
    <row r="2950" ht="15.75" customHeight="1" s="84">
      <c r="A2950" s="105">
        <f>IFERROR(__xludf.DUMMYFUNCTION("IF(batches!A492="""","""",TEXTJOIN(CHAR(10),TRUE,FILTER(admissions!$G$2:$G$78,admissions!$M$2:$M$78=batches!A492,"""")))"),"")</f>
        <v/>
      </c>
      <c r="B2950" s="101" t="n"/>
      <c r="C2950" s="101" t="n"/>
      <c r="D2950" s="102" t="n"/>
      <c r="G2950" s="105">
        <f>IFERROR(__xludf.DUMMYFUNCTION("IF(batches!A493="""","""",TEXTJOIN(CHAR(10),TRUE,FILTER(admissions!$G$2:$G$78,admissions!$M$2:$M$78=batches!A493,"""")))"),"")</f>
        <v/>
      </c>
      <c r="H2950" s="101" t="n"/>
      <c r="I2950" s="101" t="n"/>
      <c r="J2950" s="102" t="n"/>
    </row>
    <row r="2951" ht="15.75" customHeight="1" s="84"/>
    <row r="2952" ht="15.75" customHeight="1" s="84"/>
    <row r="2953" ht="15.75" customHeight="1" s="84">
      <c r="A2953" s="100">
        <f>IF(batches!A494="","",batches!A494)</f>
        <v/>
      </c>
      <c r="B2953" s="101" t="n"/>
      <c r="C2953" s="101" t="n"/>
      <c r="D2953" s="102" t="n"/>
      <c r="G2953" s="100">
        <f>IF(batches!A495="","",batches!A495)</f>
        <v/>
      </c>
      <c r="H2953" s="101" t="n"/>
      <c r="I2953" s="101" t="n"/>
      <c r="J2953" s="102" t="n"/>
    </row>
    <row r="2954" ht="15.75" customHeight="1" s="84">
      <c r="A2954" s="80" t="inlineStr">
        <is>
          <t>Level / Mode</t>
        </is>
      </c>
      <c r="B2954" s="103">
        <f>IF(A2953="","",batches!B494&amp;" / "&amp;batches!C494)</f>
        <v/>
      </c>
      <c r="C2954" s="101" t="n"/>
      <c r="D2954" s="102" t="n"/>
      <c r="G2954" s="80" t="inlineStr">
        <is>
          <t>Level / Mode</t>
        </is>
      </c>
      <c r="H2954" s="103">
        <f>IF(G2953="","",batches!B495&amp;" / "&amp;batches!C495)</f>
        <v/>
      </c>
      <c r="I2954" s="101" t="n"/>
      <c r="J2954" s="102" t="n"/>
    </row>
    <row r="2955" ht="15.75" customHeight="1" s="84">
      <c r="A2955" s="80" t="inlineStr">
        <is>
          <t>Dates</t>
        </is>
      </c>
      <c r="B2955" s="103">
        <f>IF(A2953="","",TEXT(batches!D494,"yyyy-mm-dd")&amp;" to "&amp;TEXT(batches!E494,"yyyy-mm-dd"))</f>
        <v/>
      </c>
      <c r="C2955" s="101" t="n"/>
      <c r="D2955" s="102" t="n"/>
      <c r="G2955" s="80" t="inlineStr">
        <is>
          <t>Dates</t>
        </is>
      </c>
      <c r="H2955" s="103">
        <f>IF(G2953="","",TEXT(batches!D495,"yyyy-mm-dd")&amp;" to "&amp;TEXT(batches!E495,"yyyy-mm-dd"))</f>
        <v/>
      </c>
      <c r="I2955" s="101" t="n"/>
      <c r="J2955" s="102" t="n"/>
    </row>
    <row r="2956" ht="15.75" customHeight="1" s="84">
      <c r="A2956" s="80" t="inlineStr">
        <is>
          <t>Duration</t>
        </is>
      </c>
      <c r="B2956" s="103">
        <f>IF(OR(batches!D494="",batches!E494=""),"",batches!E494-batches!D494+1&amp;" days")</f>
        <v/>
      </c>
      <c r="C2956" s="101" t="n"/>
      <c r="D2956" s="102" t="n"/>
      <c r="G2956" s="80" t="inlineStr">
        <is>
          <t>Duration</t>
        </is>
      </c>
      <c r="H2956" s="103">
        <f>IF(OR(batches!D495="",batches!E495=""),"",batches!E495-batches!D495+1&amp;" days")</f>
        <v/>
      </c>
      <c r="I2956" s="101" t="n"/>
      <c r="J2956" s="102" t="n"/>
    </row>
    <row r="2957" ht="15.75" customHeight="1" s="84">
      <c r="A2957" s="80" t="inlineStr">
        <is>
          <t>Timing</t>
        </is>
      </c>
      <c r="B2957" s="103">
        <f>IF(A2953="","",batches!F494)</f>
        <v/>
      </c>
      <c r="C2957" s="101" t="n"/>
      <c r="D2957" s="102" t="n"/>
      <c r="G2957" s="80" t="inlineStr">
        <is>
          <t>Timing</t>
        </is>
      </c>
      <c r="H2957" s="103">
        <f>IF(G2953="","",batches!F495)</f>
        <v/>
      </c>
      <c r="I2957" s="101" t="n"/>
      <c r="J2957" s="102" t="n"/>
    </row>
    <row r="2958" ht="15.75" customHeight="1" s="84">
      <c r="A2958" s="80" t="inlineStr">
        <is>
          <t>Capacity</t>
        </is>
      </c>
      <c r="B2958" s="103">
        <f>IF(A2953="","",batches!G494)</f>
        <v/>
      </c>
      <c r="C2958" s="101" t="n"/>
      <c r="D2958" s="102" t="n"/>
      <c r="G2958" s="80" t="inlineStr">
        <is>
          <t>Capacity</t>
        </is>
      </c>
      <c r="H2958" s="103">
        <f>IF(G2953="","",batches!G495)</f>
        <v/>
      </c>
      <c r="I2958" s="101" t="n"/>
      <c r="J2958" s="102" t="n"/>
    </row>
    <row r="2959" ht="15.75" customHeight="1" s="84">
      <c r="A2959" s="80" t="inlineStr">
        <is>
          <t>Enrolled</t>
        </is>
      </c>
      <c r="B2959" s="103">
        <f>IF(A2953="","",COUNTIF(admissions!$M:$M,batches!A494))</f>
        <v/>
      </c>
      <c r="C2959" s="101" t="n"/>
      <c r="D2959" s="102" t="n"/>
      <c r="G2959" s="80" t="inlineStr">
        <is>
          <t>Enrolled</t>
        </is>
      </c>
      <c r="H2959" s="103">
        <f>IF(G2953="","",COUNTIF(admissions!$M:$M,batches!A495))</f>
        <v/>
      </c>
      <c r="I2959" s="101" t="n"/>
      <c r="J2959" s="102" t="n"/>
    </row>
    <row r="2960" ht="15.75" customHeight="1" s="84">
      <c r="A2960" s="80" t="inlineStr">
        <is>
          <t>Available</t>
        </is>
      </c>
      <c r="B2960" s="103">
        <f>IF(OR(batches!A494="",batches!G494=""),"",batches!G494-COUNTIF(admissions!$M:$M,batches!A494))</f>
        <v/>
      </c>
      <c r="C2960" s="101" t="n"/>
      <c r="D2960" s="102" t="n"/>
      <c r="G2960" s="80" t="inlineStr">
        <is>
          <t>Available</t>
        </is>
      </c>
      <c r="H2960" s="103">
        <f>IF(OR(batches!A495="",batches!G495=""),"",batches!G495-COUNTIF(admissions!$M:$M,batches!A495))</f>
        <v/>
      </c>
      <c r="I2960" s="101" t="n"/>
      <c r="J2960" s="102" t="n"/>
    </row>
    <row r="2961" ht="15.75" customHeight="1" s="84">
      <c r="A2961" s="104" t="inlineStr">
        <is>
          <t>Student List</t>
        </is>
      </c>
      <c r="B2961" s="101" t="n"/>
      <c r="C2961" s="101" t="n"/>
      <c r="D2961" s="102" t="n"/>
      <c r="G2961" s="104" t="inlineStr">
        <is>
          <t>Student List</t>
        </is>
      </c>
      <c r="H2961" s="101" t="n"/>
      <c r="I2961" s="101" t="n"/>
      <c r="J2961" s="102" t="n"/>
    </row>
    <row r="2962" ht="15.75" customHeight="1" s="84">
      <c r="A2962" s="105">
        <f>IFERROR(__xludf.DUMMYFUNCTION("IF(batches!A494="""","""",TEXTJOIN(CHAR(10),TRUE,FILTER(admissions!$G$2:$G$78,admissions!$M$2:$M$78=batches!A494,"""")))"),"")</f>
        <v/>
      </c>
      <c r="B2962" s="101" t="n"/>
      <c r="C2962" s="101" t="n"/>
      <c r="D2962" s="102" t="n"/>
      <c r="G2962" s="105">
        <f>IFERROR(__xludf.DUMMYFUNCTION("IF(batches!A495="""","""",TEXTJOIN(CHAR(10),TRUE,FILTER(admissions!$G$2:$G$78,admissions!$M$2:$M$78=batches!A495,"""")))"),"")</f>
        <v/>
      </c>
      <c r="H2962" s="101" t="n"/>
      <c r="I2962" s="101" t="n"/>
      <c r="J2962" s="102" t="n"/>
    </row>
    <row r="2963" ht="15.75" customHeight="1" s="84"/>
    <row r="2964" ht="15.75" customHeight="1" s="84"/>
    <row r="2965" ht="15.75" customHeight="1" s="84">
      <c r="A2965" s="100">
        <f>IF(batches!A496="","",batches!A496)</f>
        <v/>
      </c>
      <c r="B2965" s="101" t="n"/>
      <c r="C2965" s="101" t="n"/>
      <c r="D2965" s="102" t="n"/>
      <c r="G2965" s="100">
        <f>IF(batches!A497="","",batches!A497)</f>
        <v/>
      </c>
      <c r="H2965" s="101" t="n"/>
      <c r="I2965" s="101" t="n"/>
      <c r="J2965" s="102" t="n"/>
    </row>
    <row r="2966" ht="15.75" customHeight="1" s="84">
      <c r="A2966" s="80" t="inlineStr">
        <is>
          <t>Level / Mode</t>
        </is>
      </c>
      <c r="B2966" s="103">
        <f>IF(A2965="","",batches!B496&amp;" / "&amp;batches!C496)</f>
        <v/>
      </c>
      <c r="C2966" s="101" t="n"/>
      <c r="D2966" s="102" t="n"/>
      <c r="G2966" s="80" t="inlineStr">
        <is>
          <t>Level / Mode</t>
        </is>
      </c>
      <c r="H2966" s="103">
        <f>IF(G2965="","",batches!B497&amp;" / "&amp;batches!C497)</f>
        <v/>
      </c>
      <c r="I2966" s="101" t="n"/>
      <c r="J2966" s="102" t="n"/>
    </row>
    <row r="2967" ht="15.75" customHeight="1" s="84">
      <c r="A2967" s="80" t="inlineStr">
        <is>
          <t>Dates</t>
        </is>
      </c>
      <c r="B2967" s="103">
        <f>IF(A2965="","",TEXT(batches!D496,"yyyy-mm-dd")&amp;" to "&amp;TEXT(batches!E496,"yyyy-mm-dd"))</f>
        <v/>
      </c>
      <c r="C2967" s="101" t="n"/>
      <c r="D2967" s="102" t="n"/>
      <c r="G2967" s="80" t="inlineStr">
        <is>
          <t>Dates</t>
        </is>
      </c>
      <c r="H2967" s="103">
        <f>IF(G2965="","",TEXT(batches!D497,"yyyy-mm-dd")&amp;" to "&amp;TEXT(batches!E497,"yyyy-mm-dd"))</f>
        <v/>
      </c>
      <c r="I2967" s="101" t="n"/>
      <c r="J2967" s="102" t="n"/>
    </row>
    <row r="2968" ht="15.75" customHeight="1" s="84">
      <c r="A2968" s="80" t="inlineStr">
        <is>
          <t>Duration</t>
        </is>
      </c>
      <c r="B2968" s="103">
        <f>IF(OR(batches!D496="",batches!E496=""),"",batches!E496-batches!D496+1&amp;" days")</f>
        <v/>
      </c>
      <c r="C2968" s="101" t="n"/>
      <c r="D2968" s="102" t="n"/>
      <c r="G2968" s="80" t="inlineStr">
        <is>
          <t>Duration</t>
        </is>
      </c>
      <c r="H2968" s="103">
        <f>IF(OR(batches!D497="",batches!E497=""),"",batches!E497-batches!D497+1&amp;" days")</f>
        <v/>
      </c>
      <c r="I2968" s="101" t="n"/>
      <c r="J2968" s="102" t="n"/>
    </row>
    <row r="2969" ht="15.75" customHeight="1" s="84">
      <c r="A2969" s="80" t="inlineStr">
        <is>
          <t>Timing</t>
        </is>
      </c>
      <c r="B2969" s="103">
        <f>IF(A2965="","",batches!F496)</f>
        <v/>
      </c>
      <c r="C2969" s="101" t="n"/>
      <c r="D2969" s="102" t="n"/>
      <c r="G2969" s="80" t="inlineStr">
        <is>
          <t>Timing</t>
        </is>
      </c>
      <c r="H2969" s="103">
        <f>IF(G2965="","",batches!F497)</f>
        <v/>
      </c>
      <c r="I2969" s="101" t="n"/>
      <c r="J2969" s="102" t="n"/>
    </row>
    <row r="2970" ht="15.75" customHeight="1" s="84">
      <c r="A2970" s="80" t="inlineStr">
        <is>
          <t>Capacity</t>
        </is>
      </c>
      <c r="B2970" s="103">
        <f>IF(A2965="","",batches!G496)</f>
        <v/>
      </c>
      <c r="C2970" s="101" t="n"/>
      <c r="D2970" s="102" t="n"/>
      <c r="G2970" s="80" t="inlineStr">
        <is>
          <t>Capacity</t>
        </is>
      </c>
      <c r="H2970" s="103">
        <f>IF(G2965="","",batches!G497)</f>
        <v/>
      </c>
      <c r="I2970" s="101" t="n"/>
      <c r="J2970" s="102" t="n"/>
    </row>
    <row r="2971" ht="15.75" customHeight="1" s="84">
      <c r="A2971" s="80" t="inlineStr">
        <is>
          <t>Enrolled</t>
        </is>
      </c>
      <c r="B2971" s="103">
        <f>IF(A2965="","",COUNTIF(admissions!$M:$M,batches!A496))</f>
        <v/>
      </c>
      <c r="C2971" s="101" t="n"/>
      <c r="D2971" s="102" t="n"/>
      <c r="G2971" s="80" t="inlineStr">
        <is>
          <t>Enrolled</t>
        </is>
      </c>
      <c r="H2971" s="103">
        <f>IF(G2965="","",COUNTIF(admissions!$M:$M,batches!A497))</f>
        <v/>
      </c>
      <c r="I2971" s="101" t="n"/>
      <c r="J2971" s="102" t="n"/>
    </row>
    <row r="2972" ht="15.75" customHeight="1" s="84">
      <c r="A2972" s="80" t="inlineStr">
        <is>
          <t>Available</t>
        </is>
      </c>
      <c r="B2972" s="103">
        <f>IF(OR(batches!A496="",batches!G496=""),"",batches!G496-COUNTIF(admissions!$M:$M,batches!A496))</f>
        <v/>
      </c>
      <c r="C2972" s="101" t="n"/>
      <c r="D2972" s="102" t="n"/>
      <c r="G2972" s="80" t="inlineStr">
        <is>
          <t>Available</t>
        </is>
      </c>
      <c r="H2972" s="103">
        <f>IF(OR(batches!A497="",batches!G497=""),"",batches!G497-COUNTIF(admissions!$M:$M,batches!A497))</f>
        <v/>
      </c>
      <c r="I2972" s="101" t="n"/>
      <c r="J2972" s="102" t="n"/>
    </row>
    <row r="2973" ht="15.75" customHeight="1" s="84">
      <c r="A2973" s="104" t="inlineStr">
        <is>
          <t>Student List</t>
        </is>
      </c>
      <c r="B2973" s="101" t="n"/>
      <c r="C2973" s="101" t="n"/>
      <c r="D2973" s="102" t="n"/>
      <c r="G2973" s="104" t="inlineStr">
        <is>
          <t>Student List</t>
        </is>
      </c>
      <c r="H2973" s="101" t="n"/>
      <c r="I2973" s="101" t="n"/>
      <c r="J2973" s="102" t="n"/>
    </row>
    <row r="2974" ht="15.75" customHeight="1" s="84">
      <c r="A2974" s="105">
        <f>IFERROR(__xludf.DUMMYFUNCTION("IF(batches!A496="""","""",TEXTJOIN(CHAR(10),TRUE,FILTER(admissions!$G$2:$G$78,admissions!$M$2:$M$78=batches!A496,"""")))"),"")</f>
        <v/>
      </c>
      <c r="B2974" s="101" t="n"/>
      <c r="C2974" s="101" t="n"/>
      <c r="D2974" s="102" t="n"/>
      <c r="G2974" s="105">
        <f>IFERROR(__xludf.DUMMYFUNCTION("IF(batches!A497="""","""",TEXTJOIN(CHAR(10),TRUE,FILTER(admissions!$G$2:$G$78,admissions!$M$2:$M$78=batches!A497,"""")))"),"")</f>
        <v/>
      </c>
      <c r="H2974" s="101" t="n"/>
      <c r="I2974" s="101" t="n"/>
      <c r="J2974" s="102" t="n"/>
    </row>
    <row r="2975" ht="15.75" customHeight="1" s="84"/>
    <row r="2976" ht="15.75" customHeight="1" s="84"/>
    <row r="2977" ht="15.75" customHeight="1" s="84">
      <c r="A2977" s="100">
        <f>IF(batches!A498="","",batches!A498)</f>
        <v/>
      </c>
      <c r="B2977" s="101" t="n"/>
      <c r="C2977" s="101" t="n"/>
      <c r="D2977" s="102" t="n"/>
      <c r="G2977" s="100">
        <f>IF(batches!A499="","",batches!A499)</f>
        <v/>
      </c>
      <c r="H2977" s="101" t="n"/>
      <c r="I2977" s="101" t="n"/>
      <c r="J2977" s="102" t="n"/>
    </row>
    <row r="2978" ht="15.75" customHeight="1" s="84">
      <c r="A2978" s="80" t="inlineStr">
        <is>
          <t>Level / Mode</t>
        </is>
      </c>
      <c r="B2978" s="103">
        <f>IF(A2977="","",batches!B498&amp;" / "&amp;batches!C498)</f>
        <v/>
      </c>
      <c r="C2978" s="101" t="n"/>
      <c r="D2978" s="102" t="n"/>
      <c r="G2978" s="80" t="inlineStr">
        <is>
          <t>Level / Mode</t>
        </is>
      </c>
      <c r="H2978" s="103">
        <f>IF(G2977="","",batches!B499&amp;" / "&amp;batches!C499)</f>
        <v/>
      </c>
      <c r="I2978" s="101" t="n"/>
      <c r="J2978" s="102" t="n"/>
    </row>
    <row r="2979" ht="15.75" customHeight="1" s="84">
      <c r="A2979" s="80" t="inlineStr">
        <is>
          <t>Dates</t>
        </is>
      </c>
      <c r="B2979" s="103">
        <f>IF(A2977="","",TEXT(batches!D498,"yyyy-mm-dd")&amp;" to "&amp;TEXT(batches!E498,"yyyy-mm-dd"))</f>
        <v/>
      </c>
      <c r="C2979" s="101" t="n"/>
      <c r="D2979" s="102" t="n"/>
      <c r="G2979" s="80" t="inlineStr">
        <is>
          <t>Dates</t>
        </is>
      </c>
      <c r="H2979" s="103">
        <f>IF(G2977="","",TEXT(batches!D499,"yyyy-mm-dd")&amp;" to "&amp;TEXT(batches!E499,"yyyy-mm-dd"))</f>
        <v/>
      </c>
      <c r="I2979" s="101" t="n"/>
      <c r="J2979" s="102" t="n"/>
    </row>
    <row r="2980" ht="15.75" customHeight="1" s="84">
      <c r="A2980" s="80" t="inlineStr">
        <is>
          <t>Duration</t>
        </is>
      </c>
      <c r="B2980" s="103">
        <f>IF(OR(batches!D498="",batches!E498=""),"",batches!E498-batches!D498+1&amp;" days")</f>
        <v/>
      </c>
      <c r="C2980" s="101" t="n"/>
      <c r="D2980" s="102" t="n"/>
      <c r="G2980" s="80" t="inlineStr">
        <is>
          <t>Duration</t>
        </is>
      </c>
      <c r="H2980" s="103">
        <f>IF(OR(batches!D499="",batches!E499=""),"",batches!E499-batches!D499+1&amp;" days")</f>
        <v/>
      </c>
      <c r="I2980" s="101" t="n"/>
      <c r="J2980" s="102" t="n"/>
    </row>
    <row r="2981" ht="15.75" customHeight="1" s="84">
      <c r="A2981" s="80" t="inlineStr">
        <is>
          <t>Timing</t>
        </is>
      </c>
      <c r="B2981" s="103">
        <f>IF(A2977="","",batches!F498)</f>
        <v/>
      </c>
      <c r="C2981" s="101" t="n"/>
      <c r="D2981" s="102" t="n"/>
      <c r="G2981" s="80" t="inlineStr">
        <is>
          <t>Timing</t>
        </is>
      </c>
      <c r="H2981" s="103">
        <f>IF(G2977="","",batches!F499)</f>
        <v/>
      </c>
      <c r="I2981" s="101" t="n"/>
      <c r="J2981" s="102" t="n"/>
    </row>
    <row r="2982" ht="15.75" customHeight="1" s="84">
      <c r="A2982" s="80" t="inlineStr">
        <is>
          <t>Capacity</t>
        </is>
      </c>
      <c r="B2982" s="103">
        <f>IF(A2977="","",batches!G498)</f>
        <v/>
      </c>
      <c r="C2982" s="101" t="n"/>
      <c r="D2982" s="102" t="n"/>
      <c r="G2982" s="80" t="inlineStr">
        <is>
          <t>Capacity</t>
        </is>
      </c>
      <c r="H2982" s="103">
        <f>IF(G2977="","",batches!G499)</f>
        <v/>
      </c>
      <c r="I2982" s="101" t="n"/>
      <c r="J2982" s="102" t="n"/>
    </row>
    <row r="2983" ht="15.75" customHeight="1" s="84">
      <c r="A2983" s="80" t="inlineStr">
        <is>
          <t>Enrolled</t>
        </is>
      </c>
      <c r="B2983" s="103">
        <f>IF(A2977="","",COUNTIF(admissions!$M:$M,batches!A498))</f>
        <v/>
      </c>
      <c r="C2983" s="101" t="n"/>
      <c r="D2983" s="102" t="n"/>
      <c r="G2983" s="80" t="inlineStr">
        <is>
          <t>Enrolled</t>
        </is>
      </c>
      <c r="H2983" s="103">
        <f>IF(G2977="","",COUNTIF(admissions!$M:$M,batches!A499))</f>
        <v/>
      </c>
      <c r="I2983" s="101" t="n"/>
      <c r="J2983" s="102" t="n"/>
    </row>
    <row r="2984" ht="15.75" customHeight="1" s="84">
      <c r="A2984" s="80" t="inlineStr">
        <is>
          <t>Available</t>
        </is>
      </c>
      <c r="B2984" s="103">
        <f>IF(OR(batches!A498="",batches!G498=""),"",batches!G498-COUNTIF(admissions!$M:$M,batches!A498))</f>
        <v/>
      </c>
      <c r="C2984" s="101" t="n"/>
      <c r="D2984" s="102" t="n"/>
      <c r="G2984" s="80" t="inlineStr">
        <is>
          <t>Available</t>
        </is>
      </c>
      <c r="H2984" s="103">
        <f>IF(OR(batches!A499="",batches!G499=""),"",batches!G499-COUNTIF(admissions!$M:$M,batches!A499))</f>
        <v/>
      </c>
      <c r="I2984" s="101" t="n"/>
      <c r="J2984" s="102" t="n"/>
    </row>
    <row r="2985" ht="15.75" customHeight="1" s="84">
      <c r="A2985" s="104" t="inlineStr">
        <is>
          <t>Student List</t>
        </is>
      </c>
      <c r="B2985" s="101" t="n"/>
      <c r="C2985" s="101" t="n"/>
      <c r="D2985" s="102" t="n"/>
      <c r="G2985" s="104" t="inlineStr">
        <is>
          <t>Student List</t>
        </is>
      </c>
      <c r="H2985" s="101" t="n"/>
      <c r="I2985" s="101" t="n"/>
      <c r="J2985" s="102" t="n"/>
    </row>
    <row r="2986" ht="15.75" customHeight="1" s="84">
      <c r="A2986" s="105">
        <f>IFERROR(__xludf.DUMMYFUNCTION("IF(batches!A498="""","""",TEXTJOIN(CHAR(10),TRUE,FILTER(admissions!$G$2:$G$78,admissions!$M$2:$M$78=batches!A498,"""")))"),"")</f>
        <v/>
      </c>
      <c r="B2986" s="101" t="n"/>
      <c r="C2986" s="101" t="n"/>
      <c r="D2986" s="102" t="n"/>
      <c r="G2986" s="105">
        <f>IFERROR(__xludf.DUMMYFUNCTION("IF(batches!A499="""","""",TEXTJOIN(CHAR(10),TRUE,FILTER(admissions!$G$2:$G$78,admissions!$M$2:$M$78=batches!A499,"""")))"),"")</f>
        <v/>
      </c>
      <c r="H2986" s="101" t="n"/>
      <c r="I2986" s="101" t="n"/>
      <c r="J2986" s="102" t="n"/>
    </row>
    <row r="2987" ht="15.75" customHeight="1" s="84"/>
    <row r="2988" ht="15.75" customHeight="1" s="84"/>
    <row r="2989" ht="15.75" customHeight="1" s="84">
      <c r="A2989" s="100">
        <f>IF(batches!A500="","",batches!A500)</f>
        <v/>
      </c>
      <c r="B2989" s="101" t="n"/>
      <c r="C2989" s="101" t="n"/>
      <c r="D2989" s="102" t="n"/>
      <c r="G2989" s="100">
        <f>IF(batches!A501="","",batches!A501)</f>
        <v/>
      </c>
      <c r="H2989" s="101" t="n"/>
      <c r="I2989" s="101" t="n"/>
      <c r="J2989" s="102" t="n"/>
    </row>
    <row r="2990" ht="15.75" customHeight="1" s="84">
      <c r="A2990" s="80" t="inlineStr">
        <is>
          <t>Level / Mode</t>
        </is>
      </c>
      <c r="B2990" s="103">
        <f>IF(A2989="","",batches!B500&amp;" / "&amp;batches!C500)</f>
        <v/>
      </c>
      <c r="C2990" s="101" t="n"/>
      <c r="D2990" s="102" t="n"/>
      <c r="G2990" s="80" t="inlineStr">
        <is>
          <t>Level / Mode</t>
        </is>
      </c>
      <c r="H2990" s="103">
        <f>IF(G2989="","",batches!B501&amp;" / "&amp;batches!C501)</f>
        <v/>
      </c>
      <c r="I2990" s="101" t="n"/>
      <c r="J2990" s="102" t="n"/>
    </row>
    <row r="2991" ht="15.75" customHeight="1" s="84">
      <c r="A2991" s="80" t="inlineStr">
        <is>
          <t>Dates</t>
        </is>
      </c>
      <c r="B2991" s="103">
        <f>IF(A2989="","",TEXT(batches!D500,"yyyy-mm-dd")&amp;" to "&amp;TEXT(batches!E500,"yyyy-mm-dd"))</f>
        <v/>
      </c>
      <c r="C2991" s="101" t="n"/>
      <c r="D2991" s="102" t="n"/>
      <c r="G2991" s="80" t="inlineStr">
        <is>
          <t>Dates</t>
        </is>
      </c>
      <c r="H2991" s="103">
        <f>IF(G2989="","",TEXT(batches!D501,"yyyy-mm-dd")&amp;" to "&amp;TEXT(batches!E501,"yyyy-mm-dd"))</f>
        <v/>
      </c>
      <c r="I2991" s="101" t="n"/>
      <c r="J2991" s="102" t="n"/>
    </row>
    <row r="2992" ht="15.75" customHeight="1" s="84">
      <c r="A2992" s="80" t="inlineStr">
        <is>
          <t>Duration</t>
        </is>
      </c>
      <c r="B2992" s="103">
        <f>IF(OR(batches!D500="",batches!E500=""),"",batches!E500-batches!D500+1&amp;" days")</f>
        <v/>
      </c>
      <c r="C2992" s="101" t="n"/>
      <c r="D2992" s="102" t="n"/>
      <c r="G2992" s="80" t="inlineStr">
        <is>
          <t>Duration</t>
        </is>
      </c>
      <c r="H2992" s="103">
        <f>IF(OR(batches!D501="",batches!E501=""),"",batches!E501-batches!D501+1&amp;" days")</f>
        <v/>
      </c>
      <c r="I2992" s="101" t="n"/>
      <c r="J2992" s="102" t="n"/>
    </row>
    <row r="2993" ht="15.75" customHeight="1" s="84">
      <c r="A2993" s="80" t="inlineStr">
        <is>
          <t>Timing</t>
        </is>
      </c>
      <c r="B2993" s="103">
        <f>IF(A2989="","",batches!F500)</f>
        <v/>
      </c>
      <c r="C2993" s="101" t="n"/>
      <c r="D2993" s="102" t="n"/>
      <c r="G2993" s="80" t="inlineStr">
        <is>
          <t>Timing</t>
        </is>
      </c>
      <c r="H2993" s="103">
        <f>IF(G2989="","",batches!F501)</f>
        <v/>
      </c>
      <c r="I2993" s="101" t="n"/>
      <c r="J2993" s="102" t="n"/>
    </row>
    <row r="2994" ht="15.75" customHeight="1" s="84">
      <c r="A2994" s="80" t="inlineStr">
        <is>
          <t>Capacity</t>
        </is>
      </c>
      <c r="B2994" s="103">
        <f>IF(A2989="","",batches!G500)</f>
        <v/>
      </c>
      <c r="C2994" s="101" t="n"/>
      <c r="D2994" s="102" t="n"/>
      <c r="G2994" s="80" t="inlineStr">
        <is>
          <t>Capacity</t>
        </is>
      </c>
      <c r="H2994" s="103">
        <f>IF(G2989="","",batches!G501)</f>
        <v/>
      </c>
      <c r="I2994" s="101" t="n"/>
      <c r="J2994" s="102" t="n"/>
    </row>
    <row r="2995" ht="15.75" customHeight="1" s="84">
      <c r="A2995" s="80" t="inlineStr">
        <is>
          <t>Enrolled</t>
        </is>
      </c>
      <c r="B2995" s="103">
        <f>IF(A2989="","",COUNTIF(admissions!$M:$M,batches!A500))</f>
        <v/>
      </c>
      <c r="C2995" s="101" t="n"/>
      <c r="D2995" s="102" t="n"/>
      <c r="G2995" s="80" t="inlineStr">
        <is>
          <t>Enrolled</t>
        </is>
      </c>
      <c r="H2995" s="103">
        <f>IF(G2989="","",COUNTIF(admissions!$M:$M,batches!A501))</f>
        <v/>
      </c>
      <c r="I2995" s="101" t="n"/>
      <c r="J2995" s="102" t="n"/>
    </row>
    <row r="2996" ht="15.75" customHeight="1" s="84">
      <c r="A2996" s="80" t="inlineStr">
        <is>
          <t>Available</t>
        </is>
      </c>
      <c r="B2996" s="103">
        <f>IF(OR(batches!A500="",batches!G500=""),"",batches!G500-COUNTIF(admissions!$M:$M,batches!A500))</f>
        <v/>
      </c>
      <c r="C2996" s="101" t="n"/>
      <c r="D2996" s="102" t="n"/>
      <c r="G2996" s="80" t="inlineStr">
        <is>
          <t>Available</t>
        </is>
      </c>
      <c r="H2996" s="103">
        <f>IF(OR(batches!A501="",batches!G501=""),"",batches!G501-COUNTIF(admissions!$M:$M,batches!A501))</f>
        <v/>
      </c>
      <c r="I2996" s="101" t="n"/>
      <c r="J2996" s="102" t="n"/>
    </row>
    <row r="2997" ht="15.75" customHeight="1" s="84">
      <c r="A2997" s="104" t="inlineStr">
        <is>
          <t>Student List</t>
        </is>
      </c>
      <c r="B2997" s="101" t="n"/>
      <c r="C2997" s="101" t="n"/>
      <c r="D2997" s="102" t="n"/>
      <c r="G2997" s="104" t="inlineStr">
        <is>
          <t>Student List</t>
        </is>
      </c>
      <c r="H2997" s="101" t="n"/>
      <c r="I2997" s="101" t="n"/>
      <c r="J2997" s="102" t="n"/>
    </row>
    <row r="2998" ht="15.75" customHeight="1" s="84">
      <c r="A2998" s="105">
        <f>IFERROR(__xludf.DUMMYFUNCTION("IF(batches!A500="""","""",TEXTJOIN(CHAR(10),TRUE,FILTER(admissions!$G$2:$G$78,admissions!$M$2:$M$78=batches!A500,"""")))"),"")</f>
        <v/>
      </c>
      <c r="B2998" s="101" t="n"/>
      <c r="C2998" s="101" t="n"/>
      <c r="D2998" s="102" t="n"/>
      <c r="G2998" s="105">
        <f>IFERROR(__xludf.DUMMYFUNCTION("IF(batches!A501="""","""",TEXTJOIN(CHAR(10),TRUE,FILTER(admissions!$G$2:$G$78,admissions!$M$2:$M$78=batches!A501,"""")))"),"")</f>
        <v/>
      </c>
      <c r="H2998" s="101" t="n"/>
      <c r="I2998" s="101" t="n"/>
      <c r="J2998" s="102" t="n"/>
    </row>
  </sheetData>
  <mergeCells count="5000">
    <mergeCell ref="H1784:J1784"/>
    <mergeCell ref="B523:D523"/>
    <mergeCell ref="H1479:J1479"/>
    <mergeCell ref="H2534:J2534"/>
    <mergeCell ref="G2293:J2293"/>
    <mergeCell ref="A2125:D2125"/>
    <mergeCell ref="G202:J202"/>
    <mergeCell ref="G2445:J2445"/>
    <mergeCell ref="H75:J75"/>
    <mergeCell ref="H749:J749"/>
    <mergeCell ref="A1909:D1909"/>
    <mergeCell ref="G502:J502"/>
    <mergeCell ref="A2425:D2425"/>
    <mergeCell ref="H2992:J2992"/>
    <mergeCell ref="G2745:J2745"/>
    <mergeCell ref="H2535:J2535"/>
    <mergeCell ref="B2367:D2367"/>
    <mergeCell ref="H1049:J1049"/>
    <mergeCell ref="A2209:D2209"/>
    <mergeCell ref="H2835:J2835"/>
    <mergeCell ref="G2434:J2434"/>
    <mergeCell ref="B2667:D2667"/>
    <mergeCell ref="A2578:D2578"/>
    <mergeCell ref="B208:D208"/>
    <mergeCell ref="G649:J649"/>
    <mergeCell ref="B2967:D2967"/>
    <mergeCell ref="B882:D882"/>
    <mergeCell ref="H591:J591"/>
    <mergeCell ref="A2878:D2878"/>
    <mergeCell ref="G949:J949"/>
    <mergeCell ref="H760:J760"/>
    <mergeCell ref="A2725:D2725"/>
    <mergeCell ref="G861:J861"/>
    <mergeCell ref="H1218:J1218"/>
    <mergeCell ref="A2473:D2473"/>
    <mergeCell ref="B593:D593"/>
    <mergeCell ref="B2836:D2836"/>
    <mergeCell ref="A477:D477"/>
    <mergeCell ref="B1350:D1350"/>
    <mergeCell ref="B893:D893"/>
    <mergeCell ref="G241:J241"/>
    <mergeCell ref="H1735:J1735"/>
    <mergeCell ref="G1029:J1029"/>
    <mergeCell ref="H1207:J1207"/>
    <mergeCell ref="H902:J902"/>
    <mergeCell ref="A493:D493"/>
    <mergeCell ref="H1576:J1576"/>
    <mergeCell ref="G1329:J1329"/>
    <mergeCell ref="H1119:J1119"/>
    <mergeCell ref="B1040:D1040"/>
    <mergeCell ref="A793:D793"/>
    <mergeCell ref="H1876:J1876"/>
    <mergeCell ref="H1419:J1419"/>
    <mergeCell ref="B735:D735"/>
    <mergeCell ref="B1340:D1340"/>
    <mergeCell ref="B1035:D1035"/>
    <mergeCell ref="H1877:J1877"/>
    <mergeCell ref="H1892:J1892"/>
    <mergeCell ref="H1718:J1718"/>
    <mergeCell ref="H1887:J1887"/>
    <mergeCell ref="H2024:J2024"/>
    <mergeCell ref="H2018:J2018"/>
    <mergeCell ref="A1609:D1609"/>
    <mergeCell ref="B1420:D1420"/>
    <mergeCell ref="H102:J102"/>
    <mergeCell ref="B1720:D1720"/>
    <mergeCell ref="A574:D574"/>
    <mergeCell ref="B2020:D2020"/>
    <mergeCell ref="A874:D874"/>
    <mergeCell ref="A2986:D2986"/>
    <mergeCell ref="A901:D901"/>
    <mergeCell ref="B1290:D1290"/>
    <mergeCell ref="H435:J435"/>
    <mergeCell ref="B1448:D1448"/>
    <mergeCell ref="H2703:J2703"/>
    <mergeCell ref="A1201:D1201"/>
    <mergeCell ref="H2246:J2246"/>
    <mergeCell ref="B1748:D1748"/>
    <mergeCell ref="A1501:D1501"/>
    <mergeCell ref="B1291:D1291"/>
    <mergeCell ref="H2546:J2546"/>
    <mergeCell ref="B268:D268"/>
    <mergeCell ref="B224:D224"/>
    <mergeCell ref="G1846:J1846"/>
    <mergeCell ref="B2048:D2048"/>
    <mergeCell ref="H146:J146"/>
    <mergeCell ref="G2146:J2146"/>
    <mergeCell ref="A885:D885"/>
    <mergeCell ref="B2379:D2379"/>
    <mergeCell ref="B2106:D2106"/>
    <mergeCell ref="B2852:D2852"/>
    <mergeCell ref="B279:D279"/>
    <mergeCell ref="G1569:J1569"/>
    <mergeCell ref="B2407:D2407"/>
    <mergeCell ref="G1869:J1869"/>
    <mergeCell ref="A1701:D1701"/>
    <mergeCell ref="H499:J499"/>
    <mergeCell ref="H200:J200"/>
    <mergeCell ref="G2169:J2169"/>
    <mergeCell ref="H1262:J1262"/>
    <mergeCell ref="A2001:D2001"/>
    <mergeCell ref="H500:J500"/>
    <mergeCell ref="B332:D332"/>
    <mergeCell ref="A85:D85"/>
    <mergeCell ref="B2575:D2575"/>
    <mergeCell ref="A2002:D2002"/>
    <mergeCell ref="B632:D632"/>
    <mergeCell ref="B175:D175"/>
    <mergeCell ref="B2875:D2875"/>
    <mergeCell ref="B2418:D2418"/>
    <mergeCell ref="G94:J94"/>
    <mergeCell ref="H1588:J1588"/>
    <mergeCell ref="G2554:J2554"/>
    <mergeCell ref="G2097:J2097"/>
    <mergeCell ref="H641:J641"/>
    <mergeCell ref="A1929:D1929"/>
    <mergeCell ref="G2854:J2854"/>
    <mergeCell ref="A2686:D2686"/>
    <mergeCell ref="B2476:D2476"/>
    <mergeCell ref="H968:J968"/>
    <mergeCell ref="B806:D806"/>
    <mergeCell ref="A2229:D2229"/>
    <mergeCell ref="B343:D343"/>
    <mergeCell ref="H1158:J1158"/>
    <mergeCell ref="B474:D474"/>
    <mergeCell ref="H1274:J1274"/>
    <mergeCell ref="B2776:D2776"/>
    <mergeCell ref="A2529:D2529"/>
    <mergeCell ref="B1106:D1106"/>
    <mergeCell ref="B774:D774"/>
    <mergeCell ref="B991:D991"/>
    <mergeCell ref="B1406:D1406"/>
    <mergeCell ref="G322:J322"/>
    <mergeCell ref="H869:J869"/>
    <mergeCell ref="H1169:J1169"/>
    <mergeCell ref="H1327:J1327"/>
    <mergeCell ref="B702:D702"/>
    <mergeCell ref="H1538:J1538"/>
    <mergeCell ref="A2698:D2698"/>
    <mergeCell ref="H2090:J2090"/>
    <mergeCell ref="A2829:D2829"/>
    <mergeCell ref="H1627:J1627"/>
    <mergeCell ref="G813:J813"/>
    <mergeCell ref="B1459:D1459"/>
    <mergeCell ref="G769:J769"/>
    <mergeCell ref="B1002:D1002"/>
    <mergeCell ref="G1138:J1138"/>
    <mergeCell ref="G1113:J1113"/>
    <mergeCell ref="B1759:D1759"/>
    <mergeCell ref="B1302:D1302"/>
    <mergeCell ref="B1460:D1460"/>
    <mergeCell ref="H1685:J1685"/>
    <mergeCell ref="G1438:J1438"/>
    <mergeCell ref="A297:D297"/>
    <mergeCell ref="A946:D946"/>
    <mergeCell ref="H1985:J1985"/>
    <mergeCell ref="G1738:J1738"/>
    <mergeCell ref="A597:D597"/>
    <mergeCell ref="B1470:D1470"/>
    <mergeCell ref="H2285:J2285"/>
    <mergeCell ref="G1149:J1149"/>
    <mergeCell ref="B2118:D2118"/>
    <mergeCell ref="H1696:J1696"/>
    <mergeCell ref="G1449:J1449"/>
    <mergeCell ref="A325:D325"/>
    <mergeCell ref="H1996:J1996"/>
    <mergeCell ref="H2154:J2154"/>
    <mergeCell ref="A1282:D1282"/>
    <mergeCell ref="H211:J211"/>
    <mergeCell ref="B18:D18"/>
    <mergeCell ref="H2454:J2454"/>
    <mergeCell ref="B1829:D1829"/>
    <mergeCell ref="G1177:J1177"/>
    <mergeCell ref="A1713:D1713"/>
    <mergeCell ref="H511:J511"/>
    <mergeCell ref="H2754:J2754"/>
    <mergeCell ref="B2586:D2586"/>
    <mergeCell ref="H1724:J1724"/>
    <mergeCell ref="B2129:D2129"/>
    <mergeCell ref="G1477:J1477"/>
    <mergeCell ref="B2587:D2587"/>
    <mergeCell ref="H2812:J2812"/>
    <mergeCell ref="G2565:J2565"/>
    <mergeCell ref="B1094:D1094"/>
    <mergeCell ref="A2073:D2073"/>
    <mergeCell ref="B160:D160"/>
    <mergeCell ref="G1993:J1993"/>
    <mergeCell ref="A2398:D2398"/>
    <mergeCell ref="H255:J255"/>
    <mergeCell ref="B2945:D2945"/>
    <mergeCell ref="H413:J413"/>
    <mergeCell ref="H2823:J2823"/>
    <mergeCell ref="H713:J713"/>
    <mergeCell ref="B88:D88"/>
    <mergeCell ref="H1038:J1038"/>
    <mergeCell ref="H1013:J1013"/>
    <mergeCell ref="H619:J619"/>
    <mergeCell ref="H581:J581"/>
    <mergeCell ref="B388:D388"/>
    <mergeCell ref="B2656:D2656"/>
    <mergeCell ref="B546:D546"/>
    <mergeCell ref="H1338:J1338"/>
    <mergeCell ref="H308:J308"/>
    <mergeCell ref="G61:J61"/>
    <mergeCell ref="B2956:D2956"/>
    <mergeCell ref="G2005:J2005"/>
    <mergeCell ref="H1638:J1638"/>
    <mergeCell ref="H608:J608"/>
    <mergeCell ref="H2851:J2851"/>
    <mergeCell ref="B2226:D2226"/>
    <mergeCell ref="G2305:J2305"/>
    <mergeCell ref="A2137:D2137"/>
    <mergeCell ref="A657:D657"/>
    <mergeCell ref="H2846:J2846"/>
    <mergeCell ref="H761:J761"/>
    <mergeCell ref="B2684:D2684"/>
    <mergeCell ref="A2437:D2437"/>
    <mergeCell ref="B530:D530"/>
    <mergeCell ref="B136:D136"/>
    <mergeCell ref="B2984:D2984"/>
    <mergeCell ref="A2737:D2737"/>
    <mergeCell ref="B2527:D2527"/>
    <mergeCell ref="B436:D436"/>
    <mergeCell ref="G2446:J2446"/>
    <mergeCell ref="G361:J361"/>
    <mergeCell ref="G661:J661"/>
    <mergeCell ref="H1540:J1540"/>
    <mergeCell ref="A205:D205"/>
    <mergeCell ref="H1288:J1288"/>
    <mergeCell ref="H1840:J1840"/>
    <mergeCell ref="B1215:D1215"/>
    <mergeCell ref="H55:J55"/>
    <mergeCell ref="H1708:J1708"/>
    <mergeCell ref="B1515:D1515"/>
    <mergeCell ref="B1121:D1121"/>
    <mergeCell ref="B1673:D1673"/>
    <mergeCell ref="H1435:J1435"/>
    <mergeCell ref="G889:J889"/>
    <mergeCell ref="A2806:D2806"/>
    <mergeCell ref="A721:D721"/>
    <mergeCell ref="H1436:J1436"/>
    <mergeCell ref="G1189:J1189"/>
    <mergeCell ref="B1268:D1268"/>
    <mergeCell ref="A1021:D1021"/>
    <mergeCell ref="H1736:J1736"/>
    <mergeCell ref="B1568:D1568"/>
    <mergeCell ref="A1321:D1321"/>
    <mergeCell ref="G1030:J1030"/>
    <mergeCell ref="B1263:D1263"/>
    <mergeCell ref="B1868:D1868"/>
    <mergeCell ref="B1563:D1563"/>
    <mergeCell ref="H1904:J1904"/>
    <mergeCell ref="H424:J424"/>
    <mergeCell ref="B1579:D1579"/>
    <mergeCell ref="H724:J724"/>
    <mergeCell ref="H2415:J2415"/>
    <mergeCell ref="B2342:D2342"/>
    <mergeCell ref="B257:D257"/>
    <mergeCell ref="B557:D557"/>
    <mergeCell ref="B2248:D2248"/>
    <mergeCell ref="B2223:D2223"/>
    <mergeCell ref="H2562:J2562"/>
    <mergeCell ref="H2105:J2105"/>
    <mergeCell ref="H2263:J2263"/>
    <mergeCell ref="H320:J320"/>
    <mergeCell ref="H2563:J2563"/>
    <mergeCell ref="B2395:D2395"/>
    <mergeCell ref="B1938:D1938"/>
    <mergeCell ref="G981:J981"/>
    <mergeCell ref="H2863:J2863"/>
    <mergeCell ref="B2695:D2695"/>
    <mergeCell ref="B2238:D2238"/>
    <mergeCell ref="H163:J163"/>
    <mergeCell ref="B147:D147"/>
    <mergeCell ref="B2390:D2390"/>
    <mergeCell ref="G2349:J2349"/>
    <mergeCell ref="H674:J674"/>
    <mergeCell ref="A1413:D1413"/>
    <mergeCell ref="H794:J794"/>
    <mergeCell ref="H788:J788"/>
    <mergeCell ref="H375:J375"/>
    <mergeCell ref="A1114:D1114"/>
    <mergeCell ref="B207:D207"/>
    <mergeCell ref="B296:D296"/>
    <mergeCell ref="H675:J675"/>
    <mergeCell ref="B507:D507"/>
    <mergeCell ref="B807:D807"/>
    <mergeCell ref="B508:D508"/>
    <mergeCell ref="H822:J822"/>
    <mergeCell ref="A2650:D2650"/>
    <mergeCell ref="A2193:D2193"/>
    <mergeCell ref="H2971:J2971"/>
    <mergeCell ref="B2765:D2765"/>
    <mergeCell ref="G2113:J2113"/>
    <mergeCell ref="H842:J842"/>
    <mergeCell ref="B2740:D2740"/>
    <mergeCell ref="G117:J117"/>
    <mergeCell ref="G2413:J2413"/>
    <mergeCell ref="G417:J417"/>
    <mergeCell ref="H1290:J1290"/>
    <mergeCell ref="B1280:D1280"/>
    <mergeCell ref="H1202:J1202"/>
    <mergeCell ref="A1941:D1941"/>
    <mergeCell ref="H1807:J1807"/>
    <mergeCell ref="H870:J870"/>
    <mergeCell ref="H1502:J1502"/>
    <mergeCell ref="H1458:J1458"/>
    <mergeCell ref="B1334:D1334"/>
    <mergeCell ref="H1170:J1170"/>
    <mergeCell ref="B1640:D1640"/>
    <mergeCell ref="H1802:J1802"/>
    <mergeCell ref="B1634:D1634"/>
    <mergeCell ref="G1102:J1102"/>
    <mergeCell ref="B1003:D1003"/>
    <mergeCell ref="G1402:J1402"/>
    <mergeCell ref="B1635:D1635"/>
    <mergeCell ref="A777:D777"/>
    <mergeCell ref="H1949:J1949"/>
    <mergeCell ref="H1555:J1555"/>
    <mergeCell ref="A1534:D1534"/>
    <mergeCell ref="A2926:D2926"/>
    <mergeCell ref="H1855:J1855"/>
    <mergeCell ref="B1230:D1230"/>
    <mergeCell ref="B714:D714"/>
    <mergeCell ref="G781:J781"/>
    <mergeCell ref="B1530:D1530"/>
    <mergeCell ref="G1150:J1150"/>
    <mergeCell ref="H1697:J1697"/>
    <mergeCell ref="H86:J86"/>
    <mergeCell ref="A825:D825"/>
    <mergeCell ref="H2934:J2934"/>
    <mergeCell ref="H1997:J1997"/>
    <mergeCell ref="H386:J386"/>
    <mergeCell ref="B2767:D2767"/>
    <mergeCell ref="B219:D219"/>
    <mergeCell ref="A553:D553"/>
    <mergeCell ref="G2229:J2229"/>
    <mergeCell ref="A1185:D1185"/>
    <mergeCell ref="A853:D853"/>
    <mergeCell ref="B2762:D2762"/>
    <mergeCell ref="A1485:D1485"/>
    <mergeCell ref="H2682:J2682"/>
    <mergeCell ref="H2225:J2225"/>
    <mergeCell ref="A1785:D1785"/>
    <mergeCell ref="B1841:D1841"/>
    <mergeCell ref="G1825:J1825"/>
    <mergeCell ref="B2657:D2657"/>
    <mergeCell ref="H125:J125"/>
    <mergeCell ref="G2125:J2125"/>
    <mergeCell ref="H256:J256"/>
    <mergeCell ref="G2277:J2277"/>
    <mergeCell ref="H2824:J2824"/>
    <mergeCell ref="G25:J25"/>
    <mergeCell ref="B283:D283"/>
    <mergeCell ref="B258:D258"/>
    <mergeCell ref="B2526:D2526"/>
    <mergeCell ref="H941:J941"/>
    <mergeCell ref="B1346:D1346"/>
    <mergeCell ref="A69:D69"/>
    <mergeCell ref="B2559:D2559"/>
    <mergeCell ref="H592:J592"/>
    <mergeCell ref="H1241:J1241"/>
    <mergeCell ref="A369:D369"/>
    <mergeCell ref="B2859:D2859"/>
    <mergeCell ref="B2396:D2396"/>
    <mergeCell ref="B2510:D2510"/>
    <mergeCell ref="B916:D916"/>
    <mergeCell ref="B1074:D1074"/>
    <mergeCell ref="G73:J73"/>
    <mergeCell ref="H952:J952"/>
    <mergeCell ref="H1083:J1083"/>
    <mergeCell ref="G2533:J2533"/>
    <mergeCell ref="H626:J626"/>
    <mergeCell ref="H620:J620"/>
    <mergeCell ref="H1252:J1252"/>
    <mergeCell ref="H1383:J1383"/>
    <mergeCell ref="B627:D627"/>
    <mergeCell ref="H926:J926"/>
    <mergeCell ref="A2665:D2665"/>
    <mergeCell ref="B758:D758"/>
    <mergeCell ref="B785:D785"/>
    <mergeCell ref="A669:D669"/>
    <mergeCell ref="B2538:D2538"/>
    <mergeCell ref="B1058:D1058"/>
    <mergeCell ref="B1085:D1085"/>
    <mergeCell ref="G1069:J1069"/>
    <mergeCell ref="B1385:D1385"/>
    <mergeCell ref="H1094:J1094"/>
    <mergeCell ref="H1610:J1610"/>
    <mergeCell ref="A685:D685"/>
    <mergeCell ref="H1768:J1768"/>
    <mergeCell ref="H1311:J1311"/>
    <mergeCell ref="H1394:J1394"/>
    <mergeCell ref="A985:D985"/>
    <mergeCell ref="H2068:J2068"/>
    <mergeCell ref="H1611:J1611"/>
    <mergeCell ref="B1443:D1443"/>
    <mergeCell ref="B464:D464"/>
    <mergeCell ref="B1743:D1743"/>
    <mergeCell ref="H2069:J2069"/>
    <mergeCell ref="B2043:D2043"/>
    <mergeCell ref="A250:D250"/>
    <mergeCell ref="G1417:J1417"/>
    <mergeCell ref="H2210:J2210"/>
    <mergeCell ref="H1747:J1747"/>
    <mergeCell ref="A1033:D1033"/>
    <mergeCell ref="B1754:D1754"/>
    <mergeCell ref="G1233:J1233"/>
    <mergeCell ref="B1580:D1580"/>
    <mergeCell ref="B1880:D1880"/>
    <mergeCell ref="A1066:D1066"/>
    <mergeCell ref="B269:D269"/>
    <mergeCell ref="H1675:J1675"/>
    <mergeCell ref="B1482:D1482"/>
    <mergeCell ref="H2895:J2895"/>
    <mergeCell ref="H2438:J2438"/>
    <mergeCell ref="H1975:J1975"/>
    <mergeCell ref="H2738:J2738"/>
    <mergeCell ref="B2570:D2570"/>
    <mergeCell ref="B416:D416"/>
    <mergeCell ref="B1808:D1808"/>
    <mergeCell ref="B2870:D2870"/>
    <mergeCell ref="G1270:J1270"/>
    <mergeCell ref="A1077:D1077"/>
    <mergeCell ref="B2571:D2571"/>
    <mergeCell ref="H663:J663"/>
    <mergeCell ref="H32:J32"/>
    <mergeCell ref="H963:J963"/>
    <mergeCell ref="A1702:D1702"/>
    <mergeCell ref="H2791:J2791"/>
    <mergeCell ref="H664:J664"/>
    <mergeCell ref="B496:D496"/>
    <mergeCell ref="B164:D164"/>
    <mergeCell ref="H964:J964"/>
    <mergeCell ref="B796:D796"/>
    <mergeCell ref="H691:J691"/>
    <mergeCell ref="B1096:D1096"/>
    <mergeCell ref="B2924:D2924"/>
    <mergeCell ref="B66:D66"/>
    <mergeCell ref="H2477:J2477"/>
    <mergeCell ref="H392:J392"/>
    <mergeCell ref="G118:J118"/>
    <mergeCell ref="G2386:J2386"/>
    <mergeCell ref="H1111:J1111"/>
    <mergeCell ref="H2802:J2802"/>
    <mergeCell ref="H692:J692"/>
    <mergeCell ref="H686:J686"/>
    <mergeCell ref="B524:D524"/>
    <mergeCell ref="G2686:J2686"/>
    <mergeCell ref="B67:D67"/>
    <mergeCell ref="B824:D824"/>
    <mergeCell ref="B367:D367"/>
    <mergeCell ref="B2635:D2635"/>
    <mergeCell ref="G286:J286"/>
    <mergeCell ref="H1780:J1780"/>
    <mergeCell ref="G2746:J2746"/>
    <mergeCell ref="H833:J833"/>
    <mergeCell ref="B2935:D2935"/>
    <mergeCell ref="A2121:D2121"/>
    <mergeCell ref="H376:J376"/>
    <mergeCell ref="A2421:D2421"/>
    <mergeCell ref="H2944:J2944"/>
    <mergeCell ref="H1796:J1796"/>
    <mergeCell ref="B209:D209"/>
    <mergeCell ref="H1491:J1491"/>
    <mergeCell ref="B2968:D2968"/>
    <mergeCell ref="A2721:D2721"/>
    <mergeCell ref="H2096:J2096"/>
    <mergeCell ref="H1159:J1159"/>
    <mergeCell ref="B509:D509"/>
    <mergeCell ref="H1791:J1791"/>
    <mergeCell ref="B1183:D1183"/>
    <mergeCell ref="G514:J514"/>
    <mergeCell ref="H1459:J1459"/>
    <mergeCell ref="G645:J645"/>
    <mergeCell ref="G2425:J2425"/>
    <mergeCell ref="H1061:J1061"/>
    <mergeCell ref="B1466:D1466"/>
    <mergeCell ref="G814:J814"/>
    <mergeCell ref="A646:D646"/>
    <mergeCell ref="G945:J945"/>
    <mergeCell ref="H1818:J1818"/>
    <mergeCell ref="H1361:J1361"/>
    <mergeCell ref="B1193:D1193"/>
    <mergeCell ref="H1519:J1519"/>
    <mergeCell ref="B894:D894"/>
    <mergeCell ref="A778:D778"/>
    <mergeCell ref="A2469:D2469"/>
    <mergeCell ref="H1844:J1844"/>
    <mergeCell ref="H1819:J1819"/>
    <mergeCell ref="B1651:D1651"/>
    <mergeCell ref="B1194:D1194"/>
    <mergeCell ref="H2144:J2144"/>
    <mergeCell ref="H2119:J2119"/>
    <mergeCell ref="G1330:J1330"/>
    <mergeCell ref="B1951:D1951"/>
    <mergeCell ref="B1494:D1494"/>
    <mergeCell ref="H1203:J1203"/>
    <mergeCell ref="G1630:J1630"/>
    <mergeCell ref="G1173:J1173"/>
    <mergeCell ref="A489:D489"/>
    <mergeCell ref="H1503:J1503"/>
    <mergeCell ref="A2785:D2785"/>
    <mergeCell ref="H2177:J2177"/>
    <mergeCell ref="G1930:J1930"/>
    <mergeCell ref="B1036:D1036"/>
    <mergeCell ref="A789:D789"/>
    <mergeCell ref="B1852:D1852"/>
    <mergeCell ref="B1336:D1336"/>
    <mergeCell ref="A1089:D1089"/>
    <mergeCell ref="B1636:D1636"/>
    <mergeCell ref="G1009:J1009"/>
    <mergeCell ref="B2152:D2152"/>
    <mergeCell ref="H1888:J1888"/>
    <mergeCell ref="G1309:J1309"/>
    <mergeCell ref="H2188:J2188"/>
    <mergeCell ref="H103:J103"/>
    <mergeCell ref="H2346:J2346"/>
    <mergeCell ref="H403:J403"/>
    <mergeCell ref="B235:D235"/>
    <mergeCell ref="H2646:J2646"/>
    <mergeCell ref="B1863:D1863"/>
    <mergeCell ref="B2021:D2021"/>
    <mergeCell ref="H98:J98"/>
    <mergeCell ref="G1369:J1369"/>
    <mergeCell ref="A1905:D1905"/>
    <mergeCell ref="H703:J703"/>
    <mergeCell ref="H2946:J2946"/>
    <mergeCell ref="B78:D78"/>
    <mergeCell ref="B2778:D2778"/>
    <mergeCell ref="B2321:D2321"/>
    <mergeCell ref="G1669:J1669"/>
    <mergeCell ref="H2030:J2030"/>
    <mergeCell ref="G2457:J2457"/>
    <mergeCell ref="H2216:J2216"/>
    <mergeCell ref="B2621:D2621"/>
    <mergeCell ref="B536:D536"/>
    <mergeCell ref="H87:J87"/>
    <mergeCell ref="H2330:J2330"/>
    <mergeCell ref="H245:J245"/>
    <mergeCell ref="G2757:J2757"/>
    <mergeCell ref="H2547:J2547"/>
    <mergeCell ref="H2084:J2084"/>
    <mergeCell ref="H414:J414"/>
    <mergeCell ref="H545:J545"/>
    <mergeCell ref="H2847:J2847"/>
    <mergeCell ref="B2163:D2163"/>
    <mergeCell ref="A2590:D2590"/>
    <mergeCell ref="H845:J845"/>
    <mergeCell ref="B220:D220"/>
    <mergeCell ref="B247:D247"/>
    <mergeCell ref="A1186:D1186"/>
    <mergeCell ref="B547:D547"/>
    <mergeCell ref="B101:D101"/>
    <mergeCell ref="G226:J226"/>
    <mergeCell ref="H1230:J1230"/>
    <mergeCell ref="A1969:D1969"/>
    <mergeCell ref="H773:J773"/>
    <mergeCell ref="B2690:D2690"/>
    <mergeCell ref="B2848:D2848"/>
    <mergeCell ref="H1530:J1530"/>
    <mergeCell ref="B905:D905"/>
    <mergeCell ref="G253:J253"/>
    <mergeCell ref="G2170:J2170"/>
    <mergeCell ref="H1830:J1830"/>
    <mergeCell ref="H800:J800"/>
    <mergeCell ref="B1205:D1205"/>
    <mergeCell ref="B1363:D1363"/>
    <mergeCell ref="H914:J914"/>
    <mergeCell ref="A2329:D2329"/>
    <mergeCell ref="B1663:D1663"/>
    <mergeCell ref="H2911:J2911"/>
    <mergeCell ref="H1214:J1214"/>
    <mergeCell ref="B2718:D2718"/>
    <mergeCell ref="H795:J795"/>
    <mergeCell ref="H915:J915"/>
    <mergeCell ref="B170:D170"/>
    <mergeCell ref="A2629:D2629"/>
    <mergeCell ref="B328:D328"/>
    <mergeCell ref="A81:D81"/>
    <mergeCell ref="A2929:D2929"/>
    <mergeCell ref="B2719:D2719"/>
    <mergeCell ref="B2744:D2744"/>
    <mergeCell ref="H1889:J1889"/>
    <mergeCell ref="B628:D628"/>
    <mergeCell ref="A2013:D2013"/>
    <mergeCell ref="B928:D928"/>
    <mergeCell ref="A70:D70"/>
    <mergeCell ref="A2313:D2313"/>
    <mergeCell ref="G721:J721"/>
    <mergeCell ref="A397:D397"/>
    <mergeCell ref="H1600:J1600"/>
    <mergeCell ref="G1353:J1353"/>
    <mergeCell ref="B944:D944"/>
    <mergeCell ref="H1900:J1900"/>
    <mergeCell ref="B639:D639"/>
    <mergeCell ref="G1081:J1081"/>
    <mergeCell ref="B1287:D1287"/>
    <mergeCell ref="A2998:D2998"/>
    <mergeCell ref="A913:D913"/>
    <mergeCell ref="H1927:J1927"/>
    <mergeCell ref="B2332:D2332"/>
    <mergeCell ref="H1470:J1470"/>
    <mergeCell ref="H1628:J1628"/>
    <mergeCell ref="G1381:J1381"/>
    <mergeCell ref="A1213:D1213"/>
    <mergeCell ref="H1928:J1928"/>
    <mergeCell ref="A1513:D1513"/>
    <mergeCell ref="B1303:D1303"/>
    <mergeCell ref="B1455:D1455"/>
    <mergeCell ref="B998:D998"/>
    <mergeCell ref="B2060:D2060"/>
    <mergeCell ref="G1522:J1522"/>
    <mergeCell ref="B1755:D1755"/>
    <mergeCell ref="G1065:J1065"/>
    <mergeCell ref="A897:D897"/>
    <mergeCell ref="B1298:D1298"/>
    <mergeCell ref="H1850:J1850"/>
    <mergeCell ref="A898:D898"/>
    <mergeCell ref="H2396:J2396"/>
    <mergeCell ref="B1771:D1771"/>
    <mergeCell ref="H2586:J2586"/>
    <mergeCell ref="H2150:J2150"/>
    <mergeCell ref="H65:J65"/>
    <mergeCell ref="B2202:D2202"/>
    <mergeCell ref="B1766:D1766"/>
    <mergeCell ref="G1750:J1750"/>
    <mergeCell ref="B1983:D1983"/>
    <mergeCell ref="B2114:D2114"/>
    <mergeCell ref="H2297:J2297"/>
    <mergeCell ref="H212:J212"/>
    <mergeCell ref="H2455:J2455"/>
    <mergeCell ref="H512:J512"/>
    <mergeCell ref="H506:J506"/>
    <mergeCell ref="H2755:J2755"/>
    <mergeCell ref="B2130:D2130"/>
    <mergeCell ref="H207:J207"/>
    <mergeCell ref="H2966:J2966"/>
    <mergeCell ref="B2430:D2430"/>
    <mergeCell ref="G106:J106"/>
    <mergeCell ref="H507:J507"/>
    <mergeCell ref="B339:D339"/>
    <mergeCell ref="B2582:D2582"/>
    <mergeCell ref="G1473:J1473"/>
    <mergeCell ref="B2888:D2888"/>
    <mergeCell ref="G1773:J1773"/>
    <mergeCell ref="G2866:J2866"/>
    <mergeCell ref="A1725:D1725"/>
    <mergeCell ref="H980:J980"/>
    <mergeCell ref="A1306:D1306"/>
    <mergeCell ref="A2025:D2025"/>
    <mergeCell ref="B236:D236"/>
    <mergeCell ref="B2898:D2898"/>
    <mergeCell ref="H2803:J2803"/>
    <mergeCell ref="B350:D350"/>
    <mergeCell ref="H1192:J1192"/>
    <mergeCell ref="G2577:J2577"/>
    <mergeCell ref="B2810:D2810"/>
    <mergeCell ref="G2877:J2877"/>
    <mergeCell ref="A2410:D2410"/>
    <mergeCell ref="A2385:D2385"/>
    <mergeCell ref="H1339:J1339"/>
    <mergeCell ref="A2710:D2710"/>
    <mergeCell ref="H1639:J1639"/>
    <mergeCell ref="B378:D378"/>
    <mergeCell ref="G2605:J2605"/>
    <mergeCell ref="H1334:J1334"/>
    <mergeCell ref="A925:D925"/>
    <mergeCell ref="G57:J57"/>
    <mergeCell ref="H1634:J1634"/>
    <mergeCell ref="B1472:D1472"/>
    <mergeCell ref="G357:J357"/>
    <mergeCell ref="G58:J58"/>
    <mergeCell ref="B1467:D1467"/>
    <mergeCell ref="B2522:D2522"/>
    <mergeCell ref="B437:D437"/>
    <mergeCell ref="A190:D190"/>
    <mergeCell ref="H1650:J1650"/>
    <mergeCell ref="A2433:D2433"/>
    <mergeCell ref="B737:D737"/>
    <mergeCell ref="A490:D490"/>
    <mergeCell ref="A2733:D2733"/>
    <mergeCell ref="B1483:D1483"/>
    <mergeCell ref="B1037:D1037"/>
    <mergeCell ref="H2319:J2319"/>
    <mergeCell ref="H2466:J2466"/>
    <mergeCell ref="H2047:J2047"/>
    <mergeCell ref="B748:D748"/>
    <mergeCell ref="H2766:J2766"/>
    <mergeCell ref="H218:J218"/>
    <mergeCell ref="G973:J973"/>
    <mergeCell ref="G1489:J1489"/>
    <mergeCell ref="H1731:J1731"/>
    <mergeCell ref="B51:D51"/>
    <mergeCell ref="G1642:J1642"/>
    <mergeCell ref="A1017:D1017"/>
    <mergeCell ref="B1433:D1433"/>
    <mergeCell ref="H1732:J1732"/>
    <mergeCell ref="B1564:D1564"/>
    <mergeCell ref="A1317:D1317"/>
    <mergeCell ref="B1733:D1733"/>
    <mergeCell ref="H2032:J2032"/>
    <mergeCell ref="B1864:D1864"/>
    <mergeCell ref="A1617:D1617"/>
    <mergeCell ref="B2164:D2164"/>
    <mergeCell ref="G2089:J2089"/>
    <mergeCell ref="H2716:J2716"/>
    <mergeCell ref="H2874:J2874"/>
    <mergeCell ref="H2836:J2836"/>
    <mergeCell ref="B1575:D1575"/>
    <mergeCell ref="H2417:J2417"/>
    <mergeCell ref="B2249:D2249"/>
    <mergeCell ref="B89:D89"/>
    <mergeCell ref="B1875:D1875"/>
    <mergeCell ref="H2717:J2717"/>
    <mergeCell ref="B2549:D2549"/>
    <mergeCell ref="B90:D90"/>
    <mergeCell ref="B2849:D2849"/>
    <mergeCell ref="G2317:J2317"/>
    <mergeCell ref="G2469:J2469"/>
    <mergeCell ref="H642:J642"/>
    <mergeCell ref="H2864:J2864"/>
    <mergeCell ref="H2858:J2858"/>
    <mergeCell ref="A2449:D2449"/>
    <mergeCell ref="H316:J316"/>
    <mergeCell ref="B148:D148"/>
    <mergeCell ref="H2559:J2559"/>
    <mergeCell ref="H942:J942"/>
    <mergeCell ref="A2749:D2749"/>
    <mergeCell ref="H616:J616"/>
    <mergeCell ref="B869:D869"/>
    <mergeCell ref="B448:D448"/>
    <mergeCell ref="B2560:D2560"/>
    <mergeCell ref="H2859:J2859"/>
    <mergeCell ref="B423:D423"/>
    <mergeCell ref="B2691:D2691"/>
    <mergeCell ref="B2228:D2228"/>
    <mergeCell ref="B775:D775"/>
    <mergeCell ref="B2991:D2991"/>
    <mergeCell ref="G237:J237"/>
    <mergeCell ref="H784:J784"/>
    <mergeCell ref="B159:D159"/>
    <mergeCell ref="B134:D134"/>
    <mergeCell ref="H1084:J1084"/>
    <mergeCell ref="B2588:D2588"/>
    <mergeCell ref="B459:D459"/>
    <mergeCell ref="H785:J785"/>
    <mergeCell ref="H1301:J1301"/>
    <mergeCell ref="B2702:D2702"/>
    <mergeCell ref="B617:D617"/>
    <mergeCell ref="B2919:D2919"/>
    <mergeCell ref="H1601:J1601"/>
    <mergeCell ref="B917:D917"/>
    <mergeCell ref="G265:J265"/>
    <mergeCell ref="B1217:D1217"/>
    <mergeCell ref="G565:J565"/>
    <mergeCell ref="H355:J355"/>
    <mergeCell ref="B187:D187"/>
    <mergeCell ref="H1748:J1748"/>
    <mergeCell ref="B487:D487"/>
    <mergeCell ref="B188:D188"/>
    <mergeCell ref="H1443:J1443"/>
    <mergeCell ref="B1275:D1275"/>
    <mergeCell ref="B1250:D1250"/>
    <mergeCell ref="G2409:J2409"/>
    <mergeCell ref="B488:D488"/>
    <mergeCell ref="H1743:J1743"/>
    <mergeCell ref="G493:J493"/>
    <mergeCell ref="G2709:J2709"/>
    <mergeCell ref="A109:D109"/>
    <mergeCell ref="H1803:J1803"/>
    <mergeCell ref="A2542:D2542"/>
    <mergeCell ref="B1172:D1172"/>
    <mergeCell ref="B1286:D1286"/>
    <mergeCell ref="H2103:J2103"/>
    <mergeCell ref="A2842:D2842"/>
    <mergeCell ref="B1586:D1586"/>
    <mergeCell ref="B2235:D2235"/>
    <mergeCell ref="H2728:J2728"/>
    <mergeCell ref="H1182:J1182"/>
    <mergeCell ref="G1609:J1609"/>
    <mergeCell ref="H1939:J1939"/>
    <mergeCell ref="H1482:J1482"/>
    <mergeCell ref="B1314:D1314"/>
    <mergeCell ref="A1225:D1225"/>
    <mergeCell ref="B1015:D1015"/>
    <mergeCell ref="H2270:J2270"/>
    <mergeCell ref="H1851:J1851"/>
    <mergeCell ref="G993:J993"/>
    <mergeCell ref="H2875:J2875"/>
    <mergeCell ref="H354:J354"/>
    <mergeCell ref="A1525:D1525"/>
    <mergeCell ref="B1315:D1315"/>
    <mergeCell ref="H2570:J2570"/>
    <mergeCell ref="B2402:D2402"/>
    <mergeCell ref="G1293:J1293"/>
    <mergeCell ref="B1615:D1615"/>
    <mergeCell ref="H2870:J2870"/>
    <mergeCell ref="H1867:J1867"/>
    <mergeCell ref="H170:J170"/>
    <mergeCell ref="G1593:J1593"/>
    <mergeCell ref="A909:D909"/>
    <mergeCell ref="H387:J387"/>
    <mergeCell ref="G1294:J1294"/>
    <mergeCell ref="A1126:D1126"/>
    <mergeCell ref="H2630:J2630"/>
    <mergeCell ref="H2167:J2167"/>
    <mergeCell ref="H2298:J2298"/>
    <mergeCell ref="H687:J687"/>
    <mergeCell ref="B3:D3"/>
    <mergeCell ref="A1426:D1426"/>
    <mergeCell ref="H2930:J2930"/>
    <mergeCell ref="H2467:J2467"/>
    <mergeCell ref="B2299:D2299"/>
    <mergeCell ref="B1842:D1842"/>
    <mergeCell ref="B2000:D2000"/>
    <mergeCell ref="B303:D303"/>
    <mergeCell ref="A1726:D1726"/>
    <mergeCell ref="G1462:J1462"/>
    <mergeCell ref="B2300:D2300"/>
    <mergeCell ref="B603:D603"/>
    <mergeCell ref="H2009:J2009"/>
    <mergeCell ref="G1762:J1762"/>
    <mergeCell ref="B2600:D2600"/>
    <mergeCell ref="H66:J66"/>
    <mergeCell ref="H2309:J2309"/>
    <mergeCell ref="A1894:D1894"/>
    <mergeCell ref="H698:J698"/>
    <mergeCell ref="H2983:J2983"/>
    <mergeCell ref="A1437:D1437"/>
    <mergeCell ref="B198:D198"/>
    <mergeCell ref="H2634:J2634"/>
    <mergeCell ref="H524:J524"/>
    <mergeCell ref="B2441:D2441"/>
    <mergeCell ref="B356:D356"/>
    <mergeCell ref="B1984:D1984"/>
    <mergeCell ref="G1909:J1909"/>
    <mergeCell ref="B2658:D2658"/>
    <mergeCell ref="B2142:D2142"/>
    <mergeCell ref="B531:D531"/>
    <mergeCell ref="A865:D865"/>
    <mergeCell ref="H824:J824"/>
    <mergeCell ref="G10:J10"/>
    <mergeCell ref="B662:D662"/>
    <mergeCell ref="B199:D199"/>
    <mergeCell ref="G2209:J2209"/>
    <mergeCell ref="B2442:D2442"/>
    <mergeCell ref="B2958:D2958"/>
    <mergeCell ref="A1165:D1165"/>
    <mergeCell ref="G310:J310"/>
    <mergeCell ref="G2578:J2578"/>
    <mergeCell ref="G2121:J2121"/>
    <mergeCell ref="B2742:D2742"/>
    <mergeCell ref="H2994:J2994"/>
    <mergeCell ref="G2878:J2878"/>
    <mergeCell ref="G2421:J2421"/>
    <mergeCell ref="H1514:J1514"/>
    <mergeCell ref="A2253:D2253"/>
    <mergeCell ref="H535:J535"/>
    <mergeCell ref="H752:J752"/>
    <mergeCell ref="B2669:D2669"/>
    <mergeCell ref="H1814:J1814"/>
    <mergeCell ref="A2553:D2553"/>
    <mergeCell ref="G21:J21"/>
    <mergeCell ref="B884:D884"/>
    <mergeCell ref="A2853:D2853"/>
    <mergeCell ref="G346:J346"/>
    <mergeCell ref="A153:D153"/>
    <mergeCell ref="G2589:J2589"/>
    <mergeCell ref="A1981:D1981"/>
    <mergeCell ref="B1184:D1184"/>
    <mergeCell ref="H893:J893"/>
    <mergeCell ref="G646:J646"/>
    <mergeCell ref="G2889:J2889"/>
    <mergeCell ref="A2281:D2281"/>
    <mergeCell ref="A2913:D2913"/>
    <mergeCell ref="H1193:J1193"/>
    <mergeCell ref="H1351:J1351"/>
    <mergeCell ref="H894:J894"/>
    <mergeCell ref="B2811:D2811"/>
    <mergeCell ref="B726:D726"/>
    <mergeCell ref="B2969:D2969"/>
    <mergeCell ref="H1651:J1651"/>
    <mergeCell ref="B1026:D1026"/>
    <mergeCell ref="H1253:J1253"/>
    <mergeCell ref="H1951:J1951"/>
    <mergeCell ref="G1137:J1137"/>
    <mergeCell ref="B1326:D1326"/>
    <mergeCell ref="A49:D49"/>
    <mergeCell ref="H1553:J1553"/>
    <mergeCell ref="A2617:D2617"/>
    <mergeCell ref="B1386:D1386"/>
    <mergeCell ref="H2336:J2336"/>
    <mergeCell ref="H1879:J1879"/>
    <mergeCell ref="B1711:D1711"/>
    <mergeCell ref="B1686:D1686"/>
    <mergeCell ref="H2636:J2636"/>
    <mergeCell ref="B2474:D2474"/>
    <mergeCell ref="B2011:D2011"/>
    <mergeCell ref="A681:D681"/>
    <mergeCell ref="A2977:D2977"/>
    <mergeCell ref="B2311:D2311"/>
    <mergeCell ref="A1497:D1497"/>
    <mergeCell ref="A981:D981"/>
    <mergeCell ref="H2020:J2020"/>
    <mergeCell ref="A1797:D1797"/>
    <mergeCell ref="H235:J235"/>
    <mergeCell ref="H2021:J2021"/>
    <mergeCell ref="B1276:D1276"/>
    <mergeCell ref="B1434:D1434"/>
    <mergeCell ref="G1501:J1501"/>
    <mergeCell ref="H137:J137"/>
    <mergeCell ref="H2380:J2380"/>
    <mergeCell ref="H2048:J2048"/>
    <mergeCell ref="B2055:D2055"/>
    <mergeCell ref="A877:D877"/>
    <mergeCell ref="B270:D270"/>
    <mergeCell ref="H2706:J2706"/>
    <mergeCell ref="B2513:D2513"/>
    <mergeCell ref="B2838:D2838"/>
    <mergeCell ref="B2813:D2813"/>
    <mergeCell ref="G1729:J1729"/>
    <mergeCell ref="G2029:J2029"/>
    <mergeCell ref="A1345:D1345"/>
    <mergeCell ref="B1892:D1892"/>
    <mergeCell ref="B2408:D2408"/>
    <mergeCell ref="H605:J605"/>
    <mergeCell ref="B412:D412"/>
    <mergeCell ref="H905:J905"/>
    <mergeCell ref="G85:J85"/>
    <mergeCell ref="B2403:D2403"/>
    <mergeCell ref="B2561:D2561"/>
    <mergeCell ref="G2545:J2545"/>
    <mergeCell ref="G385:J385"/>
    <mergeCell ref="H1264:J1264"/>
    <mergeCell ref="G2845:J2845"/>
    <mergeCell ref="A2161:D2161"/>
    <mergeCell ref="H965:J965"/>
    <mergeCell ref="B2708:D2708"/>
    <mergeCell ref="A2461:D2461"/>
    <mergeCell ref="B1097:D1097"/>
    <mergeCell ref="B1397:D1397"/>
    <mergeCell ref="H987:J987"/>
    <mergeCell ref="H555:J555"/>
    <mergeCell ref="H1107:J1107"/>
    <mergeCell ref="B476:D476"/>
    <mergeCell ref="A229:D229"/>
    <mergeCell ref="A2689:D2689"/>
    <mergeCell ref="H944:J944"/>
    <mergeCell ref="G130:J130"/>
    <mergeCell ref="B776:D776"/>
    <mergeCell ref="A2989:D2989"/>
    <mergeCell ref="G430:J430"/>
    <mergeCell ref="G2698:J2698"/>
    <mergeCell ref="B2931:D2931"/>
    <mergeCell ref="G2998:J2998"/>
    <mergeCell ref="G913:J913"/>
    <mergeCell ref="A745:D745"/>
    <mergeCell ref="H1759:J1759"/>
    <mergeCell ref="H1460:J1460"/>
    <mergeCell ref="B1136:D1136"/>
    <mergeCell ref="G1213:J1213"/>
    <mergeCell ref="A1045:D1045"/>
    <mergeCell ref="A2673:D2673"/>
    <mergeCell ref="H2092:J2092"/>
    <mergeCell ref="B1592:D1592"/>
    <mergeCell ref="B2224:D2224"/>
    <mergeCell ref="B2524:D2524"/>
    <mergeCell ref="H1682:J1682"/>
    <mergeCell ref="H1771:J1771"/>
    <mergeCell ref="B1190:D1190"/>
    <mergeCell ref="G1257:J1257"/>
    <mergeCell ref="B1490:D1490"/>
    <mergeCell ref="A1090:D1090"/>
    <mergeCell ref="H19:J19"/>
    <mergeCell ref="H2919:J2919"/>
    <mergeCell ref="H2456:J2456"/>
    <mergeCell ref="H2587:J2587"/>
    <mergeCell ref="H976:J976"/>
    <mergeCell ref="B1543:D1543"/>
    <mergeCell ref="H2756:J2756"/>
    <mergeCell ref="G1942:J1942"/>
    <mergeCell ref="B1843:D1843"/>
    <mergeCell ref="G2242:J2242"/>
    <mergeCell ref="G1305:J1305"/>
    <mergeCell ref="G2725:J2725"/>
    <mergeCell ref="H399:J399"/>
    <mergeCell ref="A1138:D1138"/>
    <mergeCell ref="H1004:J1004"/>
    <mergeCell ref="B379:D379"/>
    <mergeCell ref="H2815:J2815"/>
    <mergeCell ref="B1554:D1554"/>
    <mergeCell ref="H699:J699"/>
    <mergeCell ref="B74:D74"/>
    <mergeCell ref="B68:D68"/>
    <mergeCell ref="H999:J999"/>
    <mergeCell ref="B374:D374"/>
    <mergeCell ref="B2642:D2642"/>
    <mergeCell ref="A2217:D2217"/>
    <mergeCell ref="H594:J594"/>
    <mergeCell ref="B847:D847"/>
    <mergeCell ref="H1146:J1146"/>
    <mergeCell ref="H2837:J2837"/>
    <mergeCell ref="H710:J710"/>
    <mergeCell ref="B2212:D2212"/>
    <mergeCell ref="B542:D542"/>
    <mergeCell ref="B2512:D2512"/>
    <mergeCell ref="B427:D427"/>
    <mergeCell ref="B848:D848"/>
    <mergeCell ref="G2437:J2437"/>
    <mergeCell ref="B2670:D2670"/>
    <mergeCell ref="B543:D543"/>
    <mergeCell ref="G2737:J2737"/>
    <mergeCell ref="B2970:D2970"/>
    <mergeCell ref="G2649:J2649"/>
    <mergeCell ref="H763:J763"/>
    <mergeCell ref="B138:D138"/>
    <mergeCell ref="B113:D113"/>
    <mergeCell ref="H1526:J1526"/>
    <mergeCell ref="A2265:D2265"/>
    <mergeCell ref="G249:J249"/>
    <mergeCell ref="H2131:J2131"/>
    <mergeCell ref="B1506:D1506"/>
    <mergeCell ref="H1826:J1826"/>
    <mergeCell ref="G549:J549"/>
    <mergeCell ref="B1659:D1659"/>
    <mergeCell ref="H2907:J2907"/>
    <mergeCell ref="A801:D801"/>
    <mergeCell ref="A382:D382"/>
    <mergeCell ref="H1842:J1842"/>
    <mergeCell ref="H1421:J1421"/>
    <mergeCell ref="A2581:D2581"/>
    <mergeCell ref="A1101:D1101"/>
    <mergeCell ref="B929:D929"/>
    <mergeCell ref="A682:D682"/>
    <mergeCell ref="A2950:D2950"/>
    <mergeCell ref="H2273:J2273"/>
    <mergeCell ref="H1422:J1422"/>
    <mergeCell ref="B1675:D1675"/>
    <mergeCell ref="B1254:D1254"/>
    <mergeCell ref="B1229:D1229"/>
    <mergeCell ref="B1975:D1975"/>
    <mergeCell ref="A393:D393"/>
    <mergeCell ref="A1129:D1129"/>
    <mergeCell ref="H2201:J2201"/>
    <mergeCell ref="B940:D940"/>
    <mergeCell ref="H110:J110"/>
    <mergeCell ref="A693:D693"/>
    <mergeCell ref="A849:D849"/>
    <mergeCell ref="H2958:J2958"/>
    <mergeCell ref="B1265:D1265"/>
    <mergeCell ref="H410:J410"/>
    <mergeCell ref="B2633:D2633"/>
    <mergeCell ref="B1723:D1723"/>
    <mergeCell ref="H1923:J1923"/>
    <mergeCell ref="G1377:J1377"/>
    <mergeCell ref="A1209:D1209"/>
    <mergeCell ref="H2223:J2223"/>
    <mergeCell ref="H2343:J2343"/>
    <mergeCell ref="B1598:D1598"/>
    <mergeCell ref="B1756:D1756"/>
    <mergeCell ref="A1509:D1509"/>
    <mergeCell ref="B259:D259"/>
    <mergeCell ref="H2249:J2249"/>
    <mergeCell ref="B2056:D2056"/>
    <mergeCell ref="G1366:J1366"/>
    <mergeCell ref="A1809:D1809"/>
    <mergeCell ref="B559:D559"/>
    <mergeCell ref="B2381:D2381"/>
    <mergeCell ref="B2356:D2356"/>
    <mergeCell ref="G2481:J2481"/>
    <mergeCell ref="H149:J149"/>
    <mergeCell ref="G2149:J2149"/>
    <mergeCell ref="B1767:D1767"/>
    <mergeCell ref="H2609:J2609"/>
    <mergeCell ref="H449:J449"/>
    <mergeCell ref="G2449:J2449"/>
    <mergeCell ref="B2067:D2067"/>
    <mergeCell ref="H2909:J2909"/>
    <mergeCell ref="G49:J49"/>
    <mergeCell ref="B2392:D2392"/>
    <mergeCell ref="B282:D282"/>
    <mergeCell ref="G2509:J2509"/>
    <mergeCell ref="B582:D582"/>
    <mergeCell ref="H1988:J1988"/>
    <mergeCell ref="H807:J807"/>
    <mergeCell ref="H508:J508"/>
    <mergeCell ref="G261:J261"/>
    <mergeCell ref="A93:D93"/>
    <mergeCell ref="H2288:J2288"/>
    <mergeCell ref="A1873:D1873"/>
    <mergeCell ref="H808:J808"/>
    <mergeCell ref="B640:D640"/>
    <mergeCell ref="B183:D183"/>
    <mergeCell ref="B2883:D2883"/>
    <mergeCell ref="B2426:D2426"/>
    <mergeCell ref="B2420:D2420"/>
    <mergeCell ref="B1963:D1963"/>
    <mergeCell ref="G2493:J2493"/>
    <mergeCell ref="B2726:D2726"/>
    <mergeCell ref="H2978:J2978"/>
    <mergeCell ref="H1276:J1276"/>
    <mergeCell ref="H819:J819"/>
    <mergeCell ref="B651:D651"/>
    <mergeCell ref="H1493:J1493"/>
    <mergeCell ref="B2894:D2894"/>
    <mergeCell ref="H1793:J1793"/>
    <mergeCell ref="B1109:D1109"/>
    <mergeCell ref="B652:D652"/>
    <mergeCell ref="B1409:D1409"/>
    <mergeCell ref="G1393:J1393"/>
    <mergeCell ref="B1709:D1709"/>
    <mergeCell ref="H872:J872"/>
    <mergeCell ref="B679:D679"/>
    <mergeCell ref="H1635:J1635"/>
    <mergeCell ref="H1172:J1172"/>
    <mergeCell ref="B1010:D1010"/>
    <mergeCell ref="G2601:J2601"/>
    <mergeCell ref="B2790:D2790"/>
    <mergeCell ref="H1935:J1935"/>
    <mergeCell ref="B1310:D1310"/>
    <mergeCell ref="B1304:D1304"/>
    <mergeCell ref="G2901:J2901"/>
    <mergeCell ref="B1768:D1768"/>
    <mergeCell ref="G2769:J2769"/>
    <mergeCell ref="H1646:J1646"/>
    <mergeCell ref="H2320:J2320"/>
    <mergeCell ref="H160:J160"/>
    <mergeCell ref="B1664:D1664"/>
    <mergeCell ref="H1946:J1946"/>
    <mergeCell ref="B1778:D1778"/>
    <mergeCell ref="H2620:J2620"/>
    <mergeCell ref="H2920:J2920"/>
    <mergeCell ref="B1779:D1779"/>
    <mergeCell ref="B293:D293"/>
    <mergeCell ref="H219:J219"/>
    <mergeCell ref="A802:D802"/>
    <mergeCell ref="H2462:J2462"/>
    <mergeCell ref="H1999:J1999"/>
    <mergeCell ref="G1185:J1185"/>
    <mergeCell ref="B1349:D1349"/>
    <mergeCell ref="H519:J519"/>
    <mergeCell ref="H2762:J2762"/>
    <mergeCell ref="G1485:J1485"/>
    <mergeCell ref="B1832:D1832"/>
    <mergeCell ref="G1785:J1785"/>
    <mergeCell ref="G1486:J1486"/>
    <mergeCell ref="B2132:D2132"/>
    <mergeCell ref="A1318:D1318"/>
    <mergeCell ref="H2332:J2332"/>
    <mergeCell ref="H230:J230"/>
    <mergeCell ref="B2895:D2895"/>
    <mergeCell ref="A1618:D1618"/>
    <mergeCell ref="H530:J530"/>
    <mergeCell ref="B2165:D2165"/>
    <mergeCell ref="A1918:D1918"/>
    <mergeCell ref="H2990:J2990"/>
    <mergeCell ref="H2984:J2984"/>
    <mergeCell ref="G1654:J1654"/>
    <mergeCell ref="B2465:D2465"/>
    <mergeCell ref="B243:D243"/>
    <mergeCell ref="B363:D363"/>
    <mergeCell ref="G1954:J1954"/>
    <mergeCell ref="H258:J258"/>
    <mergeCell ref="G2254:J2254"/>
    <mergeCell ref="G169:J169"/>
    <mergeCell ref="A2086:D2086"/>
    <mergeCell ref="A1:D1"/>
    <mergeCell ref="A1629:D1629"/>
    <mergeCell ref="H558:J558"/>
    <mergeCell ref="B390:D390"/>
    <mergeCell ref="G469:J469"/>
    <mergeCell ref="B2176:D2176"/>
    <mergeCell ref="B91:D91"/>
    <mergeCell ref="H1346:J1346"/>
    <mergeCell ref="B391:D391"/>
    <mergeCell ref="B86:D86"/>
    <mergeCell ref="G2770:J2770"/>
    <mergeCell ref="H943:J943"/>
    <mergeCell ref="G153:J153"/>
    <mergeCell ref="B1479:D1479"/>
    <mergeCell ref="H2860:J2860"/>
    <mergeCell ref="G2613:J2613"/>
    <mergeCell ref="A2445:D2445"/>
    <mergeCell ref="H1243:J1243"/>
    <mergeCell ref="B2861:D2861"/>
    <mergeCell ref="H938:J938"/>
    <mergeCell ref="G2938:J2938"/>
    <mergeCell ref="A2745:D2745"/>
    <mergeCell ref="B1049:D1049"/>
    <mergeCell ref="B1076:D1076"/>
    <mergeCell ref="H627:J627"/>
    <mergeCell ref="G538:J538"/>
    <mergeCell ref="B771:D771"/>
    <mergeCell ref="G669:J669"/>
    <mergeCell ref="G2781:J2781"/>
    <mergeCell ref="B1376:D1376"/>
    <mergeCell ref="H1085:J1085"/>
    <mergeCell ref="G838:J838"/>
    <mergeCell ref="B460:D460"/>
    <mergeCell ref="A213:D213"/>
    <mergeCell ref="H1385:J1385"/>
    <mergeCell ref="B760:D760"/>
    <mergeCell ref="H1086:J1086"/>
    <mergeCell ref="A513:D513"/>
    <mergeCell ref="A2973:D2973"/>
    <mergeCell ref="B1218:D1218"/>
    <mergeCell ref="B1518:D1518"/>
    <mergeCell ref="A241:D241"/>
    <mergeCell ref="G2677:J2677"/>
    <mergeCell ref="G1197:J1197"/>
    <mergeCell ref="H2070:J2070"/>
    <mergeCell ref="H1744:J1744"/>
    <mergeCell ref="B483:D483"/>
    <mergeCell ref="H2370:J2370"/>
    <mergeCell ref="H1913:J1913"/>
    <mergeCell ref="B783:D783"/>
    <mergeCell ref="H2071:J2071"/>
    <mergeCell ref="B1903:D1903"/>
    <mergeCell ref="B1529:D1529"/>
    <mergeCell ref="B2203:D2203"/>
    <mergeCell ref="H1754:J1754"/>
    <mergeCell ref="G1665:J1665"/>
    <mergeCell ref="B1898:D1898"/>
    <mergeCell ref="B2503:D2503"/>
    <mergeCell ref="H2212:J2212"/>
    <mergeCell ref="B1587:D1587"/>
    <mergeCell ref="H2429:J2429"/>
    <mergeCell ref="G1666:J1666"/>
    <mergeCell ref="A921:D921"/>
    <mergeCell ref="H269:J269"/>
    <mergeCell ref="H2512:J2512"/>
    <mergeCell ref="H427:J427"/>
    <mergeCell ref="H2055:J2055"/>
    <mergeCell ref="B1887:D1887"/>
    <mergeCell ref="H2213:J2213"/>
    <mergeCell ref="H2729:J2729"/>
    <mergeCell ref="B2045:D2045"/>
    <mergeCell ref="B102:D102"/>
    <mergeCell ref="B2345:D2345"/>
    <mergeCell ref="G1693:J1693"/>
    <mergeCell ref="H1483:J1483"/>
    <mergeCell ref="G1261:J1261"/>
    <mergeCell ref="B402:D402"/>
    <mergeCell ref="H1783:J1783"/>
    <mergeCell ref="G1561:J1561"/>
    <mergeCell ref="H2571:J2571"/>
    <mergeCell ref="A1069:D1069"/>
    <mergeCell ref="H2740:J2740"/>
    <mergeCell ref="H655:J655"/>
    <mergeCell ref="H2871:J2871"/>
    <mergeCell ref="B1610:D1610"/>
    <mergeCell ref="H955:J955"/>
    <mergeCell ref="B2573:D2573"/>
    <mergeCell ref="G1921:J1921"/>
    <mergeCell ref="A1210:D1210"/>
    <mergeCell ref="B482:D482"/>
    <mergeCell ref="H796:J796"/>
    <mergeCell ref="G2221:J2221"/>
    <mergeCell ref="B782:D782"/>
    <mergeCell ref="H2163:J2163"/>
    <mergeCell ref="A57:D57"/>
    <mergeCell ref="H1096:J1096"/>
    <mergeCell ref="H2882:J2882"/>
    <mergeCell ref="H797:J797"/>
    <mergeCell ref="B2714:D2714"/>
    <mergeCell ref="H2463:J2463"/>
    <mergeCell ref="A2185:D2185"/>
    <mergeCell ref="H1097:J1097"/>
    <mergeCell ref="B352:D352"/>
    <mergeCell ref="G277:J277"/>
    <mergeCell ref="B2595:D2595"/>
    <mergeCell ref="B2715:D2715"/>
    <mergeCell ref="B2296:D2296"/>
    <mergeCell ref="G577:J577"/>
    <mergeCell ref="H367:J367"/>
    <mergeCell ref="H2610:J2610"/>
    <mergeCell ref="H62:J62"/>
    <mergeCell ref="A2353:D2353"/>
    <mergeCell ref="H667:J667"/>
    <mergeCell ref="H2910:J2910"/>
    <mergeCell ref="B200:D200"/>
    <mergeCell ref="H362:J362"/>
    <mergeCell ref="B194:D194"/>
    <mergeCell ref="A2653:D2653"/>
    <mergeCell ref="B2443:D2443"/>
    <mergeCell ref="B500:D500"/>
    <mergeCell ref="B494:D494"/>
    <mergeCell ref="H1782:J1782"/>
    <mergeCell ref="B2743:D2743"/>
    <mergeCell ref="B521:D521"/>
    <mergeCell ref="A2521:D2521"/>
    <mergeCell ref="B195:D195"/>
    <mergeCell ref="G2721:J2721"/>
    <mergeCell ref="H2082:J2082"/>
    <mergeCell ref="B495:D495"/>
    <mergeCell ref="A121:D121"/>
    <mergeCell ref="H747:J747"/>
    <mergeCell ref="G589:J589"/>
    <mergeCell ref="B668:D668"/>
    <mergeCell ref="A421:D421"/>
    <mergeCell ref="H1047:J1047"/>
    <mergeCell ref="A2854:D2854"/>
    <mergeCell ref="H1136:J1136"/>
    <mergeCell ref="B968:D968"/>
    <mergeCell ref="H1347:J1347"/>
    <mergeCell ref="B663:D663"/>
    <mergeCell ref="B1179:D1179"/>
    <mergeCell ref="H1505:J1505"/>
    <mergeCell ref="G622:J622"/>
    <mergeCell ref="B880:D880"/>
    <mergeCell ref="G2890:J2890"/>
    <mergeCell ref="B963:D963"/>
    <mergeCell ref="B1180:D1180"/>
    <mergeCell ref="G1105:J1105"/>
    <mergeCell ref="H1494:J1494"/>
    <mergeCell ref="H1652:J1652"/>
    <mergeCell ref="G1405:J1405"/>
    <mergeCell ref="H2126:J2126"/>
    <mergeCell ref="A1237:D1237"/>
    <mergeCell ref="A2865:D2865"/>
    <mergeCell ref="H1952:J1952"/>
    <mergeCell ref="G1705:J1705"/>
    <mergeCell ref="B1327:D1327"/>
    <mergeCell ref="B1022:D1022"/>
    <mergeCell ref="H2252:J2252"/>
    <mergeCell ref="B1627:D1627"/>
    <mergeCell ref="A2593:D2593"/>
    <mergeCell ref="B1322:D1322"/>
    <mergeCell ref="G1306:J1306"/>
    <mergeCell ref="H2179:J2179"/>
    <mergeCell ref="B1622:D1622"/>
    <mergeCell ref="H1874:J1874"/>
    <mergeCell ref="H1963:J1963"/>
    <mergeCell ref="H2479:J2479"/>
    <mergeCell ref="H2180:J2180"/>
    <mergeCell ref="B2012:D2012"/>
    <mergeCell ref="H2174:J2174"/>
    <mergeCell ref="G1474:J1474"/>
    <mergeCell ref="B2312:D2312"/>
    <mergeCell ref="B2306:D2306"/>
    <mergeCell ref="H2632:J2632"/>
    <mergeCell ref="G1774:J1774"/>
    <mergeCell ref="B2007:D2007"/>
    <mergeCell ref="B2612:D2612"/>
    <mergeCell ref="H2321:J2321"/>
    <mergeCell ref="G2074:J2074"/>
    <mergeCell ref="B2307:D2307"/>
    <mergeCell ref="H2621:J2621"/>
    <mergeCell ref="H536:J536"/>
    <mergeCell ref="G289:J289"/>
    <mergeCell ref="H2779:J2779"/>
    <mergeCell ref="H2322:J2322"/>
    <mergeCell ref="H231:J231"/>
    <mergeCell ref="B1735:D1735"/>
    <mergeCell ref="H836:J836"/>
    <mergeCell ref="B2454:D2454"/>
    <mergeCell ref="B2035:D2035"/>
    <mergeCell ref="B2754:D2754"/>
    <mergeCell ref="B532:D532"/>
    <mergeCell ref="H247:J247"/>
    <mergeCell ref="A1477:D1477"/>
    <mergeCell ref="G2433:J2433"/>
    <mergeCell ref="H547:J547"/>
    <mergeCell ref="H128:J128"/>
    <mergeCell ref="B1746:D1746"/>
    <mergeCell ref="H847:J847"/>
    <mergeCell ref="B266:D266"/>
    <mergeCell ref="B2046:D2046"/>
    <mergeCell ref="H1216:J1216"/>
    <mergeCell ref="B566:D566"/>
    <mergeCell ref="B2834:D2834"/>
    <mergeCell ref="G2482:J2482"/>
    <mergeCell ref="A1857:D1857"/>
    <mergeCell ref="H1232:J1232"/>
    <mergeCell ref="H906:J906"/>
    <mergeCell ref="G2782:J2782"/>
    <mergeCell ref="B2404:D2404"/>
    <mergeCell ref="A2157:D2157"/>
    <mergeCell ref="H1532:J1532"/>
    <mergeCell ref="A1858:D1858"/>
    <mergeCell ref="B2704:D2704"/>
    <mergeCell ref="B619:D619"/>
    <mergeCell ref="B2862:D2862"/>
    <mergeCell ref="G81:J81"/>
    <mergeCell ref="G2929:J2929"/>
    <mergeCell ref="G381:J381"/>
    <mergeCell ref="A2005:D2005"/>
    <mergeCell ref="A2305:D2305"/>
    <mergeCell ref="A214:D214"/>
    <mergeCell ref="H1255:J1255"/>
    <mergeCell ref="G397:J397"/>
    <mergeCell ref="B630:D630"/>
    <mergeCell ref="B2873:D2873"/>
    <mergeCell ref="G2857:J2857"/>
    <mergeCell ref="B930:D930"/>
    <mergeCell ref="B1088:D1088"/>
    <mergeCell ref="G1066:J1066"/>
    <mergeCell ref="G609:J609"/>
    <mergeCell ref="B1388:D1388"/>
    <mergeCell ref="H1613:J1613"/>
    <mergeCell ref="A2773:D2773"/>
    <mergeCell ref="A225:D225"/>
    <mergeCell ref="H2033:J2033"/>
    <mergeCell ref="B772:D772"/>
    <mergeCell ref="H1614:J1614"/>
    <mergeCell ref="B1446:D1446"/>
    <mergeCell ref="A2985:D2985"/>
    <mergeCell ref="B1072:D1072"/>
    <mergeCell ref="H1914:J1914"/>
    <mergeCell ref="B1289:D1289"/>
    <mergeCell ref="A889:D889"/>
    <mergeCell ref="H302:J302"/>
    <mergeCell ref="G1209:J1209"/>
    <mergeCell ref="A1041:D1041"/>
    <mergeCell ref="H1625:J1625"/>
    <mergeCell ref="H139:J139"/>
    <mergeCell ref="H2382:J2382"/>
    <mergeCell ref="B1757:D1757"/>
    <mergeCell ref="H2599:J2599"/>
    <mergeCell ref="B1915:D1915"/>
    <mergeCell ref="A1057:D1057"/>
    <mergeCell ref="H2899:J2899"/>
    <mergeCell ref="B2215:D2215"/>
    <mergeCell ref="A1357:D1357"/>
    <mergeCell ref="H1983:J1983"/>
    <mergeCell ref="H2283:J2283"/>
    <mergeCell ref="G2194:J2194"/>
    <mergeCell ref="H281:J281"/>
    <mergeCell ref="A1569:D1569"/>
    <mergeCell ref="H2583:J2583"/>
    <mergeCell ref="H498:J498"/>
    <mergeCell ref="H2741:J2741"/>
    <mergeCell ref="B2116:D2116"/>
    <mergeCell ref="B2416:D2416"/>
    <mergeCell ref="G2341:J2341"/>
    <mergeCell ref="G2641:J2641"/>
    <mergeCell ref="H209:J209"/>
    <mergeCell ref="H184:J184"/>
    <mergeCell ref="B16:D16"/>
    <mergeCell ref="G93:J93"/>
    <mergeCell ref="H966:J966"/>
    <mergeCell ref="H2883:J2883"/>
    <mergeCell ref="H2969:J2969"/>
    <mergeCell ref="B2884:D2884"/>
    <mergeCell ref="B799:D799"/>
    <mergeCell ref="G109:J109"/>
    <mergeCell ref="B342:D342"/>
    <mergeCell ref="B2585:D2585"/>
    <mergeCell ref="H700:J700"/>
    <mergeCell ref="G453:J453"/>
    <mergeCell ref="H656:J656"/>
    <mergeCell ref="B1099:D1099"/>
    <mergeCell ref="G409:J409"/>
    <mergeCell ref="H351:J351"/>
    <mergeCell ref="A2065:D2065"/>
    <mergeCell ref="B158:D158"/>
    <mergeCell ref="H1000:J1000"/>
    <mergeCell ref="H956:J956"/>
    <mergeCell ref="B2618:D2618"/>
    <mergeCell ref="H651:J651"/>
    <mergeCell ref="B2155:D2155"/>
    <mergeCell ref="H1325:J1325"/>
    <mergeCell ref="B2918:D2918"/>
    <mergeCell ref="H1036:J1036"/>
    <mergeCell ref="H1011:J1011"/>
    <mergeCell ref="A1750:D1750"/>
    <mergeCell ref="B843:D843"/>
    <mergeCell ref="H1336:J1336"/>
    <mergeCell ref="B1143:D1143"/>
    <mergeCell ref="B2971:D2971"/>
    <mergeCell ref="B844:D844"/>
    <mergeCell ref="G2602:J2602"/>
    <mergeCell ref="G517:J517"/>
    <mergeCell ref="G2733:J2733"/>
    <mergeCell ref="H1064:J1064"/>
    <mergeCell ref="G817:J817"/>
    <mergeCell ref="B439:D439"/>
    <mergeCell ref="H1827:J1827"/>
    <mergeCell ref="A2566:D2566"/>
    <mergeCell ref="H1364:J1364"/>
    <mergeCell ref="A949:D949"/>
    <mergeCell ref="B739:D739"/>
    <mergeCell ref="B2982:D2982"/>
    <mergeCell ref="H2127:J2127"/>
    <mergeCell ref="G201:J201"/>
    <mergeCell ref="A2866:D2866"/>
    <mergeCell ref="B1502:D1502"/>
    <mergeCell ref="H1664:J1664"/>
    <mergeCell ref="B1496:D1496"/>
    <mergeCell ref="B1039:D1039"/>
    <mergeCell ref="H2452:J2452"/>
    <mergeCell ref="B1960:D1960"/>
    <mergeCell ref="A34:D34"/>
    <mergeCell ref="G2961:J2961"/>
    <mergeCell ref="A2793:D2793"/>
    <mergeCell ref="H1722:J1722"/>
    <mergeCell ref="A334:D334"/>
    <mergeCell ref="H1838:J1838"/>
    <mergeCell ref="A2577:D2577"/>
    <mergeCell ref="H2022:J2022"/>
    <mergeCell ref="A634:D634"/>
    <mergeCell ref="H26:J26"/>
    <mergeCell ref="H2138:J2138"/>
    <mergeCell ref="H53:J53"/>
    <mergeCell ref="B1555:D1555"/>
    <mergeCell ref="B1970:D1970"/>
    <mergeCell ref="A2877:D2877"/>
    <mergeCell ref="B1671:D1671"/>
    <mergeCell ref="B1638:D1638"/>
    <mergeCell ref="H353:J353"/>
    <mergeCell ref="B1855:D1855"/>
    <mergeCell ref="B1971:D1971"/>
    <mergeCell ref="B1550:D1550"/>
    <mergeCell ref="H1733:J1733"/>
    <mergeCell ref="A994:D994"/>
    <mergeCell ref="H2191:J2191"/>
    <mergeCell ref="B1566:D1566"/>
    <mergeCell ref="B1541:D1541"/>
    <mergeCell ref="H711:J711"/>
    <mergeCell ref="H2954:J2954"/>
    <mergeCell ref="H248:J248"/>
    <mergeCell ref="H2491:J2491"/>
    <mergeCell ref="H2034:J2034"/>
    <mergeCell ref="B1866:D1866"/>
    <mergeCell ref="H2192:J2192"/>
    <mergeCell ref="B2024:D2024"/>
    <mergeCell ref="A1777:D1777"/>
    <mergeCell ref="G1977:J1977"/>
    <mergeCell ref="B2324:D2324"/>
    <mergeCell ref="H422:J422"/>
    <mergeCell ref="A1161:D1161"/>
    <mergeCell ref="B2624:D2624"/>
    <mergeCell ref="A1810:D1810"/>
    <mergeCell ref="H2333:J2333"/>
    <mergeCell ref="H2849:J2849"/>
    <mergeCell ref="H722:J722"/>
    <mergeCell ref="A1461:D1461"/>
    <mergeCell ref="A2110:D2110"/>
    <mergeCell ref="H2633:J2633"/>
    <mergeCell ref="H2719:J2719"/>
    <mergeCell ref="H2850:J2850"/>
    <mergeCell ref="B854:D854"/>
    <mergeCell ref="B2682:D2682"/>
    <mergeCell ref="B555:D555"/>
    <mergeCell ref="B92:D92"/>
    <mergeCell ref="B2335:D2335"/>
    <mergeCell ref="H450:J450"/>
    <mergeCell ref="B2552:D2552"/>
    <mergeCell ref="B855:D855"/>
    <mergeCell ref="A1189:D1189"/>
    <mergeCell ref="A1821:D1821"/>
    <mergeCell ref="H775:J775"/>
    <mergeCell ref="H750:J750"/>
    <mergeCell ref="A1489:D1489"/>
    <mergeCell ref="B125:D125"/>
    <mergeCell ref="B2368:D2368"/>
    <mergeCell ref="A2146:D2146"/>
    <mergeCell ref="A2277:D2277"/>
    <mergeCell ref="H1075:J1075"/>
    <mergeCell ref="H2861:J2861"/>
    <mergeCell ref="B2693:D2693"/>
    <mergeCell ref="B583:D583"/>
    <mergeCell ref="A2446:D2446"/>
    <mergeCell ref="A361:D361"/>
    <mergeCell ref="H1076:J1076"/>
    <mergeCell ref="B2993:D2993"/>
    <mergeCell ref="B908:D908"/>
    <mergeCell ref="B883:D883"/>
    <mergeCell ref="A661:D661"/>
    <mergeCell ref="B451:D451"/>
    <mergeCell ref="B2694:D2694"/>
    <mergeCell ref="B1208:D1208"/>
    <mergeCell ref="G2761:J2761"/>
    <mergeCell ref="A694:D694"/>
    <mergeCell ref="A2937:D2937"/>
    <mergeCell ref="B173:D173"/>
    <mergeCell ref="A46:D46"/>
    <mergeCell ref="B919:D919"/>
    <mergeCell ref="A105:D105"/>
    <mergeCell ref="B473:D473"/>
    <mergeCell ref="A405:D405"/>
    <mergeCell ref="H1577:J1577"/>
    <mergeCell ref="A705:D705"/>
    <mergeCell ref="H1902:J1902"/>
    <mergeCell ref="B1252:D1252"/>
    <mergeCell ref="A2833:D2833"/>
    <mergeCell ref="H2202:J2202"/>
    <mergeCell ref="H1903:J1903"/>
    <mergeCell ref="B1710:D1710"/>
    <mergeCell ref="G2869:J2869"/>
    <mergeCell ref="H2203:J2203"/>
    <mergeCell ref="G1389:J1389"/>
    <mergeCell ref="B2010:D2010"/>
    <mergeCell ref="B1578:D1578"/>
    <mergeCell ref="H868:J868"/>
    <mergeCell ref="B1394:D1394"/>
    <mergeCell ref="H2236:J2236"/>
    <mergeCell ref="B2786:D2786"/>
    <mergeCell ref="B1721:D1721"/>
    <mergeCell ref="B1300:D1300"/>
    <mergeCell ref="G1525:J1525"/>
    <mergeCell ref="H461:J461"/>
    <mergeCell ref="H2704:J2704"/>
    <mergeCell ref="H2247:J2247"/>
    <mergeCell ref="H162:J162"/>
    <mergeCell ref="H1853:J1853"/>
    <mergeCell ref="B294:D294"/>
    <mergeCell ref="B2537:D2537"/>
    <mergeCell ref="G1453:J1453"/>
    <mergeCell ref="B2080:D2080"/>
    <mergeCell ref="B594:D594"/>
    <mergeCell ref="B2285:D2285"/>
    <mergeCell ref="B2837:D2837"/>
    <mergeCell ref="H2000:J2000"/>
    <mergeCell ref="B2405:D2405"/>
    <mergeCell ref="G1753:J1753"/>
    <mergeCell ref="H2300:J2300"/>
    <mergeCell ref="B2705:D2705"/>
    <mergeCell ref="G2053:J2053"/>
    <mergeCell ref="H304:J304"/>
    <mergeCell ref="H1995:J1995"/>
    <mergeCell ref="H2600:J2600"/>
    <mergeCell ref="B2432:D2432"/>
    <mergeCell ref="B305:D305"/>
    <mergeCell ref="B2427:D2427"/>
    <mergeCell ref="H531:J531"/>
    <mergeCell ref="A1245:D1245"/>
    <mergeCell ref="H831:J831"/>
    <mergeCell ref="G742:J742"/>
    <mergeCell ref="A117:D117"/>
    <mergeCell ref="H1289:J1289"/>
    <mergeCell ref="B664:D664"/>
    <mergeCell ref="B2907:D2907"/>
    <mergeCell ref="B1421:D1421"/>
    <mergeCell ref="H254:J254"/>
    <mergeCell ref="H859:J859"/>
    <mergeCell ref="H554:J554"/>
    <mergeCell ref="A145:D145"/>
    <mergeCell ref="H879:J879"/>
    <mergeCell ref="H854:J854"/>
    <mergeCell ref="B686:D686"/>
    <mergeCell ref="A2713:D2713"/>
    <mergeCell ref="G154:J154"/>
    <mergeCell ref="G454:J454"/>
    <mergeCell ref="H939:J939"/>
    <mergeCell ref="H1658:J1658"/>
    <mergeCell ref="H1239:J1239"/>
    <mergeCell ref="A1978:D1978"/>
    <mergeCell ref="H1958:J1958"/>
    <mergeCell ref="H1539:J1539"/>
    <mergeCell ref="B1371:D1371"/>
    <mergeCell ref="A193:D193"/>
    <mergeCell ref="B1491:D1491"/>
    <mergeCell ref="H1240:J1240"/>
    <mergeCell ref="B1791:D1791"/>
    <mergeCell ref="B1372:D1372"/>
    <mergeCell ref="B1328:D1328"/>
    <mergeCell ref="A514:D514"/>
    <mergeCell ref="B1672:D1672"/>
    <mergeCell ref="G1045:J1045"/>
    <mergeCell ref="G1597:J1597"/>
    <mergeCell ref="A814:D814"/>
    <mergeCell ref="G1897:J1897"/>
    <mergeCell ref="G1465:J1465"/>
    <mergeCell ref="H2012:J2012"/>
    <mergeCell ref="B751:D751"/>
    <mergeCell ref="H2006:J2006"/>
    <mergeCell ref="G1281:J1281"/>
    <mergeCell ref="B1839:D1839"/>
    <mergeCell ref="A562:D562"/>
    <mergeCell ref="H2066:J2066"/>
    <mergeCell ref="A2953:D2953"/>
    <mergeCell ref="H123:J123"/>
    <mergeCell ref="H2372:J2372"/>
    <mergeCell ref="A862:D862"/>
    <mergeCell ref="H2366:J2366"/>
    <mergeCell ref="A1414:D1414"/>
    <mergeCell ref="B44:D44"/>
    <mergeCell ref="H423:J423"/>
    <mergeCell ref="B1436:D1436"/>
    <mergeCell ref="H2666:J2666"/>
    <mergeCell ref="B2498:D2498"/>
    <mergeCell ref="H2367:J2367"/>
    <mergeCell ref="B2199:D2199"/>
    <mergeCell ref="B1742:D1742"/>
    <mergeCell ref="B2804:D2804"/>
    <mergeCell ref="B256:D256"/>
    <mergeCell ref="G2266:J2266"/>
    <mergeCell ref="G181:J181"/>
    <mergeCell ref="B2499:D2499"/>
    <mergeCell ref="A1641:D1641"/>
    <mergeCell ref="H134:J134"/>
    <mergeCell ref="G481:J481"/>
    <mergeCell ref="B2799:D2799"/>
    <mergeCell ref="H2514:J2514"/>
    <mergeCell ref="B98:D98"/>
    <mergeCell ref="B2946:D2946"/>
    <mergeCell ref="B267:D267"/>
    <mergeCell ref="G165:J165"/>
    <mergeCell ref="B398:D398"/>
    <mergeCell ref="G1557:J1557"/>
    <mergeCell ref="H739:J739"/>
    <mergeCell ref="H293:J293"/>
    <mergeCell ref="H950:J950"/>
    <mergeCell ref="B1911:D1911"/>
    <mergeCell ref="A1689:D1689"/>
    <mergeCell ref="H1039:J1039"/>
    <mergeCell ref="B414:D414"/>
    <mergeCell ref="H1250:J1250"/>
    <mergeCell ref="B126:D126"/>
    <mergeCell ref="A1989:D1989"/>
    <mergeCell ref="H951:J951"/>
    <mergeCell ref="B295:D295"/>
    <mergeCell ref="B2563:D2563"/>
    <mergeCell ref="H4:J4"/>
    <mergeCell ref="B1083:D1083"/>
    <mergeCell ref="A2049:D2049"/>
    <mergeCell ref="B1383:D1383"/>
    <mergeCell ref="H2789:J2789"/>
    <mergeCell ref="A2349:D2349"/>
    <mergeCell ref="H629:J629"/>
    <mergeCell ref="A2050:D2050"/>
    <mergeCell ref="B811:D811"/>
    <mergeCell ref="A2350:D2350"/>
    <mergeCell ref="B462:D462"/>
    <mergeCell ref="G2689:J2689"/>
    <mergeCell ref="G573:J573"/>
    <mergeCell ref="H989:J989"/>
    <mergeCell ref="A37:D37"/>
    <mergeCell ref="G2989:J2989"/>
    <mergeCell ref="H1120:J1120"/>
    <mergeCell ref="A2497:D2497"/>
    <mergeCell ref="A406:D406"/>
    <mergeCell ref="H990:J990"/>
    <mergeCell ref="H2083:J2083"/>
    <mergeCell ref="B822:D822"/>
    <mergeCell ref="B953:D953"/>
    <mergeCell ref="B1122:D1122"/>
    <mergeCell ref="H2078:J2078"/>
    <mergeCell ref="B1910:D1910"/>
    <mergeCell ref="B2210:D2210"/>
    <mergeCell ref="A417:D417"/>
    <mergeCell ref="H1157:J1157"/>
    <mergeCell ref="B964:D964"/>
    <mergeCell ref="B1480:D1480"/>
    <mergeCell ref="H1806:J1806"/>
    <mergeCell ref="A717:D717"/>
    <mergeCell ref="A2545:D2545"/>
    <mergeCell ref="A934:D934"/>
    <mergeCell ref="H2106:J2106"/>
    <mergeCell ref="A2845:D2845"/>
    <mergeCell ref="H1190:J1190"/>
    <mergeCell ref="A13:D13"/>
    <mergeCell ref="H1490:J1490"/>
    <mergeCell ref="H1790:J1790"/>
    <mergeCell ref="H1817:J1817"/>
    <mergeCell ref="H5:J5"/>
    <mergeCell ref="H2117:J2117"/>
    <mergeCell ref="B1949:D1949"/>
    <mergeCell ref="B1623:D1623"/>
    <mergeCell ref="B1792:D1792"/>
    <mergeCell ref="G1717:J1717"/>
    <mergeCell ref="H2175:J2175"/>
    <mergeCell ref="H2264:J2264"/>
    <mergeCell ref="G2017:J2017"/>
    <mergeCell ref="H173:J173"/>
    <mergeCell ref="A1849:D1849"/>
    <mergeCell ref="H2475:J2475"/>
    <mergeCell ref="H473:J473"/>
    <mergeCell ref="A1761:D1761"/>
    <mergeCell ref="H16:J16"/>
    <mergeCell ref="H2775:J2775"/>
    <mergeCell ref="H690:J690"/>
    <mergeCell ref="B2091:D2091"/>
    <mergeCell ref="B2607:D2607"/>
    <mergeCell ref="H2933:J2933"/>
    <mergeCell ref="B2308:D2308"/>
    <mergeCell ref="A2061:D2061"/>
    <mergeCell ref="B2608:D2608"/>
    <mergeCell ref="G2833:J2833"/>
    <mergeCell ref="H401:J401"/>
    <mergeCell ref="G285:J285"/>
    <mergeCell ref="H2828:J2828"/>
    <mergeCell ref="H701:J701"/>
    <mergeCell ref="B533:D533"/>
    <mergeCell ref="H832:J832"/>
    <mergeCell ref="B2450:D2450"/>
    <mergeCell ref="H1001:J1001"/>
    <mergeCell ref="B833:D833"/>
    <mergeCell ref="B376:D376"/>
    <mergeCell ref="G301:J301"/>
    <mergeCell ref="B2619:D2619"/>
    <mergeCell ref="B534:D534"/>
    <mergeCell ref="B2750:D2750"/>
    <mergeCell ref="G601:J601"/>
    <mergeCell ref="B834:D834"/>
    <mergeCell ref="H543:J543"/>
    <mergeCell ref="A1773:D1773"/>
    <mergeCell ref="H1148:J1148"/>
    <mergeCell ref="H2839:J2839"/>
    <mergeCell ref="H843:J843"/>
    <mergeCell ref="H1517:J1517"/>
    <mergeCell ref="H1143:J1143"/>
    <mergeCell ref="B2672:D2672"/>
    <mergeCell ref="H113:J113"/>
    <mergeCell ref="B518:D518"/>
    <mergeCell ref="B676:D676"/>
    <mergeCell ref="B2972:D2972"/>
    <mergeCell ref="G349:J349"/>
    <mergeCell ref="B976:D976"/>
    <mergeCell ref="H1228:J1228"/>
    <mergeCell ref="B703:D703"/>
    <mergeCell ref="B246:D246"/>
    <mergeCell ref="H1528:J1528"/>
    <mergeCell ref="H1659:J1659"/>
    <mergeCell ref="G382:J382"/>
    <mergeCell ref="H1828:J1828"/>
    <mergeCell ref="B1660:D1660"/>
    <mergeCell ref="G682:J682"/>
    <mergeCell ref="H43:J43"/>
    <mergeCell ref="H1256:J1256"/>
    <mergeCell ref="B1661:D1661"/>
    <mergeCell ref="B631:D631"/>
    <mergeCell ref="H1556:J1556"/>
    <mergeCell ref="B1961:D1961"/>
    <mergeCell ref="B931:D931"/>
    <mergeCell ref="B626:D626"/>
    <mergeCell ref="H1856:J1856"/>
    <mergeCell ref="B1688:D1688"/>
    <mergeCell ref="B1650:D1650"/>
    <mergeCell ref="B1231:D1231"/>
    <mergeCell ref="G693:J693"/>
    <mergeCell ref="B926:D926"/>
    <mergeCell ref="A226:D226"/>
    <mergeCell ref="B773:D773"/>
    <mergeCell ref="A526:D526"/>
    <mergeCell ref="B1073:D1073"/>
    <mergeCell ref="A826:D826"/>
    <mergeCell ref="H2355:J2355"/>
    <mergeCell ref="H2960:J2960"/>
    <mergeCell ref="H2023:J2023"/>
    <mergeCell ref="B1830:D1830"/>
    <mergeCell ref="B1373:D1373"/>
    <mergeCell ref="G1378:J1378"/>
    <mergeCell ref="G1509:J1509"/>
    <mergeCell ref="H2656:J2656"/>
    <mergeCell ref="G1809:J1809"/>
    <mergeCell ref="G1510:J1510"/>
    <mergeCell ref="H140:J140"/>
    <mergeCell ref="H2383:J2383"/>
    <mergeCell ref="B1758:D1758"/>
    <mergeCell ref="A1642:D1642"/>
    <mergeCell ref="H440:J440"/>
    <mergeCell ref="H2683:J2683"/>
    <mergeCell ref="H2226:J2226"/>
    <mergeCell ref="B2058:D2058"/>
    <mergeCell ref="H135:J135"/>
    <mergeCell ref="G1737:J1737"/>
    <mergeCell ref="B2358:D2358"/>
    <mergeCell ref="B2516:D2516"/>
    <mergeCell ref="B2059:D2059"/>
    <mergeCell ref="G2494:J2494"/>
    <mergeCell ref="G2037:J2037"/>
    <mergeCell ref="A1353:D1353"/>
    <mergeCell ref="B2816:D2816"/>
    <mergeCell ref="H282:J282"/>
    <mergeCell ref="B1900:D1900"/>
    <mergeCell ref="G2337:J2337"/>
    <mergeCell ref="G1821:J1821"/>
    <mergeCell ref="A1653:D1653"/>
    <mergeCell ref="H582:J582"/>
    <mergeCell ref="A1870:D1870"/>
    <mergeCell ref="B2200:D2200"/>
    <mergeCell ref="A1953:D1953"/>
    <mergeCell ref="B2417:D2417"/>
    <mergeCell ref="B284:D284"/>
    <mergeCell ref="B415:D415"/>
    <mergeCell ref="B2717:D2717"/>
    <mergeCell ref="B584:D584"/>
    <mergeCell ref="B715:D715"/>
    <mergeCell ref="H967:J967"/>
    <mergeCell ref="H510:J510"/>
    <mergeCell ref="G394:J394"/>
    <mergeCell ref="G2506:J2506"/>
    <mergeCell ref="G2637:J2637"/>
    <mergeCell ref="H1267:J1267"/>
    <mergeCell ref="H810:J810"/>
    <mergeCell ref="G2806:J2806"/>
    <mergeCell ref="H962:J962"/>
    <mergeCell ref="B2885:D2885"/>
    <mergeCell ref="H1567:J1567"/>
    <mergeCell ref="H1268:J1268"/>
    <mergeCell ref="B1100:D1100"/>
    <mergeCell ref="B643:D643"/>
    <mergeCell ref="B2886:D2886"/>
    <mergeCell ref="G105:J105"/>
    <mergeCell ref="B1400:D1400"/>
    <mergeCell ref="G2953:J2953"/>
    <mergeCell ref="H652:J652"/>
    <mergeCell ref="B1095:D1095"/>
    <mergeCell ref="G405:J405"/>
    <mergeCell ref="A237:D237"/>
    <mergeCell ref="H1278:J1278"/>
    <mergeCell ref="H1409:J1409"/>
    <mergeCell ref="B784:D784"/>
    <mergeCell ref="H1626:J1626"/>
    <mergeCell ref="B365:D365"/>
    <mergeCell ref="A537:D537"/>
    <mergeCell ref="A118:D118"/>
    <mergeCell ref="A238:D238"/>
    <mergeCell ref="H1709:J1709"/>
    <mergeCell ref="A2997:D2997"/>
    <mergeCell ref="B1084:D1084"/>
    <mergeCell ref="B1111:D1111"/>
    <mergeCell ref="H1926:J1926"/>
    <mergeCell ref="B665:D665"/>
    <mergeCell ref="G133:J133"/>
    <mergeCell ref="B1411:D1411"/>
    <mergeCell ref="G433:J433"/>
    <mergeCell ref="A265:D265"/>
    <mergeCell ref="G2701:J2701"/>
    <mergeCell ref="G1090:J1090"/>
    <mergeCell ref="G1221:J1221"/>
    <mergeCell ref="A565:D565"/>
    <mergeCell ref="H2094:J2094"/>
    <mergeCell ref="H1637:J1637"/>
    <mergeCell ref="G1390:J1390"/>
    <mergeCell ref="G1521:J1521"/>
    <mergeCell ref="H2394:J2394"/>
    <mergeCell ref="H1937:J1937"/>
    <mergeCell ref="H2095:J2095"/>
    <mergeCell ref="H2395:J2395"/>
    <mergeCell ref="B2227:D2227"/>
    <mergeCell ref="G1537:J1537"/>
    <mergeCell ref="B1770:D1770"/>
    <mergeCell ref="H1060:J1060"/>
    <mergeCell ref="G1881:J1881"/>
    <mergeCell ref="H1779:J1779"/>
    <mergeCell ref="H1360:J1360"/>
    <mergeCell ref="A945:D945"/>
    <mergeCell ref="H2079:J2079"/>
    <mergeCell ref="H2753:J2753"/>
    <mergeCell ref="B1492:D1492"/>
    <mergeCell ref="G802:J802"/>
    <mergeCell ref="B1335:D1335"/>
    <mergeCell ref="G1285:J1285"/>
    <mergeCell ref="G1917:J1917"/>
    <mergeCell ref="G1585:J1585"/>
    <mergeCell ref="H196:J196"/>
    <mergeCell ref="H2464:J2464"/>
    <mergeCell ref="H2439:J2439"/>
    <mergeCell ref="G2217:J2217"/>
    <mergeCell ref="H2045:J2045"/>
    <mergeCell ref="A1093:D1093"/>
    <mergeCell ref="G1885:J1885"/>
    <mergeCell ref="H2764:J2764"/>
    <mergeCell ref="G2517:J2517"/>
    <mergeCell ref="H2345:J2345"/>
    <mergeCell ref="A1393:D1393"/>
    <mergeCell ref="G1645:J1645"/>
    <mergeCell ref="B1851:D1851"/>
    <mergeCell ref="H979:J979"/>
    <mergeCell ref="B2597:D2597"/>
    <mergeCell ref="G1945:J1945"/>
    <mergeCell ref="H2492:J2492"/>
    <mergeCell ref="B2897:D2897"/>
    <mergeCell ref="G2245:J2245"/>
    <mergeCell ref="H338:J338"/>
    <mergeCell ref="A2077:D2077"/>
    <mergeCell ref="B2478:D2478"/>
    <mergeCell ref="H2187:J2187"/>
    <mergeCell ref="H2792:J2792"/>
    <mergeCell ref="A2377:D2377"/>
    <mergeCell ref="B2167:D2167"/>
    <mergeCell ref="H244:J244"/>
    <mergeCell ref="H2487:J2487"/>
    <mergeCell ref="G1629:J1629"/>
    <mergeCell ref="B1862:D1862"/>
    <mergeCell ref="B2467:D2467"/>
    <mergeCell ref="H544:J544"/>
    <mergeCell ref="H2787:J2787"/>
    <mergeCell ref="B2162:D2162"/>
    <mergeCell ref="B77:D77"/>
    <mergeCell ref="A1462:D1462"/>
    <mergeCell ref="B377:D377"/>
    <mergeCell ref="A1762:D1762"/>
    <mergeCell ref="H1323:J1323"/>
    <mergeCell ref="A2062:D2062"/>
    <mergeCell ref="H929:J929"/>
    <mergeCell ref="H1481:J1481"/>
    <mergeCell ref="B2547:D2547"/>
    <mergeCell ref="H1229:J1229"/>
    <mergeCell ref="G2614:J2614"/>
    <mergeCell ref="B2847:D2847"/>
    <mergeCell ref="B2936:D2936"/>
    <mergeCell ref="B845:D845"/>
    <mergeCell ref="G829:J829"/>
    <mergeCell ref="B1062:D1062"/>
    <mergeCell ref="A2422:D2422"/>
    <mergeCell ref="H1376:J1376"/>
    <mergeCell ref="G1129:J1129"/>
    <mergeCell ref="H919:J919"/>
    <mergeCell ref="H1071:J1071"/>
    <mergeCell ref="H614:J614"/>
    <mergeCell ref="B878:D878"/>
    <mergeCell ref="B446:D446"/>
    <mergeCell ref="A2905:D2905"/>
    <mergeCell ref="H1676:J1676"/>
    <mergeCell ref="B535:D535"/>
    <mergeCell ref="H1371:J1371"/>
    <mergeCell ref="B230:D230"/>
    <mergeCell ref="B746:D746"/>
    <mergeCell ref="B1046:D1046"/>
    <mergeCell ref="B1204:D1204"/>
    <mergeCell ref="A2589:D2589"/>
    <mergeCell ref="H1387:J1387"/>
    <mergeCell ref="A2170:D2170"/>
    <mergeCell ref="H1099:J1099"/>
    <mergeCell ref="H1082:J1082"/>
    <mergeCell ref="A2889:D2889"/>
    <mergeCell ref="A2470:D2470"/>
    <mergeCell ref="B1220:D1220"/>
    <mergeCell ref="A973:D973"/>
    <mergeCell ref="H2056:J2056"/>
    <mergeCell ref="B915:D915"/>
    <mergeCell ref="B1520:D1520"/>
    <mergeCell ref="H2356:J2356"/>
    <mergeCell ref="B1889:D1889"/>
    <mergeCell ref="H1110:J1110"/>
    <mergeCell ref="A2917:D2917"/>
    <mergeCell ref="B485:D485"/>
    <mergeCell ref="B2189:D2189"/>
    <mergeCell ref="H2503:J2503"/>
    <mergeCell ref="H2046:J2046"/>
    <mergeCell ref="H2204:J2204"/>
    <mergeCell ref="H2198:J2198"/>
    <mergeCell ref="A1789:D1789"/>
    <mergeCell ref="H2498:J2498"/>
    <mergeCell ref="B2336:D2336"/>
    <mergeCell ref="A2089:D2089"/>
    <mergeCell ref="B2031:D2031"/>
    <mergeCell ref="G1341:J1341"/>
    <mergeCell ref="G922:J922"/>
    <mergeCell ref="B2636:D2636"/>
    <mergeCell ref="B2331:D2331"/>
    <mergeCell ref="G1641:J1641"/>
    <mergeCell ref="A1054:D1054"/>
    <mergeCell ref="H404:J404"/>
    <mergeCell ref="B1601:D1601"/>
    <mergeCell ref="A1354:D1354"/>
    <mergeCell ref="B1934:D1934"/>
    <mergeCell ref="B1901:D1901"/>
    <mergeCell ref="B1602:D1602"/>
    <mergeCell ref="A1065:D1065"/>
    <mergeCell ref="H152:J152"/>
    <mergeCell ref="B1612:D1612"/>
    <mergeCell ref="B290:D290"/>
    <mergeCell ref="H452:J452"/>
    <mergeCell ref="G1837:J1837"/>
    <mergeCell ref="H2912:J2912"/>
    <mergeCell ref="B2706:D2706"/>
    <mergeCell ref="B590:D590"/>
    <mergeCell ref="B127:D127"/>
    <mergeCell ref="G1749:J1749"/>
    <mergeCell ref="H2296:J2296"/>
    <mergeCell ref="G2049:J2049"/>
    <mergeCell ref="H679:J679"/>
    <mergeCell ref="H380:J380"/>
    <mergeCell ref="H2596:J2596"/>
    <mergeCell ref="A2181:D2181"/>
    <mergeCell ref="H2896:J2896"/>
    <mergeCell ref="H811:J811"/>
    <mergeCell ref="B512:D512"/>
    <mergeCell ref="B2728:D2728"/>
    <mergeCell ref="B2429:D2429"/>
    <mergeCell ref="A2182:D2182"/>
    <mergeCell ref="G585:J585"/>
    <mergeCell ref="B812:D812"/>
    <mergeCell ref="A2197:D2197"/>
    <mergeCell ref="G274:J274"/>
    <mergeCell ref="B2729:D2729"/>
    <mergeCell ref="H522:J522"/>
    <mergeCell ref="G406:J406"/>
    <mergeCell ref="H1279:J1279"/>
    <mergeCell ref="B654:D654"/>
    <mergeCell ref="G2881:J2881"/>
    <mergeCell ref="G765:J765"/>
    <mergeCell ref="B954:D954"/>
    <mergeCell ref="B655:D655"/>
    <mergeCell ref="B1171:D1171"/>
    <mergeCell ref="H880:J880"/>
    <mergeCell ref="G633:J633"/>
    <mergeCell ref="A141:D141"/>
    <mergeCell ref="H1180:J1180"/>
    <mergeCell ref="G933:J933"/>
    <mergeCell ref="H115:J115"/>
    <mergeCell ref="H1480:J1480"/>
    <mergeCell ref="H1507:J1507"/>
    <mergeCell ref="H27:J27"/>
    <mergeCell ref="A766:D766"/>
    <mergeCell ref="B1639:D1639"/>
    <mergeCell ref="B1313:D1313"/>
    <mergeCell ref="B1939:D1939"/>
    <mergeCell ref="B1613:D1613"/>
    <mergeCell ref="H1649:J1649"/>
    <mergeCell ref="B1781:D1781"/>
    <mergeCell ref="B1324:D1324"/>
    <mergeCell ref="H1219:J1219"/>
    <mergeCell ref="B1782:D1782"/>
    <mergeCell ref="B2298:D2298"/>
    <mergeCell ref="B752:D752"/>
    <mergeCell ref="H2007:J2007"/>
    <mergeCell ref="H1982:J1982"/>
    <mergeCell ref="A505:D505"/>
    <mergeCell ref="B1052:D1052"/>
    <mergeCell ref="H2307:J2307"/>
    <mergeCell ref="A805:D805"/>
    <mergeCell ref="H197:J197"/>
    <mergeCell ref="B1352:D1352"/>
    <mergeCell ref="H2607:J2607"/>
    <mergeCell ref="B2009:D2009"/>
    <mergeCell ref="H2308:J2308"/>
    <mergeCell ref="G1357:J1357"/>
    <mergeCell ref="B2140:D2140"/>
    <mergeCell ref="A1893:D1893"/>
    <mergeCell ref="G1657:J1657"/>
    <mergeCell ref="B2440:D2440"/>
    <mergeCell ref="H2667:J2667"/>
    <mergeCell ref="H2318:J2318"/>
    <mergeCell ref="H233:J233"/>
    <mergeCell ref="B40:D40"/>
    <mergeCell ref="H2967:J2967"/>
    <mergeCell ref="H882:J882"/>
    <mergeCell ref="A1621:D1621"/>
    <mergeCell ref="B2456:D2456"/>
    <mergeCell ref="H533:J533"/>
    <mergeCell ref="B340:D340"/>
    <mergeCell ref="B2151:D2151"/>
    <mergeCell ref="B2800:D2800"/>
    <mergeCell ref="B2756:D2756"/>
    <mergeCell ref="B2451:D2451"/>
    <mergeCell ref="B366:D366"/>
    <mergeCell ref="G2473:J2473"/>
    <mergeCell ref="A1174:D1174"/>
    <mergeCell ref="G477:J477"/>
    <mergeCell ref="H866:J866"/>
    <mergeCell ref="B1879:D1879"/>
    <mergeCell ref="H1024:J1024"/>
    <mergeCell ref="B2179:D2179"/>
    <mergeCell ref="B568:D568"/>
    <mergeCell ref="G2157:J2157"/>
    <mergeCell ref="B699:D699"/>
    <mergeCell ref="G1858:J1858"/>
    <mergeCell ref="B2479:D2479"/>
    <mergeCell ref="G793:J793"/>
    <mergeCell ref="G2158:J2158"/>
    <mergeCell ref="H735:J735"/>
    <mergeCell ref="A1990:D1990"/>
    <mergeCell ref="H272:J272"/>
    <mergeCell ref="B1351:D1351"/>
    <mergeCell ref="G2458:J2458"/>
    <mergeCell ref="G373:J373"/>
    <mergeCell ref="H1035:J1035"/>
    <mergeCell ref="H1551:J1551"/>
    <mergeCell ref="A2290:D2290"/>
    <mergeCell ref="B2864:D2864"/>
    <mergeCell ref="B1167:D1167"/>
    <mergeCell ref="B2995:D2995"/>
    <mergeCell ref="B710:D710"/>
    <mergeCell ref="B1384:D1384"/>
    <mergeCell ref="G2626:J2626"/>
    <mergeCell ref="G541:J541"/>
    <mergeCell ref="B1684:D1684"/>
    <mergeCell ref="H930:J930"/>
    <mergeCell ref="H1088:J1088"/>
    <mergeCell ref="G841:J841"/>
    <mergeCell ref="H631:J631"/>
    <mergeCell ref="B463:D463"/>
    <mergeCell ref="H1388:J1388"/>
    <mergeCell ref="G1141:J1141"/>
    <mergeCell ref="H931:J931"/>
    <mergeCell ref="B763:D763"/>
    <mergeCell ref="B1395:D1395"/>
    <mergeCell ref="H1688:J1688"/>
    <mergeCell ref="B1063:D1063"/>
    <mergeCell ref="B1695:D1695"/>
    <mergeCell ref="H2019:J2019"/>
    <mergeCell ref="B1826:D1826"/>
    <mergeCell ref="G2985:J2985"/>
    <mergeCell ref="H1399:J1399"/>
    <mergeCell ref="H1616:J1616"/>
    <mergeCell ref="B1423:D1423"/>
    <mergeCell ref="H2678:J2678"/>
    <mergeCell ref="G885:J885"/>
    <mergeCell ref="H2379:J2379"/>
    <mergeCell ref="H1916:J1916"/>
    <mergeCell ref="B2511:D2511"/>
    <mergeCell ref="A718:D718"/>
    <mergeCell ref="A1018:D1018"/>
    <mergeCell ref="H2215:J2215"/>
    <mergeCell ref="H1758:J1758"/>
    <mergeCell ref="B1590:D1590"/>
    <mergeCell ref="G2185:J2185"/>
    <mergeCell ref="H2515:J2515"/>
    <mergeCell ref="H2058:J2058"/>
    <mergeCell ref="B1890:D1890"/>
    <mergeCell ref="H2732:J2732"/>
    <mergeCell ref="B1471:D1471"/>
    <mergeCell ref="B410:D410"/>
    <mergeCell ref="B2190:D2190"/>
    <mergeCell ref="B1891:D1891"/>
    <mergeCell ref="H632:J632"/>
    <mergeCell ref="A1377:D1377"/>
    <mergeCell ref="B7:D7"/>
    <mergeCell ref="H2443:J2443"/>
    <mergeCell ref="H327:J327"/>
    <mergeCell ref="B307:D307"/>
    <mergeCell ref="H2743:J2743"/>
    <mergeCell ref="B2550:D2550"/>
    <mergeCell ref="B2:D2"/>
    <mergeCell ref="H17:J17"/>
    <mergeCell ref="G2529:J2529"/>
    <mergeCell ref="A1845:D1845"/>
    <mergeCell ref="H774:J774"/>
    <mergeCell ref="B2876:D2876"/>
    <mergeCell ref="H342:J342"/>
    <mergeCell ref="H317:J317"/>
    <mergeCell ref="H2585:J2585"/>
    <mergeCell ref="A2145:D2145"/>
    <mergeCell ref="A2362:D2362"/>
    <mergeCell ref="B449:D449"/>
    <mergeCell ref="H2885:J2885"/>
    <mergeCell ref="H1100:J1100"/>
    <mergeCell ref="H485:J485"/>
    <mergeCell ref="H702:J702"/>
    <mergeCell ref="A1441:D1441"/>
    <mergeCell ref="G586:J586"/>
    <mergeCell ref="H1002:J1002"/>
    <mergeCell ref="A1741:D1741"/>
    <mergeCell ref="A2041:D2041"/>
    <mergeCell ref="B1134:D1134"/>
    <mergeCell ref="B677:D677"/>
    <mergeCell ref="B835:D835"/>
    <mergeCell ref="G297:J297"/>
    <mergeCell ref="G2593:J2593"/>
    <mergeCell ref="H844:J844"/>
    <mergeCell ref="G597:J597"/>
    <mergeCell ref="A429:D429"/>
    <mergeCell ref="B830:D830"/>
    <mergeCell ref="H1144:J1144"/>
    <mergeCell ref="G897:J897"/>
    <mergeCell ref="A729:D729"/>
    <mergeCell ref="H1901:J1901"/>
    <mergeCell ref="H1469:J1469"/>
    <mergeCell ref="H1444:J1444"/>
    <mergeCell ref="H1050:J1050"/>
    <mergeCell ref="B819:D819"/>
    <mergeCell ref="B425:D425"/>
    <mergeCell ref="B977:D977"/>
    <mergeCell ref="B2668:D2668"/>
    <mergeCell ref="H1769:J1769"/>
    <mergeCell ref="G2893:J2893"/>
    <mergeCell ref="A757:D757"/>
    <mergeCell ref="H1829:J1829"/>
    <mergeCell ref="G1713:J1713"/>
    <mergeCell ref="A625:D625"/>
    <mergeCell ref="H2129:J2129"/>
    <mergeCell ref="B1504:D1504"/>
    <mergeCell ref="B2261:D2261"/>
    <mergeCell ref="B1804:D1804"/>
    <mergeCell ref="B1962:D1962"/>
    <mergeCell ref="H39:J39"/>
    <mergeCell ref="G961:J961"/>
    <mergeCell ref="H1971:J1971"/>
    <mergeCell ref="H1508:J1508"/>
    <mergeCell ref="H28:J28"/>
    <mergeCell ref="H1719:J1719"/>
    <mergeCell ref="H2271:J2271"/>
    <mergeCell ref="H186:J186"/>
    <mergeCell ref="B1646:D1646"/>
    <mergeCell ref="G994:J994"/>
    <mergeCell ref="B1946:D1946"/>
    <mergeCell ref="B1552:D1552"/>
    <mergeCell ref="B2104:D2104"/>
    <mergeCell ref="G1777:J1777"/>
    <mergeCell ref="H56:J56"/>
    <mergeCell ref="H2324:J2324"/>
    <mergeCell ref="G2077:J2077"/>
    <mergeCell ref="H2956:J2956"/>
    <mergeCell ref="G2377:J2377"/>
    <mergeCell ref="H1171:J1171"/>
    <mergeCell ref="B2631:D2631"/>
    <mergeCell ref="B2789:D2789"/>
    <mergeCell ref="H1166:J1166"/>
    <mergeCell ref="H136:J136"/>
    <mergeCell ref="H92:J92"/>
    <mergeCell ref="H2335:J2335"/>
    <mergeCell ref="H2552:J2552"/>
    <mergeCell ref="H855:J855"/>
    <mergeCell ref="H436:J436"/>
    <mergeCell ref="G189:J189"/>
    <mergeCell ref="B2054:D2054"/>
    <mergeCell ref="H2852:J2852"/>
    <mergeCell ref="H1155:J1155"/>
    <mergeCell ref="H736:J736"/>
    <mergeCell ref="B111:D111"/>
    <mergeCell ref="B2354:D2354"/>
    <mergeCell ref="A22:D22"/>
    <mergeCell ref="B2679:D2679"/>
    <mergeCell ref="B569:D569"/>
    <mergeCell ref="G2122:J2122"/>
    <mergeCell ref="H447:J447"/>
    <mergeCell ref="A2254:D2254"/>
    <mergeCell ref="A169:D169"/>
    <mergeCell ref="B280:D280"/>
    <mergeCell ref="B1016:D1016"/>
    <mergeCell ref="B2707:D2707"/>
    <mergeCell ref="B580:D580"/>
    <mergeCell ref="H1263:J1263"/>
    <mergeCell ref="H806:J806"/>
    <mergeCell ref="B638:D638"/>
    <mergeCell ref="B727:D727"/>
    <mergeCell ref="H1563:J1563"/>
    <mergeCell ref="A2302:D2302"/>
    <mergeCell ref="H1106:J1106"/>
    <mergeCell ref="B938:D938"/>
    <mergeCell ref="B1027:D1027"/>
    <mergeCell ref="B1238:D1238"/>
    <mergeCell ref="B1396:D1396"/>
    <mergeCell ref="G706:J706"/>
    <mergeCell ref="G2397:J2397"/>
    <mergeCell ref="H1579:J1579"/>
    <mergeCell ref="A838:D838"/>
    <mergeCell ref="A2230:D2230"/>
    <mergeCell ref="B1412:D1412"/>
    <mergeCell ref="H1574:J1574"/>
    <mergeCell ref="B2777:D2777"/>
    <mergeCell ref="B1107:D1107"/>
    <mergeCell ref="H1922:J1922"/>
    <mergeCell ref="B1712:D1712"/>
    <mergeCell ref="H2091:J2091"/>
    <mergeCell ref="B1407:D1407"/>
    <mergeCell ref="A130:D130"/>
    <mergeCell ref="A261:D261"/>
    <mergeCell ref="B2143:D2143"/>
    <mergeCell ref="H1721:J1721"/>
    <mergeCell ref="B1292:D1292"/>
    <mergeCell ref="B1707:D1707"/>
    <mergeCell ref="A430:D430"/>
    <mergeCell ref="A561:D561"/>
    <mergeCell ref="H2238:J2238"/>
    <mergeCell ref="H147:J147"/>
    <mergeCell ref="H2390:J2390"/>
    <mergeCell ref="H148:J148"/>
    <mergeCell ref="G1413:J1413"/>
    <mergeCell ref="G1533:J1533"/>
    <mergeCell ref="G1114:J1114"/>
    <mergeCell ref="B1760:D1760"/>
    <mergeCell ref="B2523:D2523"/>
    <mergeCell ref="G1833:J1833"/>
    <mergeCell ref="G1414:J1414"/>
    <mergeCell ref="A1246:D1246"/>
    <mergeCell ref="H158:J158"/>
    <mergeCell ref="H1986:J1986"/>
    <mergeCell ref="A1965:D1965"/>
    <mergeCell ref="B1793:D1793"/>
    <mergeCell ref="G1714:J1714"/>
    <mergeCell ref="A1546:D1546"/>
    <mergeCell ref="H2286:J2286"/>
    <mergeCell ref="B2539:D2539"/>
    <mergeCell ref="B2093:D2093"/>
    <mergeCell ref="H290:J290"/>
    <mergeCell ref="B596:D596"/>
    <mergeCell ref="G2218:J2218"/>
    <mergeCell ref="B2839:D2839"/>
    <mergeCell ref="B291:D291"/>
    <mergeCell ref="G1861:J1861"/>
    <mergeCell ref="G2518:J2518"/>
    <mergeCell ref="A1257:D1257"/>
    <mergeCell ref="B2419:D2419"/>
    <mergeCell ref="G2818:J2818"/>
    <mergeCell ref="H974:J974"/>
    <mergeCell ref="H1280:J1280"/>
    <mergeCell ref="B19:D19"/>
    <mergeCell ref="B344:D344"/>
    <mergeCell ref="B319:D319"/>
    <mergeCell ref="G1941:J1941"/>
    <mergeCell ref="H1275:J1275"/>
    <mergeCell ref="B650:D650"/>
    <mergeCell ref="G2241:J2241"/>
    <mergeCell ref="B2887:D2887"/>
    <mergeCell ref="G2197:J2197"/>
    <mergeCell ref="A2221:D2221"/>
    <mergeCell ref="G298:J298"/>
    <mergeCell ref="G2566:J2566"/>
    <mergeCell ref="G2541:J2541"/>
    <mergeCell ref="A2373:D2373"/>
    <mergeCell ref="H1291:J1291"/>
    <mergeCell ref="B2920:D2920"/>
    <mergeCell ref="H986:J986"/>
    <mergeCell ref="B2463:D2463"/>
    <mergeCell ref="A2374:D2374"/>
    <mergeCell ref="B2763:D2763"/>
    <mergeCell ref="B678:D678"/>
    <mergeCell ref="G2713:J2713"/>
    <mergeCell ref="G9:J9"/>
    <mergeCell ref="H556:J556"/>
    <mergeCell ref="A2269:D2269"/>
    <mergeCell ref="B846:D846"/>
    <mergeCell ref="B389:D389"/>
    <mergeCell ref="A273:D273"/>
    <mergeCell ref="H2407:J2407"/>
    <mergeCell ref="A2569:D2569"/>
    <mergeCell ref="B1146:D1146"/>
    <mergeCell ref="B689:D689"/>
    <mergeCell ref="B2957:D2957"/>
    <mergeCell ref="G825:J825"/>
    <mergeCell ref="H1372:J1372"/>
    <mergeCell ref="G1125:J1125"/>
    <mergeCell ref="A957:D957"/>
    <mergeCell ref="B747:D747"/>
    <mergeCell ref="B2990:D2990"/>
    <mergeCell ref="H1672:J1672"/>
    <mergeCell ref="G1425:J1425"/>
    <mergeCell ref="B1047:D1047"/>
    <mergeCell ref="A958:D958"/>
    <mergeCell ref="B2827:D2827"/>
    <mergeCell ref="H1972:J1972"/>
    <mergeCell ref="B1347:D1347"/>
    <mergeCell ref="B1505:D1505"/>
    <mergeCell ref="A1258:D1258"/>
    <mergeCell ref="B1805:D1805"/>
    <mergeCell ref="H2057:J2057"/>
    <mergeCell ref="H1683:J1683"/>
    <mergeCell ref="H2357:J2357"/>
    <mergeCell ref="A969:D969"/>
    <mergeCell ref="H2657:J2657"/>
    <mergeCell ref="B1973:D1973"/>
    <mergeCell ref="B1516:D1516"/>
    <mergeCell ref="H198:J198"/>
    <mergeCell ref="B30:D30"/>
    <mergeCell ref="B2273:D2273"/>
    <mergeCell ref="B1816:D1816"/>
    <mergeCell ref="B2490:D2490"/>
    <mergeCell ref="H2199:J2199"/>
    <mergeCell ref="A697:D697"/>
    <mergeCell ref="H1742:J1742"/>
    <mergeCell ref="G2557:J2557"/>
    <mergeCell ref="H2499:J2499"/>
    <mergeCell ref="A997:D997"/>
    <mergeCell ref="H2042:J2042"/>
    <mergeCell ref="B1874:D1874"/>
    <mergeCell ref="H2036:J2036"/>
    <mergeCell ref="H40:J40"/>
    <mergeCell ref="H2799:J2799"/>
    <mergeCell ref="B2174:D2174"/>
    <mergeCell ref="H2500:J2500"/>
    <mergeCell ref="A2085:D2085"/>
    <mergeCell ref="H340:J340"/>
    <mergeCell ref="B2632:D2632"/>
    <mergeCell ref="H267:J267"/>
    <mergeCell ref="H2510:J2510"/>
    <mergeCell ref="H425:J425"/>
    <mergeCell ref="A2101:D2101"/>
    <mergeCell ref="G178:J178"/>
    <mergeCell ref="H2727:J2727"/>
    <mergeCell ref="H725:J725"/>
    <mergeCell ref="A2401:D2401"/>
    <mergeCell ref="B100:D100"/>
    <mergeCell ref="B75:D75"/>
    <mergeCell ref="B2343:D2343"/>
    <mergeCell ref="B2948:D2948"/>
    <mergeCell ref="H1025:J1025"/>
    <mergeCell ref="B857:D857"/>
    <mergeCell ref="B400:D400"/>
    <mergeCell ref="B2643:D2643"/>
    <mergeCell ref="A1366:D1366"/>
    <mergeCell ref="B2860:D2860"/>
    <mergeCell ref="H295:J295"/>
    <mergeCell ref="B2943:D2943"/>
    <mergeCell ref="B858:D858"/>
    <mergeCell ref="B1913:D1913"/>
    <mergeCell ref="H296:J296"/>
    <mergeCell ref="B128:D128"/>
    <mergeCell ref="H2564:J2564"/>
    <mergeCell ref="A2149:D2149"/>
    <mergeCell ref="B428:D428"/>
    <mergeCell ref="G2050:J2050"/>
    <mergeCell ref="B2696:D2696"/>
    <mergeCell ref="B123:D123"/>
    <mergeCell ref="B1216:D1216"/>
    <mergeCell ref="G2350:J2350"/>
    <mergeCell ref="B2996:D2996"/>
    <mergeCell ref="G2650:J2650"/>
    <mergeCell ref="A2482:D2482"/>
    <mergeCell ref="H975:J975"/>
    <mergeCell ref="H1112:J1112"/>
    <mergeCell ref="A2782:D2782"/>
    <mergeCell ref="B927:D927"/>
    <mergeCell ref="B902:D902"/>
    <mergeCell ref="H1395:J1395"/>
    <mergeCell ref="B1227:D1227"/>
    <mergeCell ref="B808:D808"/>
    <mergeCell ref="G733:J733"/>
    <mergeCell ref="H1122:J1122"/>
    <mergeCell ref="B1527:D1527"/>
    <mergeCell ref="B497:D497"/>
    <mergeCell ref="G1033:J1033"/>
    <mergeCell ref="H823:J823"/>
    <mergeCell ref="A2493:D2493"/>
    <mergeCell ref="H1580:J1580"/>
    <mergeCell ref="G1333:J1333"/>
    <mergeCell ref="H1123:J1123"/>
    <mergeCell ref="B955:D955"/>
    <mergeCell ref="H1448:J1448"/>
    <mergeCell ref="H1423:J1423"/>
    <mergeCell ref="B1255:D1255"/>
    <mergeCell ref="B798:D798"/>
    <mergeCell ref="G717:J717"/>
    <mergeCell ref="H2211:J2211"/>
    <mergeCell ref="B950:D950"/>
    <mergeCell ref="G934:J934"/>
    <mergeCell ref="G1234:J1234"/>
    <mergeCell ref="A550:D550"/>
    <mergeCell ref="H2107:J2107"/>
    <mergeCell ref="A2389:D2389"/>
    <mergeCell ref="H1808:J1808"/>
    <mergeCell ref="H111:J111"/>
    <mergeCell ref="A850:D850"/>
    <mergeCell ref="H2527:J2527"/>
    <mergeCell ref="H2108:J2108"/>
    <mergeCell ref="B1940:D1940"/>
    <mergeCell ref="B2240:D2240"/>
    <mergeCell ref="G1702:J1702"/>
    <mergeCell ref="B1935:D1935"/>
    <mergeCell ref="G1245:J1245"/>
    <mergeCell ref="H164:J164"/>
    <mergeCell ref="H1792:J1792"/>
    <mergeCell ref="B1624:D1624"/>
    <mergeCell ref="H1950:J1950"/>
    <mergeCell ref="A1078:D1078"/>
    <mergeCell ref="H7:J7"/>
    <mergeCell ref="H2707:J2707"/>
    <mergeCell ref="H2275:J2275"/>
    <mergeCell ref="H2250:J2250"/>
    <mergeCell ref="B2082:D2082"/>
    <mergeCell ref="H2924:J2924"/>
    <mergeCell ref="B1625:D1625"/>
    <mergeCell ref="B139:D139"/>
    <mergeCell ref="H2575:J2575"/>
    <mergeCell ref="H2550:J2550"/>
    <mergeCell ref="G1761:J1761"/>
    <mergeCell ref="B2382:D2382"/>
    <mergeCell ref="B1925:D1925"/>
    <mergeCell ref="B2599:D2599"/>
    <mergeCell ref="B2083:D2083"/>
    <mergeCell ref="G2061:J2061"/>
    <mergeCell ref="B2294:D2294"/>
    <mergeCell ref="H175:J175"/>
    <mergeCell ref="H2608:J2608"/>
    <mergeCell ref="H2635:J2635"/>
    <mergeCell ref="G2361:J2361"/>
    <mergeCell ref="B2594:D2594"/>
    <mergeCell ref="H475:J475"/>
    <mergeCell ref="H176:J176"/>
    <mergeCell ref="H2908:J2908"/>
    <mergeCell ref="H2935:J2935"/>
    <mergeCell ref="B2310:D2310"/>
    <mergeCell ref="A2194:D2194"/>
    <mergeCell ref="H476:J476"/>
    <mergeCell ref="H992:J992"/>
    <mergeCell ref="B2610:D2610"/>
    <mergeCell ref="B2741:D2741"/>
    <mergeCell ref="B519:D519"/>
    <mergeCell ref="G2230:J2230"/>
    <mergeCell ref="H2619:J2619"/>
    <mergeCell ref="H534:J534"/>
    <mergeCell ref="H2777:J2777"/>
    <mergeCell ref="A94:D94"/>
    <mergeCell ref="G2530:J2530"/>
    <mergeCell ref="A1486:D1486"/>
    <mergeCell ref="H834:J834"/>
    <mergeCell ref="B666:D666"/>
    <mergeCell ref="G2830:J2830"/>
    <mergeCell ref="A2205:D2205"/>
    <mergeCell ref="H1134:J1134"/>
    <mergeCell ref="B966:D966"/>
    <mergeCell ref="H1292:J1292"/>
    <mergeCell ref="B2752:D2752"/>
    <mergeCell ref="A1633:D1633"/>
    <mergeCell ref="H2647:J2647"/>
    <mergeCell ref="A1933:D1933"/>
    <mergeCell ref="B2480:D2480"/>
    <mergeCell ref="A2233:D2233"/>
    <mergeCell ref="B2780:D2780"/>
    <mergeCell ref="B558:D558"/>
    <mergeCell ref="G157:J157"/>
    <mergeCell ref="G2785:J2785"/>
    <mergeCell ref="G789:J789"/>
    <mergeCell ref="B1652:D1652"/>
    <mergeCell ref="G1089:J1089"/>
    <mergeCell ref="H1661:J1661"/>
    <mergeCell ref="H1242:J1242"/>
    <mergeCell ref="A2613:D2613"/>
    <mergeCell ref="H1961:J1961"/>
    <mergeCell ref="H1542:J1542"/>
    <mergeCell ref="H2261:J2261"/>
    <mergeCell ref="H1231:J1231"/>
    <mergeCell ref="B1375:D1375"/>
    <mergeCell ref="G685:J685"/>
    <mergeCell ref="A2602:D2602"/>
    <mergeCell ref="A517:D517"/>
    <mergeCell ref="G837:J837"/>
    <mergeCell ref="H78:J78"/>
    <mergeCell ref="H1226:J1226"/>
    <mergeCell ref="A817:D817"/>
    <mergeCell ref="B759:D759"/>
    <mergeCell ref="B1364:D1364"/>
    <mergeCell ref="A1117:D1117"/>
    <mergeCell ref="B1996:D1996"/>
    <mergeCell ref="B1059:D1059"/>
    <mergeCell ref="B1086:D1086"/>
    <mergeCell ref="G1153:J1153"/>
    <mergeCell ref="B1359:D1359"/>
    <mergeCell ref="H1700:J1700"/>
    <mergeCell ref="B2779:D2779"/>
    <mergeCell ref="H1911:J1911"/>
    <mergeCell ref="A1197:D1197"/>
    <mergeCell ref="H126:J126"/>
    <mergeCell ref="H2369:J2369"/>
    <mergeCell ref="B1744:D1744"/>
    <mergeCell ref="B2044:D2044"/>
    <mergeCell ref="G1969:J1969"/>
    <mergeCell ref="H2358:J2358"/>
    <mergeCell ref="B2344:D2344"/>
    <mergeCell ref="G2269:J2269"/>
    <mergeCell ref="H2059:J2059"/>
    <mergeCell ref="H2816:J2816"/>
    <mergeCell ref="G2569:J2569"/>
    <mergeCell ref="H2359:J2359"/>
    <mergeCell ref="H268:J268"/>
    <mergeCell ref="H2054:J2054"/>
    <mergeCell ref="B1886:D1886"/>
    <mergeCell ref="B2491:D2491"/>
    <mergeCell ref="B2186:D2186"/>
    <mergeCell ref="G1534:J1534"/>
    <mergeCell ref="B2213:D2213"/>
    <mergeCell ref="H328:J328"/>
    <mergeCell ref="H284:J284"/>
    <mergeCell ref="G37:J37"/>
    <mergeCell ref="B2486:D2486"/>
    <mergeCell ref="H2744:J2744"/>
    <mergeCell ref="G2497:J2497"/>
    <mergeCell ref="H628:J628"/>
    <mergeCell ref="H584:J584"/>
    <mergeCell ref="H2827:J2827"/>
    <mergeCell ref="H279:J279"/>
    <mergeCell ref="B1783:D1783"/>
    <mergeCell ref="G2797:J2797"/>
    <mergeCell ref="H953:J953"/>
    <mergeCell ref="H928:J928"/>
    <mergeCell ref="H496:J496"/>
    <mergeCell ref="H2739:J2739"/>
    <mergeCell ref="B112:D112"/>
    <mergeCell ref="G2638:J2638"/>
    <mergeCell ref="G553:J553"/>
    <mergeCell ref="B2871:D2871"/>
    <mergeCell ref="B2414:D2414"/>
    <mergeCell ref="G853:J853"/>
    <mergeCell ref="H2886:J2886"/>
    <mergeCell ref="H1095:J1095"/>
    <mergeCell ref="A2314:D2314"/>
    <mergeCell ref="B2899:D2899"/>
    <mergeCell ref="B2882:D2882"/>
    <mergeCell ref="B797:D797"/>
    <mergeCell ref="H1411:J1411"/>
    <mergeCell ref="H998:J998"/>
    <mergeCell ref="A1737:D1737"/>
    <mergeCell ref="H1755:J1755"/>
    <mergeCell ref="H1298:J1298"/>
    <mergeCell ref="A2037:D2037"/>
    <mergeCell ref="B1130:D1130"/>
    <mergeCell ref="H1412:J1412"/>
    <mergeCell ref="B667:D667"/>
    <mergeCell ref="B2910:D2910"/>
    <mergeCell ref="B368:D368"/>
    <mergeCell ref="H1623:J1623"/>
    <mergeCell ref="B1430:D1430"/>
    <mergeCell ref="B1131:D1131"/>
    <mergeCell ref="H677:J677"/>
    <mergeCell ref="H1770:J1770"/>
    <mergeCell ref="A262:D262"/>
    <mergeCell ref="A2722:D2722"/>
    <mergeCell ref="H2114:J2114"/>
    <mergeCell ref="B809:D809"/>
    <mergeCell ref="H2528:J2528"/>
    <mergeCell ref="A2869:D2869"/>
    <mergeCell ref="G946:J946"/>
    <mergeCell ref="B1784:D1784"/>
    <mergeCell ref="H1362:J1362"/>
    <mergeCell ref="H339:J339"/>
    <mergeCell ref="G1246:J1246"/>
    <mergeCell ref="B14:D14"/>
    <mergeCell ref="H2450:J2450"/>
    <mergeCell ref="B1952:D1952"/>
    <mergeCell ref="B1495:D1495"/>
    <mergeCell ref="B314:D314"/>
    <mergeCell ref="H2750:J2750"/>
    <mergeCell ref="G2025:J2025"/>
    <mergeCell ref="B2258:D2258"/>
    <mergeCell ref="B2252:D2252"/>
    <mergeCell ref="H1504:J1504"/>
    <mergeCell ref="H18:J18"/>
    <mergeCell ref="H1804:J1804"/>
    <mergeCell ref="H2897:J2897"/>
    <mergeCell ref="H2478:J2478"/>
    <mergeCell ref="B1853:D1853"/>
    <mergeCell ref="A1606:D1606"/>
    <mergeCell ref="H2778:J2778"/>
    <mergeCell ref="B2153:D2153"/>
    <mergeCell ref="B151:D151"/>
    <mergeCell ref="B2453:D2453"/>
    <mergeCell ref="H378:J378"/>
    <mergeCell ref="B2611:D2611"/>
    <mergeCell ref="A1753:D1753"/>
    <mergeCell ref="G2073:J2073"/>
    <mergeCell ref="H246:J246"/>
    <mergeCell ref="H798:J798"/>
    <mergeCell ref="H2489:J2489"/>
    <mergeCell ref="A2053:D2053"/>
    <mergeCell ref="G2373:J2373"/>
    <mergeCell ref="G2590:J2590"/>
    <mergeCell ref="H704:J704"/>
    <mergeCell ref="B79:D79"/>
    <mergeCell ref="B2322:D2322"/>
    <mergeCell ref="H1467:J1467"/>
    <mergeCell ref="A2206:D2206"/>
    <mergeCell ref="B842:D842"/>
    <mergeCell ref="G190:J190"/>
    <mergeCell ref="B836:D836"/>
    <mergeCell ref="G2389:J2389"/>
    <mergeCell ref="B2622:D2622"/>
    <mergeCell ref="G490:J490"/>
    <mergeCell ref="G2758:J2758"/>
    <mergeCell ref="H2936:J2936"/>
    <mergeCell ref="G2301:J2301"/>
    <mergeCell ref="H2631:J2631"/>
    <mergeCell ref="H546:J546"/>
    <mergeCell ref="H1062:J1062"/>
    <mergeCell ref="H2848:J2848"/>
    <mergeCell ref="B2680:D2680"/>
    <mergeCell ref="B520:D520"/>
    <mergeCell ref="H846:J846"/>
    <mergeCell ref="B2464:D2464"/>
    <mergeCell ref="B2980:D2980"/>
    <mergeCell ref="B870:D870"/>
    <mergeCell ref="B1195:D1195"/>
    <mergeCell ref="H748:J748"/>
    <mergeCell ref="G657:J657"/>
    <mergeCell ref="H1073:J1073"/>
    <mergeCell ref="G957:J957"/>
    <mergeCell ref="B581:D581"/>
    <mergeCell ref="H1373:J1373"/>
    <mergeCell ref="H1531:J1531"/>
    <mergeCell ref="B906:D906"/>
    <mergeCell ref="B881:D881"/>
    <mergeCell ref="H51:J51"/>
    <mergeCell ref="A790:D790"/>
    <mergeCell ref="H2294:J2294"/>
    <mergeCell ref="H1831:J1831"/>
    <mergeCell ref="G1017:J1017"/>
    <mergeCell ref="B1206:D1206"/>
    <mergeCell ref="H2594:J2594"/>
    <mergeCell ref="G1317:J1317"/>
    <mergeCell ref="H1520:J1520"/>
    <mergeCell ref="H1215:J1215"/>
    <mergeCell ref="H1864:J1864"/>
    <mergeCell ref="G1617:J1617"/>
    <mergeCell ref="H1515:J1515"/>
    <mergeCell ref="A1150:D1150"/>
    <mergeCell ref="H2189:J2189"/>
    <mergeCell ref="H2164:J2164"/>
    <mergeCell ref="B1539:D1539"/>
    <mergeCell ref="B1697:D1697"/>
    <mergeCell ref="A1450:D1450"/>
    <mergeCell ref="B1997:D1997"/>
    <mergeCell ref="H1575:J1575"/>
    <mergeCell ref="H89:J89"/>
    <mergeCell ref="H1875:J1875"/>
    <mergeCell ref="A2614:D2614"/>
    <mergeCell ref="A529:D529"/>
    <mergeCell ref="H2200:J2200"/>
    <mergeCell ref="H90:J90"/>
    <mergeCell ref="A829:D829"/>
    <mergeCell ref="B1708:D1708"/>
    <mergeCell ref="H415:J415"/>
    <mergeCell ref="H390:J390"/>
    <mergeCell ref="B222:D222"/>
    <mergeCell ref="B2033:D2033"/>
    <mergeCell ref="B2008:D2008"/>
    <mergeCell ref="H1934:J1934"/>
    <mergeCell ref="B2333:D2333"/>
    <mergeCell ref="G1681:J1681"/>
    <mergeCell ref="H2234:J2234"/>
    <mergeCell ref="H2228:J2228"/>
    <mergeCell ref="B548:D548"/>
    <mergeCell ref="B1603:D1603"/>
    <mergeCell ref="H2991:J2991"/>
    <mergeCell ref="B1604:D1604"/>
    <mergeCell ref="B2666:D2666"/>
    <mergeCell ref="H159:J159"/>
    <mergeCell ref="B2824:D2824"/>
    <mergeCell ref="B1904:D1904"/>
    <mergeCell ref="H459:J459"/>
    <mergeCell ref="A1198:D1198"/>
    <mergeCell ref="H2702:J2702"/>
    <mergeCell ref="H617:J617"/>
    <mergeCell ref="H917:J917"/>
    <mergeCell ref="H460:J460"/>
    <mergeCell ref="B292:D292"/>
    <mergeCell ref="H2282:J2282"/>
    <mergeCell ref="B2535:D2535"/>
    <mergeCell ref="H2887:J2887"/>
    <mergeCell ref="H1217:J1217"/>
    <mergeCell ref="B592:D592"/>
    <mergeCell ref="B2835:D2835"/>
    <mergeCell ref="A2173:D2173"/>
    <mergeCell ref="A1558:D1558"/>
    <mergeCell ref="B892:D892"/>
    <mergeCell ref="B2720:D2720"/>
    <mergeCell ref="B1050:D1050"/>
    <mergeCell ref="H818:J818"/>
    <mergeCell ref="H812:J812"/>
    <mergeCell ref="H2598:J2598"/>
    <mergeCell ref="A73:D73"/>
    <mergeCell ref="H602:J602"/>
    <mergeCell ref="H1118:J1118"/>
    <mergeCell ref="A2341:D2341"/>
    <mergeCell ref="B434:D434"/>
    <mergeCell ref="H2898:J2898"/>
    <mergeCell ref="A861:D861"/>
    <mergeCell ref="B2730:D2730"/>
    <mergeCell ref="B620:D620"/>
    <mergeCell ref="A2641:D2641"/>
    <mergeCell ref="B2431:D2431"/>
    <mergeCell ref="G82:J82"/>
    <mergeCell ref="G2542:J2542"/>
    <mergeCell ref="A2941:D2941"/>
    <mergeCell ref="B2731:D2731"/>
    <mergeCell ref="G2193:J2193"/>
    <mergeCell ref="H1286:J1286"/>
    <mergeCell ref="G2842:J2842"/>
    <mergeCell ref="G2410:J2410"/>
    <mergeCell ref="H1586:J1586"/>
    <mergeCell ref="A2325:D2325"/>
    <mergeCell ref="A2974:D2974"/>
    <mergeCell ref="A2026:D2026"/>
    <mergeCell ref="B1119:D1119"/>
    <mergeCell ref="B656:D656"/>
    <mergeCell ref="H1587:J1587"/>
    <mergeCell ref="B1419:D1419"/>
    <mergeCell ref="A2326:D2326"/>
    <mergeCell ref="B956:D956"/>
    <mergeCell ref="A142:D142"/>
    <mergeCell ref="G441:J441"/>
    <mergeCell ref="H101:J101"/>
    <mergeCell ref="B1719:D1719"/>
    <mergeCell ref="G610:J610"/>
    <mergeCell ref="A442:D442"/>
    <mergeCell ref="G741:J741"/>
    <mergeCell ref="A2685:D2685"/>
    <mergeCell ref="G1093:J1093"/>
    <mergeCell ref="H1640:J1640"/>
    <mergeCell ref="B1447:D1447"/>
    <mergeCell ref="B990:D990"/>
    <mergeCell ref="G909:J909"/>
    <mergeCell ref="H1940:J1940"/>
    <mergeCell ref="B1772:D1772"/>
    <mergeCell ref="B1747:D1747"/>
    <mergeCell ref="G777:J777"/>
    <mergeCell ref="H2240:J2240"/>
    <mergeCell ref="G1426:J1426"/>
    <mergeCell ref="B2072:D2072"/>
    <mergeCell ref="G1077:J1077"/>
    <mergeCell ref="G1726:J1726"/>
    <mergeCell ref="A585:D585"/>
    <mergeCell ref="B1458:D1458"/>
    <mergeCell ref="H171:J171"/>
    <mergeCell ref="A910:D910"/>
    <mergeCell ref="B1370:D1370"/>
    <mergeCell ref="G1437:J1437"/>
    <mergeCell ref="B1670:D1670"/>
    <mergeCell ref="A1269:D1269"/>
    <mergeCell ref="H1984:J1984"/>
    <mergeCell ref="A1270:D1270"/>
    <mergeCell ref="A1401:D1401"/>
    <mergeCell ref="H199:J199"/>
    <mergeCell ref="B1817:D1817"/>
    <mergeCell ref="A1570:D1570"/>
    <mergeCell ref="B331:D331"/>
    <mergeCell ref="H2767:J2767"/>
    <mergeCell ref="H2310:J2310"/>
    <mergeCell ref="B2574:D2574"/>
    <mergeCell ref="B2117:D2117"/>
    <mergeCell ref="B32:D32"/>
    <mergeCell ref="H1287:J1287"/>
    <mergeCell ref="B26:D26"/>
    <mergeCell ref="G2253:J2253"/>
    <mergeCell ref="H41:J41"/>
    <mergeCell ref="B27:D27"/>
    <mergeCell ref="G2553:J2553"/>
    <mergeCell ref="B42:D42"/>
    <mergeCell ref="H341:J341"/>
    <mergeCell ref="G2853:J2853"/>
    <mergeCell ref="A2386:D2386"/>
    <mergeCell ref="G478:J478"/>
    <mergeCell ref="B1865:D1865"/>
    <mergeCell ref="B254:D254"/>
    <mergeCell ref="H568:J568"/>
    <mergeCell ref="H2811:J2811"/>
    <mergeCell ref="B554:D554"/>
    <mergeCell ref="A2097:D2097"/>
    <mergeCell ref="H1026:J1026"/>
    <mergeCell ref="B401:D401"/>
    <mergeCell ref="A154:D154"/>
    <mergeCell ref="A285:D285"/>
    <mergeCell ref="A2397:D2397"/>
    <mergeCell ref="H1326:J1326"/>
    <mergeCell ref="H932:J932"/>
    <mergeCell ref="B701:D701"/>
    <mergeCell ref="B2944:D2944"/>
    <mergeCell ref="A2697:D2697"/>
    <mergeCell ref="G2617:J2617"/>
    <mergeCell ref="B1159:D1159"/>
    <mergeCell ref="B2850:D2850"/>
    <mergeCell ref="G2917:J2917"/>
    <mergeCell ref="H1168:J1168"/>
    <mergeCell ref="B1154:D1154"/>
    <mergeCell ref="B124:D124"/>
    <mergeCell ref="H916:J916"/>
    <mergeCell ref="B1169:D1169"/>
    <mergeCell ref="H1468:J1468"/>
    <mergeCell ref="H1074:J1074"/>
    <mergeCell ref="A2293:D2293"/>
    <mergeCell ref="B424:D424"/>
    <mergeCell ref="A177:D177"/>
    <mergeCell ref="B749:D749"/>
    <mergeCell ref="B724:D724"/>
    <mergeCell ref="B2992:D2992"/>
    <mergeCell ref="H1695:J1695"/>
    <mergeCell ref="G1606:J1606"/>
    <mergeCell ref="A2761:D2761"/>
    <mergeCell ref="H2153:J2153"/>
    <mergeCell ref="G1906:J1906"/>
    <mergeCell ref="B1528:D1528"/>
    <mergeCell ref="A1281:D1281"/>
    <mergeCell ref="H2453:J2453"/>
    <mergeCell ref="B1828:D1828"/>
    <mergeCell ref="B1986:D1986"/>
    <mergeCell ref="G877:J877"/>
    <mergeCell ref="A2794:D2794"/>
    <mergeCell ref="B2286:D2286"/>
    <mergeCell ref="H1424:J1424"/>
    <mergeCell ref="H1418:J1418"/>
    <mergeCell ref="A1009:D1009"/>
    <mergeCell ref="B951:D951"/>
    <mergeCell ref="A1309:D1309"/>
    <mergeCell ref="B1251:D1251"/>
    <mergeCell ref="H2043:J2043"/>
    <mergeCell ref="B1856:D1856"/>
    <mergeCell ref="B1576:D1576"/>
    <mergeCell ref="B1551:D1551"/>
    <mergeCell ref="G2710:J2710"/>
    <mergeCell ref="B1876:D1876"/>
    <mergeCell ref="H737:J737"/>
    <mergeCell ref="H2403:J2403"/>
    <mergeCell ref="H2104:J2104"/>
    <mergeCell ref="B1936:D1936"/>
    <mergeCell ref="H1037:J1037"/>
    <mergeCell ref="B2655:D2655"/>
    <mergeCell ref="H2404:J2404"/>
    <mergeCell ref="B2236:D2236"/>
    <mergeCell ref="B2955:D2955"/>
    <mergeCell ref="B2536:D2536"/>
    <mergeCell ref="H2:J2"/>
    <mergeCell ref="G2461:J2461"/>
    <mergeCell ref="B2237:D2237"/>
    <mergeCell ref="H2551:J2551"/>
    <mergeCell ref="G2329:J2329"/>
    <mergeCell ref="H3:J3"/>
    <mergeCell ref="B2078:D2078"/>
    <mergeCell ref="H2876:J2876"/>
    <mergeCell ref="G2629:J2629"/>
    <mergeCell ref="B4:D4"/>
    <mergeCell ref="H303:J303"/>
    <mergeCell ref="B135:D135"/>
    <mergeCell ref="B2384:D2384"/>
    <mergeCell ref="B2378:D2378"/>
    <mergeCell ref="G229:J229"/>
    <mergeCell ref="B435:D435"/>
    <mergeCell ref="B2703:D2703"/>
    <mergeCell ref="B2678:D2678"/>
    <mergeCell ref="G2662:J2662"/>
    <mergeCell ref="H776:J776"/>
    <mergeCell ref="H471:J471"/>
    <mergeCell ref="A2278:D2278"/>
    <mergeCell ref="H688:J688"/>
    <mergeCell ref="H2931:J2931"/>
    <mergeCell ref="B146:D146"/>
    <mergeCell ref="B2911:D2911"/>
    <mergeCell ref="H988:J988"/>
    <mergeCell ref="B304:D304"/>
    <mergeCell ref="B820:D820"/>
    <mergeCell ref="B2606:D2606"/>
    <mergeCell ref="B604:D604"/>
    <mergeCell ref="B1120:D1120"/>
    <mergeCell ref="H1446:J1446"/>
    <mergeCell ref="G2673:J2673"/>
    <mergeCell ref="B2906:D2906"/>
    <mergeCell ref="B904:D904"/>
    <mergeCell ref="H67:J67"/>
    <mergeCell ref="H830:J830"/>
    <mergeCell ref="A2506:D2506"/>
    <mergeCell ref="B831:D831"/>
    <mergeCell ref="H1130:J1130"/>
    <mergeCell ref="B962:D962"/>
    <mergeCell ref="B499:D499"/>
    <mergeCell ref="H1430:J1430"/>
    <mergeCell ref="B2959:D2959"/>
    <mergeCell ref="B1262:D1262"/>
    <mergeCell ref="G730:J730"/>
    <mergeCell ref="B1278:D1278"/>
    <mergeCell ref="H2120:J2120"/>
    <mergeCell ref="H1604:J1604"/>
    <mergeCell ref="B859:D859"/>
    <mergeCell ref="H1815:J1815"/>
    <mergeCell ref="B1647:D1647"/>
    <mergeCell ref="A2554:D2554"/>
    <mergeCell ref="H2115:J2115"/>
    <mergeCell ref="B1947:D1947"/>
    <mergeCell ref="A454:D454"/>
    <mergeCell ref="B1948:D1948"/>
    <mergeCell ref="A2914:D2914"/>
    <mergeCell ref="H1194:J1194"/>
    <mergeCell ref="B1001:D1001"/>
    <mergeCell ref="H2720:J2720"/>
    <mergeCell ref="H14:J14"/>
    <mergeCell ref="A1429:D1429"/>
    <mergeCell ref="G681:J681"/>
    <mergeCell ref="B1976:D1976"/>
    <mergeCell ref="H1554:J1554"/>
    <mergeCell ref="B2090:D2090"/>
    <mergeCell ref="H487:J487"/>
    <mergeCell ref="H74:J74"/>
    <mergeCell ref="H68:J68"/>
    <mergeCell ref="A813:D813"/>
    <mergeCell ref="H188:J188"/>
    <mergeCell ref="H1854:J1854"/>
    <mergeCell ref="H374:J374"/>
    <mergeCell ref="A1113:D1113"/>
    <mergeCell ref="H2642:J2642"/>
    <mergeCell ref="H488:J488"/>
    <mergeCell ref="B1687:D1687"/>
    <mergeCell ref="B506:D506"/>
    <mergeCell ref="H2942:J2942"/>
    <mergeCell ref="B2774:D2774"/>
    <mergeCell ref="B1987:D1987"/>
    <mergeCell ref="G1965:J1965"/>
    <mergeCell ref="H210:J210"/>
    <mergeCell ref="A1498:D1498"/>
    <mergeCell ref="H2670:J2670"/>
    <mergeCell ref="H122:J122"/>
    <mergeCell ref="A1798:D1798"/>
    <mergeCell ref="B43:D43"/>
    <mergeCell ref="H2995:J2995"/>
    <mergeCell ref="H2970:J2970"/>
    <mergeCell ref="A2098:D2098"/>
    <mergeCell ref="G1813:J1813"/>
    <mergeCell ref="B2645:D2645"/>
    <mergeCell ref="H138:J138"/>
    <mergeCell ref="B2803:D2803"/>
    <mergeCell ref="H2354:J2354"/>
    <mergeCell ref="G22:J22"/>
    <mergeCell ref="G2265:J2265"/>
    <mergeCell ref="H438:J438"/>
    <mergeCell ref="A1177:D1177"/>
    <mergeCell ref="H569:J569"/>
    <mergeCell ref="H2681:J2681"/>
    <mergeCell ref="B2187:D2187"/>
    <mergeCell ref="H738:J738"/>
    <mergeCell ref="B570:D570"/>
    <mergeCell ref="H2981:J2981"/>
    <mergeCell ref="H896:J896"/>
    <mergeCell ref="H439:J439"/>
    <mergeCell ref="B271:D271"/>
    <mergeCell ref="B2487:D2487"/>
    <mergeCell ref="B2514:D2514"/>
    <mergeCell ref="H1196:J1196"/>
    <mergeCell ref="B571:D571"/>
    <mergeCell ref="G2581:J2581"/>
    <mergeCell ref="B2787:D2787"/>
    <mergeCell ref="B2814:D2814"/>
    <mergeCell ref="H280:J280"/>
    <mergeCell ref="G33:J33"/>
    <mergeCell ref="B871:D871"/>
    <mergeCell ref="H580:J580"/>
    <mergeCell ref="G333:J333"/>
    <mergeCell ref="A165:D165"/>
    <mergeCell ref="H1254:J1254"/>
    <mergeCell ref="G550:J550"/>
    <mergeCell ref="G2793:J2793"/>
    <mergeCell ref="A2625:D2625"/>
    <mergeCell ref="B712:D712"/>
    <mergeCell ref="B255:D255"/>
    <mergeCell ref="B413:D413"/>
    <mergeCell ref="A166:D166"/>
    <mergeCell ref="A2925:D2925"/>
    <mergeCell ref="B713:D713"/>
    <mergeCell ref="G697:J697"/>
    <mergeCell ref="G849:J849"/>
    <mergeCell ref="B1013:D1013"/>
    <mergeCell ref="H1265:J1265"/>
    <mergeCell ref="H1396:J1396"/>
    <mergeCell ref="H1565:J1565"/>
    <mergeCell ref="G1165:J1165"/>
    <mergeCell ref="H1566:J1566"/>
    <mergeCell ref="B1398:D1398"/>
    <mergeCell ref="G2962:J2962"/>
    <mergeCell ref="H80:J80"/>
    <mergeCell ref="A2337:D2337"/>
    <mergeCell ref="B1698:D1698"/>
    <mergeCell ref="H1407:J1407"/>
    <mergeCell ref="B1998:D1998"/>
    <mergeCell ref="H1707:J1707"/>
    <mergeCell ref="H2381:J2381"/>
    <mergeCell ref="B1082:D1082"/>
    <mergeCell ref="H1924:J1924"/>
    <mergeCell ref="G1677:J1677"/>
    <mergeCell ref="B1240:D1240"/>
    <mergeCell ref="H2224:J2224"/>
    <mergeCell ref="B1540:D1540"/>
    <mergeCell ref="H222:J222"/>
    <mergeCell ref="B810:D810"/>
    <mergeCell ref="G1513:J1513"/>
    <mergeCell ref="H2392:J2392"/>
    <mergeCell ref="H2523:J2523"/>
    <mergeCell ref="H2692:J2692"/>
    <mergeCell ref="H607:J607"/>
    <mergeCell ref="H150:J150"/>
    <mergeCell ref="H2393:J2393"/>
    <mergeCell ref="G1546:J1546"/>
    <mergeCell ref="B2225:D2225"/>
    <mergeCell ref="H907:J907"/>
    <mergeCell ref="H2693:J2693"/>
    <mergeCell ref="B2525:D2525"/>
    <mergeCell ref="H2420:J2420"/>
    <mergeCell ref="B2825:D2825"/>
    <mergeCell ref="B740:D740"/>
    <mergeCell ref="H291:J291"/>
    <mergeCell ref="B1795:D1795"/>
    <mergeCell ref="H2751:J2751"/>
    <mergeCell ref="H2726:J2726"/>
    <mergeCell ref="A1249:D1249"/>
    <mergeCell ref="H2840:J2840"/>
    <mergeCell ref="H292:J292"/>
    <mergeCell ref="B1796:D1796"/>
    <mergeCell ref="B99:D99"/>
    <mergeCell ref="A1549:D1549"/>
    <mergeCell ref="B1790:D1790"/>
    <mergeCell ref="B2096:D2096"/>
    <mergeCell ref="H1266:J1266"/>
    <mergeCell ref="B5:D5"/>
    <mergeCell ref="G1558:J1558"/>
    <mergeCell ref="A1390:D1390"/>
    <mergeCell ref="H319:J319"/>
    <mergeCell ref="H20:J20"/>
    <mergeCell ref="B1937:D1937"/>
    <mergeCell ref="B326:D326"/>
    <mergeCell ref="H2474:J2474"/>
    <mergeCell ref="B152:D152"/>
    <mergeCell ref="H314:J314"/>
    <mergeCell ref="B2264:D2264"/>
    <mergeCell ref="H977:J977"/>
    <mergeCell ref="H2774:J2774"/>
    <mergeCell ref="A2365:D2365"/>
    <mergeCell ref="B452:D452"/>
    <mergeCell ref="H2888:J2888"/>
    <mergeCell ref="H1277:J1277"/>
    <mergeCell ref="H1408:J1408"/>
    <mergeCell ref="B2912:D2912"/>
    <mergeCell ref="G2374:J2374"/>
    <mergeCell ref="H2790:J2790"/>
    <mergeCell ref="G2674:J2674"/>
    <mergeCell ref="H242:J242"/>
    <mergeCell ref="H1304:J1304"/>
    <mergeCell ref="B163:D163"/>
    <mergeCell ref="B2922:D2922"/>
    <mergeCell ref="G2974:J2974"/>
    <mergeCell ref="B380:D380"/>
    <mergeCell ref="A133:D133"/>
    <mergeCell ref="B2623:D2623"/>
    <mergeCell ref="B680:D680"/>
    <mergeCell ref="B674:D674"/>
    <mergeCell ref="B2923:D2923"/>
    <mergeCell ref="B1226:D1226"/>
    <mergeCell ref="B794:D794"/>
    <mergeCell ref="G142:J142"/>
    <mergeCell ref="B832:D832"/>
    <mergeCell ref="G2385:J2385"/>
    <mergeCell ref="G442:J442"/>
    <mergeCell ref="H2932:J2932"/>
    <mergeCell ref="A274:D274"/>
    <mergeCell ref="G2685:J2685"/>
    <mergeCell ref="A2517:D2517"/>
    <mergeCell ref="G2902:J2902"/>
    <mergeCell ref="A2734:D2734"/>
    <mergeCell ref="A2218:D2218"/>
    <mergeCell ref="H1147:J1147"/>
    <mergeCell ref="H1663:J1663"/>
    <mergeCell ref="H1358:J1358"/>
    <mergeCell ref="A2518:D2518"/>
    <mergeCell ref="H1316:J1316"/>
    <mergeCell ref="B1148:D1148"/>
    <mergeCell ref="H1447:J1447"/>
    <mergeCell ref="B1279:D1279"/>
    <mergeCell ref="A2818:D2818"/>
    <mergeCell ref="A733:D733"/>
    <mergeCell ref="B974:D974"/>
    <mergeCell ref="G958:J958"/>
    <mergeCell ref="H1374:J1374"/>
    <mergeCell ref="G1258:J1258"/>
    <mergeCell ref="H1674:J1674"/>
    <mergeCell ref="H1832:J1832"/>
    <mergeCell ref="B1182:D1182"/>
    <mergeCell ref="H2132:J2132"/>
    <mergeCell ref="B1964:D1964"/>
    <mergeCell ref="B1507:D1507"/>
    <mergeCell ref="G969:J969"/>
    <mergeCell ref="B1202:D1202"/>
    <mergeCell ref="H2432:J2432"/>
    <mergeCell ref="B1807:D1807"/>
    <mergeCell ref="G1269:J1269"/>
    <mergeCell ref="G1918:J1918"/>
    <mergeCell ref="H30:J30"/>
    <mergeCell ref="H1974:J1974"/>
    <mergeCell ref="H363:J363"/>
    <mergeCell ref="A1102:D1102"/>
    <mergeCell ref="H31:J31"/>
    <mergeCell ref="H2274:J2274"/>
    <mergeCell ref="H2360:J2360"/>
    <mergeCell ref="G997:J997"/>
    <mergeCell ref="A1402:D1402"/>
    <mergeCell ref="H331:J331"/>
    <mergeCell ref="H2574:J2574"/>
    <mergeCell ref="G1297:J1297"/>
    <mergeCell ref="B795:D795"/>
    <mergeCell ref="G2085:J2085"/>
    <mergeCell ref="B2276:D2276"/>
    <mergeCell ref="H2501:J2501"/>
    <mergeCell ref="H391:J391"/>
    <mergeCell ref="H42:J42"/>
    <mergeCell ref="H2801:J2801"/>
    <mergeCell ref="H716:J716"/>
    <mergeCell ref="H2959:J2959"/>
    <mergeCell ref="H2502:J2502"/>
    <mergeCell ref="B2334:D2334"/>
    <mergeCell ref="H411:J411"/>
    <mergeCell ref="B2309:D2309"/>
    <mergeCell ref="B218:D218"/>
    <mergeCell ref="H2654:J2654"/>
    <mergeCell ref="H1016:J1016"/>
    <mergeCell ref="B2634:D2634"/>
    <mergeCell ref="B2934:D2934"/>
    <mergeCell ref="H2643:J2643"/>
    <mergeCell ref="A1657:D1657"/>
    <mergeCell ref="A1510:D1510"/>
    <mergeCell ref="H727:J727"/>
    <mergeCell ref="H2943:J2943"/>
    <mergeCell ref="H858:J858"/>
    <mergeCell ref="H2524:J2524"/>
    <mergeCell ref="H2644:J2644"/>
    <mergeCell ref="B1899:D1899"/>
    <mergeCell ref="B2057:D2057"/>
    <mergeCell ref="H1027:J1027"/>
    <mergeCell ref="B560:D560"/>
    <mergeCell ref="B114:D114"/>
    <mergeCell ref="B2357:D2357"/>
    <mergeCell ref="B860:D860"/>
    <mergeCell ref="A1957:D1957"/>
    <mergeCell ref="G2749:J2749"/>
    <mergeCell ref="H1543:J1543"/>
    <mergeCell ref="H1518:J1518"/>
    <mergeCell ref="A2257:D2257"/>
    <mergeCell ref="H1843:J1843"/>
    <mergeCell ref="A2557:D2557"/>
    <mergeCell ref="G2809:J2809"/>
    <mergeCell ref="H2143:J2143"/>
    <mergeCell ref="G561:J561"/>
    <mergeCell ref="A25:D25"/>
    <mergeCell ref="H1108:J1108"/>
    <mergeCell ref="H2894:J2894"/>
    <mergeCell ref="A2485:D2485"/>
    <mergeCell ref="A394:D394"/>
    <mergeCell ref="A2637:D2637"/>
    <mergeCell ref="B941:D941"/>
    <mergeCell ref="B484:D484"/>
    <mergeCell ref="B2727:D2727"/>
    <mergeCell ref="H1124:J1124"/>
    <mergeCell ref="B1241:D1241"/>
    <mergeCell ref="G2794:J2794"/>
    <mergeCell ref="G709:J709"/>
    <mergeCell ref="A2626:D2626"/>
    <mergeCell ref="A541:D541"/>
    <mergeCell ref="A841:D841"/>
    <mergeCell ref="H402:J402"/>
    <mergeCell ref="H2093:J2093"/>
    <mergeCell ref="A1141:D1141"/>
    <mergeCell ref="H2645:J2645"/>
    <mergeCell ref="B952:D952"/>
    <mergeCell ref="H1794:J1794"/>
    <mergeCell ref="B1626:D1626"/>
    <mergeCell ref="B1410:D1410"/>
    <mergeCell ref="B1926:D1926"/>
    <mergeCell ref="H1178:J1178"/>
    <mergeCell ref="A433:D433"/>
    <mergeCell ref="H1478:J1478"/>
    <mergeCell ref="A1221:D1221"/>
    <mergeCell ref="B1399:D1399"/>
    <mergeCell ref="B980:D980"/>
    <mergeCell ref="H2235:J2235"/>
    <mergeCell ref="B1616:D1616"/>
    <mergeCell ref="H1778:J1778"/>
    <mergeCell ref="H1936:J1936"/>
    <mergeCell ref="G1053:J1053"/>
    <mergeCell ref="A1521:D1521"/>
    <mergeCell ref="B1311:D1311"/>
    <mergeCell ref="B2068:D2068"/>
    <mergeCell ref="B1611:D1611"/>
    <mergeCell ref="A1537:D1537"/>
    <mergeCell ref="B2069:D2069"/>
    <mergeCell ref="H472:J472"/>
    <mergeCell ref="H2715:J2715"/>
    <mergeCell ref="B2084:D2084"/>
    <mergeCell ref="H161:J161"/>
    <mergeCell ref="A1837:D1837"/>
    <mergeCell ref="B2079:D2079"/>
    <mergeCell ref="H2921:J2921"/>
    <mergeCell ref="B2753:D2753"/>
    <mergeCell ref="H194:J194"/>
    <mergeCell ref="H494:J494"/>
    <mergeCell ref="G2521:J2521"/>
    <mergeCell ref="H195:J195"/>
    <mergeCell ref="G2821:J2821"/>
    <mergeCell ref="H495:J495"/>
    <mergeCell ref="B327:D327"/>
    <mergeCell ref="B2107:D2107"/>
    <mergeCell ref="H820:J820"/>
    <mergeCell ref="G2205:J2205"/>
    <mergeCell ref="B2438:D2438"/>
    <mergeCell ref="G1786:J1786"/>
    <mergeCell ref="G2505:J2505"/>
    <mergeCell ref="B2738:D2738"/>
    <mergeCell ref="G2086:J2086"/>
    <mergeCell ref="G1:J1"/>
    <mergeCell ref="B38:D38"/>
    <mergeCell ref="A2038:D2038"/>
    <mergeCell ref="H548:J548"/>
    <mergeCell ref="H2660:J2660"/>
    <mergeCell ref="H1599:J1599"/>
    <mergeCell ref="B338:D338"/>
    <mergeCell ref="A2338:D2338"/>
    <mergeCell ref="B2166:D2166"/>
    <mergeCell ref="B2798:D2798"/>
    <mergeCell ref="B2466:D2466"/>
    <mergeCell ref="G2865:J2865"/>
    <mergeCell ref="B2766:D2766"/>
    <mergeCell ref="H259:J259"/>
    <mergeCell ref="H1022:J1022"/>
    <mergeCell ref="H559:J559"/>
    <mergeCell ref="H1322:J1322"/>
    <mergeCell ref="B691:D691"/>
    <mergeCell ref="B234:D234"/>
    <mergeCell ref="B2477:D2477"/>
    <mergeCell ref="B392:D392"/>
    <mergeCell ref="H1647:J1647"/>
    <mergeCell ref="H1622:J1622"/>
    <mergeCell ref="B1454:D1454"/>
    <mergeCell ref="G370:J370"/>
    <mergeCell ref="B692:D692"/>
    <mergeCell ref="H1947:J1947"/>
    <mergeCell ref="G670:J670"/>
    <mergeCell ref="G1222:J1222"/>
    <mergeCell ref="G2913:J2913"/>
    <mergeCell ref="H1244:J1244"/>
    <mergeCell ref="A286:D286"/>
    <mergeCell ref="H1375:J1375"/>
    <mergeCell ref="B1780:D1780"/>
    <mergeCell ref="A2746:D2746"/>
    <mergeCell ref="H1544:J1544"/>
    <mergeCell ref="A2289:D2289"/>
    <mergeCell ref="B1382:D1382"/>
    <mergeCell ref="H64:J64"/>
    <mergeCell ref="B1682:D1682"/>
    <mergeCell ref="B1676:D1676"/>
    <mergeCell ref="B1160:D1160"/>
    <mergeCell ref="B1982:D1982"/>
    <mergeCell ref="G970:J970"/>
    <mergeCell ref="H1386:J1386"/>
    <mergeCell ref="H1686:J1686"/>
    <mergeCell ref="B1061:D1061"/>
    <mergeCell ref="H206:J206"/>
    <mergeCell ref="B1818:D1818"/>
    <mergeCell ref="B1361:D1361"/>
    <mergeCell ref="B1519:D1519"/>
    <mergeCell ref="G1497:J1497"/>
    <mergeCell ref="B39:D39"/>
    <mergeCell ref="B2282:D2282"/>
    <mergeCell ref="B1819:D1819"/>
    <mergeCell ref="A1005:D1005"/>
    <mergeCell ref="A961:D961"/>
    <mergeCell ref="H2044:J2044"/>
    <mergeCell ref="G1797:J1797"/>
    <mergeCell ref="G1498:J1498"/>
    <mergeCell ref="A1330:D1330"/>
    <mergeCell ref="A1305:D1305"/>
    <mergeCell ref="H680:J680"/>
    <mergeCell ref="H2344:J2344"/>
    <mergeCell ref="H2371:J2371"/>
    <mergeCell ref="B1877:D1877"/>
    <mergeCell ref="H891:J891"/>
    <mergeCell ref="A1630:D1630"/>
    <mergeCell ref="A1605:D1605"/>
    <mergeCell ref="H2671:J2671"/>
    <mergeCell ref="B2598:D2598"/>
    <mergeCell ref="H1191:J1191"/>
    <mergeCell ref="B2177:D2177"/>
    <mergeCell ref="B2204:D2204"/>
    <mergeCell ref="A1930:D1930"/>
    <mergeCell ref="B50:D50"/>
    <mergeCell ref="B2504:D2504"/>
    <mergeCell ref="G1966:J1966"/>
    <mergeCell ref="A1341:D1341"/>
    <mergeCell ref="H270:J270"/>
    <mergeCell ref="H2513:J2513"/>
    <mergeCell ref="B1888:D1888"/>
    <mergeCell ref="A2709:D2709"/>
    <mergeCell ref="H570:J570"/>
    <mergeCell ref="H2813:J2813"/>
    <mergeCell ref="H728:J728"/>
    <mergeCell ref="B2188:D2188"/>
    <mergeCell ref="B103:D103"/>
    <mergeCell ref="B2346:D2346"/>
    <mergeCell ref="H1028:J1028"/>
    <mergeCell ref="G214:J214"/>
    <mergeCell ref="B403:D403"/>
    <mergeCell ref="B2646:D2646"/>
    <mergeCell ref="H603:J603"/>
    <mergeCell ref="A1369:D1369"/>
    <mergeCell ref="B1166:D1166"/>
    <mergeCell ref="H1349:J1349"/>
    <mergeCell ref="B1916:D1916"/>
    <mergeCell ref="A1669:D1669"/>
    <mergeCell ref="A189:D189"/>
    <mergeCell ref="G2625:J2625"/>
    <mergeCell ref="A2457:D2457"/>
    <mergeCell ref="B2222:D2222"/>
    <mergeCell ref="B2216:D2216"/>
    <mergeCell ref="B736:D736"/>
    <mergeCell ref="B2979:D2979"/>
    <mergeCell ref="A2757:D2757"/>
    <mergeCell ref="G225:J225"/>
    <mergeCell ref="H772:J772"/>
    <mergeCell ref="G525:J525"/>
    <mergeCell ref="A357:D357"/>
    <mergeCell ref="G2353:J2353"/>
    <mergeCell ref="A58:D58"/>
    <mergeCell ref="H1072:J1072"/>
    <mergeCell ref="G2653:J2653"/>
    <mergeCell ref="B447:D447"/>
    <mergeCell ref="B605:D605"/>
    <mergeCell ref="A358:D358"/>
    <mergeCell ref="H1397:J1397"/>
    <mergeCell ref="A658:D658"/>
    <mergeCell ref="G1041:J1041"/>
    <mergeCell ref="G121:J121"/>
    <mergeCell ref="A385:D385"/>
    <mergeCell ref="H1131:J1131"/>
    <mergeCell ref="A253:D253"/>
    <mergeCell ref="B1132:D1132"/>
    <mergeCell ref="H1431:J1431"/>
    <mergeCell ref="B1432:D1432"/>
    <mergeCell ref="G2722:J2722"/>
    <mergeCell ref="H1899:J1899"/>
    <mergeCell ref="G1237:J1237"/>
    <mergeCell ref="A2638:D2638"/>
    <mergeCell ref="B1274:D1274"/>
    <mergeCell ref="H2116:J2116"/>
    <mergeCell ref="H114:J114"/>
    <mergeCell ref="H1767:J1767"/>
    <mergeCell ref="B1574:D1574"/>
    <mergeCell ref="H2416:J2416"/>
    <mergeCell ref="B1732:D1732"/>
    <mergeCell ref="B2032:D2032"/>
    <mergeCell ref="B1600:D1600"/>
    <mergeCell ref="H1495:J1495"/>
    <mergeCell ref="H15:J15"/>
    <mergeCell ref="B1959:D1959"/>
    <mergeCell ref="H2258:J2258"/>
    <mergeCell ref="H1795:J1795"/>
    <mergeCell ref="B2259:D2259"/>
    <mergeCell ref="H2558:J2558"/>
    <mergeCell ref="A1081:D1081"/>
    <mergeCell ref="B1927:D1927"/>
    <mergeCell ref="B1628:D1628"/>
    <mergeCell ref="G1633:J1633"/>
    <mergeCell ref="B2391:D2391"/>
    <mergeCell ref="B1928:D1928"/>
    <mergeCell ref="H483:J483"/>
    <mergeCell ref="G1933:J1933"/>
    <mergeCell ref="H2480:J2480"/>
    <mergeCell ref="H783:J783"/>
    <mergeCell ref="B2287:D2287"/>
    <mergeCell ref="H326:J326"/>
    <mergeCell ref="H364:J364"/>
    <mergeCell ref="H484:J484"/>
    <mergeCell ref="B316:D316"/>
    <mergeCell ref="H2780:J2780"/>
    <mergeCell ref="B616:D616"/>
    <mergeCell ref="B197:D197"/>
    <mergeCell ref="A1582:D1582"/>
    <mergeCell ref="H54:J54"/>
    <mergeCell ref="A1882:D1882"/>
    <mergeCell ref="H2622:J2622"/>
    <mergeCell ref="A97:D97"/>
    <mergeCell ref="H1142:J1142"/>
    <mergeCell ref="H2922:J2922"/>
    <mergeCell ref="B644:D644"/>
    <mergeCell ref="H2623:J2623"/>
    <mergeCell ref="B2455:D2455"/>
    <mergeCell ref="G2109:J2109"/>
    <mergeCell ref="B2755:D2755"/>
    <mergeCell ref="H2982:J2982"/>
    <mergeCell ref="B2966:D2966"/>
    <mergeCell ref="H434:J434"/>
    <mergeCell ref="H1496:J1496"/>
    <mergeCell ref="A2241:D2241"/>
    <mergeCell ref="B355:D355"/>
    <mergeCell ref="H734:J734"/>
    <mergeCell ref="B572:D572"/>
    <mergeCell ref="G2734:J2734"/>
    <mergeCell ref="B2815:D2815"/>
    <mergeCell ref="A2541:D2541"/>
    <mergeCell ref="H848:J848"/>
    <mergeCell ref="G34:J34"/>
    <mergeCell ref="B872:D872"/>
    <mergeCell ref="B866:D866"/>
    <mergeCell ref="A2893:D2893"/>
    <mergeCell ref="B986:D986"/>
    <mergeCell ref="G334:J334"/>
    <mergeCell ref="B1024:D1024"/>
    <mergeCell ref="B567:D567"/>
    <mergeCell ref="H881:J881"/>
    <mergeCell ref="G634:J634"/>
    <mergeCell ref="A466:D466"/>
    <mergeCell ref="B867:D867"/>
    <mergeCell ref="A9:D9"/>
    <mergeCell ref="H1181:J1181"/>
    <mergeCell ref="B556:D556"/>
    <mergeCell ref="H1550:J1550"/>
    <mergeCell ref="B1014:D1014"/>
    <mergeCell ref="H1964:J1964"/>
    <mergeCell ref="B920:D920"/>
    <mergeCell ref="B2102:D2102"/>
    <mergeCell ref="G1450:J1450"/>
    <mergeCell ref="A309:D309"/>
    <mergeCell ref="G2773:J2773"/>
    <mergeCell ref="H1866:J1866"/>
    <mergeCell ref="A2605:D2605"/>
    <mergeCell ref="A609:D609"/>
    <mergeCell ref="A1125:D1125"/>
    <mergeCell ref="B1699:D1699"/>
    <mergeCell ref="G1161:J1161"/>
    <mergeCell ref="H2624:J2624"/>
    <mergeCell ref="B1999:D1999"/>
    <mergeCell ref="H76:J76"/>
    <mergeCell ref="G1461:J1461"/>
    <mergeCell ref="B1694:D1694"/>
    <mergeCell ref="G1678:J1678"/>
    <mergeCell ref="H2008:J2008"/>
    <mergeCell ref="A1593:D1593"/>
    <mergeCell ref="B1994:D1994"/>
    <mergeCell ref="A1294:D1294"/>
    <mergeCell ref="H223:J223"/>
    <mergeCell ref="B1683:D1683"/>
    <mergeCell ref="A1594:D1594"/>
    <mergeCell ref="H523:J523"/>
    <mergeCell ref="H2334:J2334"/>
    <mergeCell ref="B1589:D1589"/>
    <mergeCell ref="B2141:D2141"/>
    <mergeCell ref="G1057:J1057"/>
    <mergeCell ref="B2047:D2047"/>
    <mergeCell ref="H234:J234"/>
    <mergeCell ref="H2993:J2993"/>
    <mergeCell ref="H908:J908"/>
    <mergeCell ref="H451:J451"/>
    <mergeCell ref="H2694:J2694"/>
    <mergeCell ref="H1208:J1208"/>
    <mergeCell ref="B2826:D2826"/>
    <mergeCell ref="H903:J903"/>
    <mergeCell ref="G45:J45"/>
    <mergeCell ref="B278:D278"/>
    <mergeCell ref="B2732:D2732"/>
    <mergeCell ref="G345:J345"/>
    <mergeCell ref="B578:D578"/>
    <mergeCell ref="G46:J46"/>
    <mergeCell ref="G2289:J2289"/>
    <mergeCell ref="G2805:J2805"/>
    <mergeCell ref="H892:J892"/>
    <mergeCell ref="H593:J593"/>
    <mergeCell ref="H2284:J2284"/>
    <mergeCell ref="A178:D178"/>
    <mergeCell ref="B6:D6"/>
    <mergeCell ref="A1545:D1545"/>
    <mergeCell ref="H1350:J1350"/>
    <mergeCell ref="B725:D725"/>
    <mergeCell ref="A478:D478"/>
    <mergeCell ref="B306:D306"/>
    <mergeCell ref="B1025:D1025"/>
    <mergeCell ref="B2716:D2716"/>
    <mergeCell ref="B2874:D2874"/>
    <mergeCell ref="H315:J315"/>
    <mergeCell ref="G2941:J2941"/>
    <mergeCell ref="H615:J615"/>
    <mergeCell ref="B17:D17"/>
    <mergeCell ref="H2035:J2035"/>
    <mergeCell ref="H1578:J1578"/>
    <mergeCell ref="B317:D317"/>
    <mergeCell ref="A2317:D2317"/>
    <mergeCell ref="H1730:J1730"/>
    <mergeCell ref="A2661:D2661"/>
    <mergeCell ref="G753:J753"/>
    <mergeCell ref="H2786:J2786"/>
    <mergeCell ref="A217:D217"/>
    <mergeCell ref="H1300:J1300"/>
    <mergeCell ref="H1420:J1420"/>
    <mergeCell ref="B675:D675"/>
    <mergeCell ref="A2677:D2677"/>
    <mergeCell ref="G754:J754"/>
    <mergeCell ref="A586:D586"/>
    <mergeCell ref="B764:D764"/>
    <mergeCell ref="A129:D129"/>
    <mergeCell ref="H1720:J1720"/>
    <mergeCell ref="B975:D975"/>
    <mergeCell ref="B1133:D1133"/>
    <mergeCell ref="A886:D886"/>
    <mergeCell ref="G2986:J2986"/>
    <mergeCell ref="G901:J901"/>
    <mergeCell ref="G1201:J1201"/>
    <mergeCell ref="H1442:J1442"/>
    <mergeCell ref="A1333:D1333"/>
    <mergeCell ref="H2405:J2405"/>
    <mergeCell ref="B1144:D1144"/>
    <mergeCell ref="H2705:J2705"/>
    <mergeCell ref="B1444:D1444"/>
    <mergeCell ref="A298:D298"/>
    <mergeCell ref="H1370:J1370"/>
    <mergeCell ref="H1670:J1670"/>
    <mergeCell ref="A1261:D1261"/>
    <mergeCell ref="G1581:J1581"/>
    <mergeCell ref="B1591:D1591"/>
    <mergeCell ref="H2427:J2427"/>
    <mergeCell ref="H1970:J1970"/>
    <mergeCell ref="B1802:D1802"/>
    <mergeCell ref="H2128:J2128"/>
    <mergeCell ref="H1671:J1671"/>
    <mergeCell ref="B2108:D2108"/>
    <mergeCell ref="H185:J185"/>
    <mergeCell ref="H2428:J2428"/>
    <mergeCell ref="B2260:D2260"/>
    <mergeCell ref="G1570:J1570"/>
    <mergeCell ref="B1803:D1803"/>
    <mergeCell ref="B2103:D2103"/>
    <mergeCell ref="H2655:J2655"/>
    <mergeCell ref="H2323:J2323"/>
    <mergeCell ref="B2576:D2576"/>
    <mergeCell ref="H653:J653"/>
    <mergeCell ref="B28:D28"/>
    <mergeCell ref="H2955:J2955"/>
    <mergeCell ref="B2271:D2271"/>
    <mergeCell ref="B186:D186"/>
    <mergeCell ref="B2488:D2488"/>
    <mergeCell ref="B2156:D2156"/>
    <mergeCell ref="B486:D486"/>
    <mergeCell ref="B2788:D2788"/>
    <mergeCell ref="A1425:D1425"/>
    <mergeCell ref="H343:J343"/>
    <mergeCell ref="B786:D786"/>
    <mergeCell ref="H38:J38"/>
    <mergeCell ref="G465:J465"/>
    <mergeCell ref="B475:D475"/>
    <mergeCell ref="B56:D56"/>
    <mergeCell ref="B176:D176"/>
    <mergeCell ref="B1867:D1867"/>
    <mergeCell ref="H1012:J1012"/>
    <mergeCell ref="B387:D387"/>
    <mergeCell ref="H2798:J2798"/>
    <mergeCell ref="B2630:D2630"/>
    <mergeCell ref="G1978:J1978"/>
    <mergeCell ref="H1312:J1312"/>
    <mergeCell ref="B171:D171"/>
    <mergeCell ref="B687:D687"/>
    <mergeCell ref="G2697:J2697"/>
    <mergeCell ref="B2930:D2930"/>
    <mergeCell ref="G2278:J2278"/>
    <mergeCell ref="G193:J193"/>
    <mergeCell ref="B1145:D1145"/>
    <mergeCell ref="H723:J723"/>
    <mergeCell ref="A2530:D2530"/>
    <mergeCell ref="H1328:J1328"/>
    <mergeCell ref="H1023:J1023"/>
    <mergeCell ref="H1154:J1154"/>
    <mergeCell ref="A2830:D2830"/>
    <mergeCell ref="B1155:D1155"/>
    <mergeCell ref="H1454:J1454"/>
    <mergeCell ref="B2983:D2983"/>
    <mergeCell ref="B698:D698"/>
    <mergeCell ref="G177:J177"/>
    <mergeCell ref="B856:D856"/>
    <mergeCell ref="H751:J751"/>
    <mergeCell ref="A10:D10"/>
    <mergeCell ref="A2122:D2122"/>
    <mergeCell ref="H1051:J1051"/>
    <mergeCell ref="B426:D426"/>
    <mergeCell ref="A310:D310"/>
    <mergeCell ref="H1839:J1839"/>
    <mergeCell ref="A337:D337"/>
    <mergeCell ref="H1382:J1382"/>
    <mergeCell ref="G562:J562"/>
    <mergeCell ref="H2444:J2444"/>
    <mergeCell ref="B2994:D2994"/>
    <mergeCell ref="H2139:J2139"/>
    <mergeCell ref="B1514:D1514"/>
    <mergeCell ref="G862:J862"/>
    <mergeCell ref="B1814:D1814"/>
    <mergeCell ref="G1162:J1162"/>
    <mergeCell ref="A21:D21"/>
    <mergeCell ref="H2155:J2155"/>
    <mergeCell ref="A2938:D2938"/>
    <mergeCell ref="A2481:D2481"/>
    <mergeCell ref="B1242:D1242"/>
    <mergeCell ref="A2781:D2781"/>
    <mergeCell ref="B1988:D1988"/>
    <mergeCell ref="B1542:D1542"/>
    <mergeCell ref="G873:J873"/>
    <mergeCell ref="B2288:D2288"/>
    <mergeCell ref="A706:D706"/>
    <mergeCell ref="G1005:J1005"/>
    <mergeCell ref="A837:D837"/>
    <mergeCell ref="H1878:J1878"/>
    <mergeCell ref="B1253:D1253"/>
    <mergeCell ref="A1006:D1006"/>
    <mergeCell ref="H398:J398"/>
    <mergeCell ref="A1137:D1137"/>
    <mergeCell ref="H2178:J2178"/>
    <mergeCell ref="B1553:D1553"/>
    <mergeCell ref="G1689:J1689"/>
    <mergeCell ref="B231:D231"/>
    <mergeCell ref="B1922:D1922"/>
    <mergeCell ref="A1153:D1153"/>
    <mergeCell ref="G1989:J1989"/>
    <mergeCell ref="G1690:J1690"/>
    <mergeCell ref="H2536:J2536"/>
    <mergeCell ref="H2237:J2237"/>
    <mergeCell ref="G1990:J1990"/>
    <mergeCell ref="A1822:D1822"/>
    <mergeCell ref="H104:J104"/>
    <mergeCell ref="A1365:D1365"/>
    <mergeCell ref="H2406:J2406"/>
    <mergeCell ref="H2537:J2537"/>
    <mergeCell ref="B2369:D2369"/>
    <mergeCell ref="B1912:D1912"/>
    <mergeCell ref="B242:D242"/>
    <mergeCell ref="H2862:J2862"/>
    <mergeCell ref="B2239:D2239"/>
    <mergeCell ref="G2137:J2137"/>
    <mergeCell ref="B210:D210"/>
    <mergeCell ref="A1533:D1533"/>
    <mergeCell ref="H462:J462"/>
    <mergeCell ref="A1833:D1833"/>
    <mergeCell ref="H762:J762"/>
    <mergeCell ref="H305:J305"/>
    <mergeCell ref="H920:J920"/>
    <mergeCell ref="B137:D137"/>
    <mergeCell ref="H2548:J2548"/>
    <mergeCell ref="H463:J463"/>
    <mergeCell ref="B2380:D2380"/>
    <mergeCell ref="A2133:D2133"/>
    <mergeCell ref="B595:D595"/>
    <mergeCell ref="A1561:D1561"/>
    <mergeCell ref="H2606:J2606"/>
    <mergeCell ref="B1358:D1358"/>
    <mergeCell ref="B895:D895"/>
    <mergeCell ref="H604:J604"/>
    <mergeCell ref="A1861:D1861"/>
    <mergeCell ref="H2906:J2906"/>
    <mergeCell ref="G574:J574"/>
    <mergeCell ref="A381:D381"/>
    <mergeCell ref="G2817:J2817"/>
    <mergeCell ref="A2649:D2649"/>
    <mergeCell ref="H904:J904"/>
    <mergeCell ref="H1121:J1121"/>
    <mergeCell ref="A2949:D2949"/>
    <mergeCell ref="B2739:D2739"/>
    <mergeCell ref="B606:D606"/>
    <mergeCell ref="B823:D823"/>
    <mergeCell ref="A2965:D2965"/>
    <mergeCell ref="G1042:J1042"/>
    <mergeCell ref="H1589:J1589"/>
    <mergeCell ref="G1342:J1342"/>
    <mergeCell ref="H1132:J1132"/>
    <mergeCell ref="G13:J13"/>
    <mergeCell ref="A418:D418"/>
    <mergeCell ref="H1432:J1432"/>
    <mergeCell ref="B1264:D1264"/>
    <mergeCell ref="H1590:J1590"/>
    <mergeCell ref="B1422:D1422"/>
    <mergeCell ref="B965:D965"/>
    <mergeCell ref="G313:J313"/>
    <mergeCell ref="B1722:D1722"/>
    <mergeCell ref="H860:J860"/>
    <mergeCell ref="G613:J613"/>
    <mergeCell ref="A445:D445"/>
    <mergeCell ref="G1401:J1401"/>
    <mergeCell ref="B2022:D2022"/>
    <mergeCell ref="H1160:J1160"/>
    <mergeCell ref="B992:D992"/>
    <mergeCell ref="H1948:J1948"/>
    <mergeCell ref="G1701:J1701"/>
    <mergeCell ref="G2914:J2914"/>
    <mergeCell ref="H2248:J2248"/>
    <mergeCell ref="B987:D987"/>
    <mergeCell ref="B1950:D1950"/>
    <mergeCell ref="G1429:J1429"/>
    <mergeCell ref="H1976:J1976"/>
    <mergeCell ref="H1959:J1959"/>
    <mergeCell ref="H2259:J2259"/>
    <mergeCell ref="H174:J174"/>
    <mergeCell ref="G982:J982"/>
    <mergeCell ref="H474:J474"/>
    <mergeCell ref="B281:D281"/>
    <mergeCell ref="H1529:J1529"/>
    <mergeCell ref="B1972:D1972"/>
    <mergeCell ref="H1687:J1687"/>
    <mergeCell ref="B2092:D2092"/>
    <mergeCell ref="H1987:J1987"/>
    <mergeCell ref="B1362:D1362"/>
    <mergeCell ref="A1273:D1273"/>
    <mergeCell ref="H44:J44"/>
    <mergeCell ref="H2312:J2312"/>
    <mergeCell ref="H2287:J2287"/>
    <mergeCell ref="B2119:D2119"/>
    <mergeCell ref="B1662:D1662"/>
    <mergeCell ref="B1820:D1820"/>
    <mergeCell ref="A1573:D1573"/>
    <mergeCell ref="H2612:J2612"/>
    <mergeCell ref="G1282:J1282"/>
    <mergeCell ref="G1798:J1798"/>
    <mergeCell ref="B2120:D2120"/>
    <mergeCell ref="G2098:J2098"/>
    <mergeCell ref="G1582:J1582"/>
    <mergeCell ref="H2672:J2672"/>
    <mergeCell ref="G1882:J1882"/>
    <mergeCell ref="A1714:D1714"/>
    <mergeCell ref="H518:J518"/>
    <mergeCell ref="H124:J124"/>
    <mergeCell ref="H676:J676"/>
    <mergeCell ref="H2972:J2972"/>
    <mergeCell ref="G97:J97"/>
    <mergeCell ref="B2347:D2347"/>
    <mergeCell ref="B351:D351"/>
    <mergeCell ref="B2042:D2042"/>
    <mergeCell ref="B2647:D2647"/>
    <mergeCell ref="B1108:D1108"/>
    <mergeCell ref="H271:J271"/>
    <mergeCell ref="B2500:D2500"/>
    <mergeCell ref="G2398:J2398"/>
    <mergeCell ref="H571:J571"/>
    <mergeCell ref="H2814:J2814"/>
    <mergeCell ref="H266:J266"/>
    <mergeCell ref="A1942:D1942"/>
    <mergeCell ref="H871:J871"/>
    <mergeCell ref="H572:J572"/>
    <mergeCell ref="B2489:D2489"/>
    <mergeCell ref="H566:J566"/>
    <mergeCell ref="A2242:D2242"/>
    <mergeCell ref="A157:D157"/>
    <mergeCell ref="B704:D704"/>
    <mergeCell ref="A457:D457"/>
    <mergeCell ref="B2947:D2947"/>
    <mergeCell ref="G166:J166"/>
    <mergeCell ref="B399:D399"/>
    <mergeCell ref="G2925:J2925"/>
    <mergeCell ref="B1004:D1004"/>
    <mergeCell ref="G466:J466"/>
    <mergeCell ref="G2926:J2926"/>
    <mergeCell ref="A1665:D1665"/>
    <mergeCell ref="A2758:D2758"/>
    <mergeCell ref="H1040:J1040"/>
    <mergeCell ref="A2301:D2301"/>
    <mergeCell ref="H1251:J1251"/>
    <mergeCell ref="H1340:J1340"/>
    <mergeCell ref="G526:J526"/>
    <mergeCell ref="B1178:D1178"/>
    <mergeCell ref="B1478:D1478"/>
    <mergeCell ref="G826:J826"/>
    <mergeCell ref="A201:D201"/>
    <mergeCell ref="H1398:J1398"/>
    <mergeCell ref="A2769:D2769"/>
    <mergeCell ref="H1698:J1698"/>
    <mergeCell ref="H1998:J1998"/>
    <mergeCell ref="H2156:J2156"/>
    <mergeCell ref="G205:J205"/>
    <mergeCell ref="H1699:J1699"/>
    <mergeCell ref="B1531:D1531"/>
    <mergeCell ref="H1910:J1910"/>
    <mergeCell ref="B1700:D1700"/>
    <mergeCell ref="B1831:D1831"/>
    <mergeCell ref="G2965:J2965"/>
    <mergeCell ref="B1526:D1526"/>
    <mergeCell ref="G874:J874"/>
    <mergeCell ref="A2797:D2797"/>
    <mergeCell ref="A249:D249"/>
    <mergeCell ref="B2131:D2131"/>
    <mergeCell ref="A549:D549"/>
    <mergeCell ref="H2384:J2384"/>
    <mergeCell ref="B1123:D1123"/>
    <mergeCell ref="G1021:J1021"/>
    <mergeCell ref="H2378:J2378"/>
    <mergeCell ref="B62:D62"/>
    <mergeCell ref="H224:J224"/>
    <mergeCell ref="G1653:J1653"/>
    <mergeCell ref="H2684:J2684"/>
    <mergeCell ref="G1321:J1321"/>
    <mergeCell ref="G1953:J1953"/>
    <mergeCell ref="B2211:D2211"/>
    <mergeCell ref="H2525:J2525"/>
    <mergeCell ref="A1234:D1234"/>
    <mergeCell ref="A1786:D1786"/>
    <mergeCell ref="H2825:J2825"/>
    <mergeCell ref="H740:J740"/>
    <mergeCell ref="H715:J715"/>
    <mergeCell ref="H2368:J2368"/>
    <mergeCell ref="H283:J283"/>
    <mergeCell ref="H2526:J2526"/>
    <mergeCell ref="G1249:J1249"/>
    <mergeCell ref="A1654:D1654"/>
    <mergeCell ref="H2826:J2826"/>
    <mergeCell ref="B2081:D2081"/>
    <mergeCell ref="B2201:D2201"/>
    <mergeCell ref="G1549:J1549"/>
    <mergeCell ref="B110:D110"/>
    <mergeCell ref="A1381:D1381"/>
    <mergeCell ref="H426:J426"/>
    <mergeCell ref="G1849:J1849"/>
    <mergeCell ref="A1681:D1681"/>
    <mergeCell ref="G2001:J2001"/>
    <mergeCell ref="H643:J643"/>
    <mergeCell ref="H332:J332"/>
    <mergeCell ref="H6:J6"/>
    <mergeCell ref="B1923:D1923"/>
    <mergeCell ref="A1834:D1834"/>
    <mergeCell ref="H638:J638"/>
    <mergeCell ref="B470:D470"/>
    <mergeCell ref="B1075:D1075"/>
    <mergeCell ref="B2250:D2250"/>
    <mergeCell ref="G537:J537"/>
    <mergeCell ref="G2365:J2365"/>
    <mergeCell ref="B770:D770"/>
    <mergeCell ref="G238:J238"/>
    <mergeCell ref="G1929:J1929"/>
    <mergeCell ref="G2665:J2665"/>
    <mergeCell ref="B1070:D1070"/>
    <mergeCell ref="H2476:J2476"/>
    <mergeCell ref="A370:D370"/>
    <mergeCell ref="H2776:J2776"/>
    <mergeCell ref="A670:D670"/>
    <mergeCell ref="A2361:D2361"/>
    <mergeCell ref="H1410:J1410"/>
    <mergeCell ref="B149:D149"/>
    <mergeCell ref="H991:J991"/>
    <mergeCell ref="B2908:D2908"/>
    <mergeCell ref="B2609:D2609"/>
    <mergeCell ref="H2923:J2923"/>
    <mergeCell ref="B2909:D2909"/>
    <mergeCell ref="B182:D182"/>
    <mergeCell ref="H2618:J2618"/>
    <mergeCell ref="G217:J217"/>
    <mergeCell ref="H2918:J2918"/>
    <mergeCell ref="A2509:D2509"/>
    <mergeCell ref="H1133:J1133"/>
    <mergeCell ref="A2809:D2809"/>
    <mergeCell ref="B2751:D2751"/>
    <mergeCell ref="A409:D409"/>
    <mergeCell ref="H1492:J1492"/>
    <mergeCell ref="G1365:J1365"/>
    <mergeCell ref="A321:D321"/>
    <mergeCell ref="B1266:D1266"/>
    <mergeCell ref="H1912:J1912"/>
    <mergeCell ref="B1325:D1325"/>
    <mergeCell ref="B2978:D2978"/>
    <mergeCell ref="A621:D621"/>
    <mergeCell ref="H1660:J1660"/>
    <mergeCell ref="A289:D289"/>
    <mergeCell ref="B1124:D1124"/>
    <mergeCell ref="H2118:J2118"/>
    <mergeCell ref="B1493:D1493"/>
    <mergeCell ref="H1960:J1960"/>
    <mergeCell ref="B2272:D2272"/>
    <mergeCell ref="H1562:J1562"/>
    <mergeCell ref="H2260:J2260"/>
    <mergeCell ref="H1862:J1862"/>
    <mergeCell ref="A2601:D2601"/>
    <mergeCell ref="H2162:J2162"/>
    <mergeCell ref="H77:J77"/>
    <mergeCell ref="A2901:D2901"/>
    <mergeCell ref="H2276:J2276"/>
    <mergeCell ref="B1232:D1232"/>
    <mergeCell ref="H377:J377"/>
    <mergeCell ref="H2576:J2576"/>
    <mergeCell ref="B2452:D2452"/>
    <mergeCell ref="B1995:D1995"/>
    <mergeCell ref="B1532:D1532"/>
    <mergeCell ref="H2945:J2945"/>
    <mergeCell ref="G2062:J2062"/>
    <mergeCell ref="B2320:D2320"/>
    <mergeCell ref="B2295:D2295"/>
    <mergeCell ref="H1541:J1541"/>
    <mergeCell ref="B2620:D2620"/>
    <mergeCell ref="H88:J88"/>
    <mergeCell ref="H388:J388"/>
    <mergeCell ref="B1374:D1374"/>
    <mergeCell ref="A1801:D1801"/>
    <mergeCell ref="B1674:D1674"/>
    <mergeCell ref="B2348:D2348"/>
    <mergeCell ref="B63:D63"/>
    <mergeCell ref="B221:D221"/>
    <mergeCell ref="B2462:D2462"/>
    <mergeCell ref="G1810:J1810"/>
    <mergeCell ref="H446:J446"/>
    <mergeCell ref="H560:J560"/>
    <mergeCell ref="G2110:J2110"/>
    <mergeCell ref="H746:J746"/>
    <mergeCell ref="B248:D248"/>
    <mergeCell ref="H1046:J1046"/>
    <mergeCell ref="B362:D362"/>
    <mergeCell ref="H1204:J1204"/>
    <mergeCell ref="B579:D579"/>
    <mergeCell ref="B2822:D2822"/>
    <mergeCell ref="B116:D116"/>
    <mergeCell ref="B2359:D2359"/>
    <mergeCell ref="B879:D879"/>
    <mergeCell ref="G2038:J2038"/>
    <mergeCell ref="B2659:D2659"/>
    <mergeCell ref="B1337:D1337"/>
    <mergeCell ref="G2338:J2338"/>
    <mergeCell ref="H583:J583"/>
    <mergeCell ref="A1954:D1954"/>
    <mergeCell ref="H883:J883"/>
    <mergeCell ref="G69:J69"/>
    <mergeCell ref="B2501:D2501"/>
    <mergeCell ref="B932:D932"/>
    <mergeCell ref="G2485:J2485"/>
    <mergeCell ref="B890:D890"/>
    <mergeCell ref="G369:J369"/>
    <mergeCell ref="B2801:D2801"/>
    <mergeCell ref="B716:D716"/>
    <mergeCell ref="G694:J694"/>
    <mergeCell ref="G2937:J2937"/>
    <mergeCell ref="A202:D202"/>
    <mergeCell ref="H1662:J1662"/>
    <mergeCell ref="B618:D618"/>
    <mergeCell ref="A502:D502"/>
    <mergeCell ref="H2031:J2031"/>
    <mergeCell ref="A2770:D2770"/>
    <mergeCell ref="H1568:J1568"/>
    <mergeCell ref="B943:D943"/>
    <mergeCell ref="B918:D918"/>
    <mergeCell ref="H2331:J2331"/>
    <mergeCell ref="B1706:D1706"/>
    <mergeCell ref="G1054:J1054"/>
    <mergeCell ref="H1868:J1868"/>
    <mergeCell ref="B1243:D1243"/>
    <mergeCell ref="G705:J705"/>
    <mergeCell ref="B2006:D2006"/>
    <mergeCell ref="G1354:J1354"/>
    <mergeCell ref="A538:D538"/>
    <mergeCell ref="H1710:J1710"/>
    <mergeCell ref="H99:J99"/>
    <mergeCell ref="B1734:D1734"/>
    <mergeCell ref="H2010:J2010"/>
    <mergeCell ref="H2227:J2227"/>
    <mergeCell ref="H1612:J1612"/>
    <mergeCell ref="A1029:D1029"/>
    <mergeCell ref="B232:D232"/>
    <mergeCell ref="B1445:D1445"/>
    <mergeCell ref="A1329:D1329"/>
    <mergeCell ref="H127:J127"/>
    <mergeCell ref="H1938:J1938"/>
    <mergeCell ref="B1745:D1745"/>
    <mergeCell ref="G1822:J1822"/>
    <mergeCell ref="H2695:J2695"/>
    <mergeCell ref="B2070:D2070"/>
    <mergeCell ref="G2181:J2181"/>
    <mergeCell ref="B2370:D2370"/>
    <mergeCell ref="B260:D260"/>
    <mergeCell ref="B2528:D2528"/>
    <mergeCell ref="G2182:J2182"/>
    <mergeCell ref="B2828:D2828"/>
    <mergeCell ref="A2014:D2014"/>
    <mergeCell ref="H294:J294"/>
    <mergeCell ref="A1557:D1557"/>
    <mergeCell ref="H2080:J2080"/>
    <mergeCell ref="A610:D610"/>
    <mergeCell ref="H927:J927"/>
    <mergeCell ref="H654:J654"/>
    <mergeCell ref="B29:D29"/>
    <mergeCell ref="H954:J954"/>
    <mergeCell ref="A1693:D1693"/>
    <mergeCell ref="H497:J497"/>
    <mergeCell ref="B329:D329"/>
    <mergeCell ref="H2765:J2765"/>
    <mergeCell ref="A82:D82"/>
    <mergeCell ref="B2572:D2572"/>
    <mergeCell ref="B629:D629"/>
    <mergeCell ref="B2872:D2872"/>
    <mergeCell ref="B787:D787"/>
    <mergeCell ref="B330:D330"/>
    <mergeCell ref="B1112:D1112"/>
    <mergeCell ref="B1087:D1087"/>
    <mergeCell ref="G766:J766"/>
    <mergeCell ref="A598:D598"/>
    <mergeCell ref="H639:J639"/>
    <mergeCell ref="B2168:D2168"/>
    <mergeCell ref="B471:D471"/>
    <mergeCell ref="A1921:D1921"/>
    <mergeCell ref="H1313:J1313"/>
    <mergeCell ref="B688:D688"/>
    <mergeCell ref="B2468:D2468"/>
    <mergeCell ref="B472:D472"/>
    <mergeCell ref="B988:D988"/>
    <mergeCell ref="B2768:D2768"/>
    <mergeCell ref="G145:J145"/>
    <mergeCell ref="G445:J445"/>
    <mergeCell ref="A277:D277"/>
    <mergeCell ref="H1781:J1781"/>
    <mergeCell ref="H1324:J1324"/>
    <mergeCell ref="B1156:D1156"/>
    <mergeCell ref="H1455:J1455"/>
    <mergeCell ref="G2905:J2905"/>
    <mergeCell ref="A577:D577"/>
    <mergeCell ref="H2081:J2081"/>
    <mergeCell ref="H1624:J1624"/>
    <mergeCell ref="B1456:D1456"/>
    <mergeCell ref="B1614:D1614"/>
    <mergeCell ref="B1157:D1157"/>
    <mergeCell ref="G505:J505"/>
    <mergeCell ref="B1914:D1914"/>
    <mergeCell ref="B1457:D1457"/>
    <mergeCell ref="G805:J805"/>
    <mergeCell ref="A637:D637"/>
    <mergeCell ref="B2214:D2214"/>
    <mergeCell ref="A937:D937"/>
    <mergeCell ref="H1466:J1466"/>
    <mergeCell ref="H2140:J2140"/>
    <mergeCell ref="G1893:J1893"/>
    <mergeCell ref="H1220:J1220"/>
    <mergeCell ref="B1484:D1484"/>
    <mergeCell ref="H1766:J1766"/>
    <mergeCell ref="H2440:J2440"/>
    <mergeCell ref="B1815:D1815"/>
    <mergeCell ref="B1299:D1299"/>
    <mergeCell ref="B1599:D1599"/>
    <mergeCell ref="B2115:D2115"/>
    <mergeCell ref="G1621:J1621"/>
    <mergeCell ref="A322:D322"/>
    <mergeCell ref="H365:J365"/>
    <mergeCell ref="A622:D622"/>
    <mergeCell ref="H2151:J2151"/>
    <mergeCell ref="A2890:D2890"/>
    <mergeCell ref="H665:J665"/>
    <mergeCell ref="H208:J208"/>
    <mergeCell ref="H2451:J2451"/>
    <mergeCell ref="H366:J366"/>
    <mergeCell ref="B2283:D2283"/>
    <mergeCell ref="H2582:J2582"/>
    <mergeCell ref="A1105:D1105"/>
    <mergeCell ref="G1174:J1174"/>
    <mergeCell ref="H666:J666"/>
    <mergeCell ref="B2583:D2583"/>
    <mergeCell ref="A1405:D1405"/>
    <mergeCell ref="B498:D498"/>
    <mergeCell ref="B2126:D2126"/>
    <mergeCell ref="B41:D41"/>
    <mergeCell ref="G1605:J1605"/>
    <mergeCell ref="B2284:D2284"/>
    <mergeCell ref="G1957:J1957"/>
    <mergeCell ref="B2584:D2584"/>
    <mergeCell ref="H50:J50"/>
    <mergeCell ref="A1438:D1438"/>
    <mergeCell ref="A1465:D1465"/>
    <mergeCell ref="H236:J236"/>
    <mergeCell ref="H2504:J2504"/>
    <mergeCell ref="G2257:J2257"/>
    <mergeCell ref="H350:J350"/>
    <mergeCell ref="B1854:D1854"/>
    <mergeCell ref="A1738:D1738"/>
    <mergeCell ref="A1765:D1765"/>
    <mergeCell ref="H2810:J2810"/>
    <mergeCell ref="H2804:J2804"/>
    <mergeCell ref="H2347:J2347"/>
    <mergeCell ref="B2942:D2942"/>
    <mergeCell ref="G2290:J2290"/>
    <mergeCell ref="A1149:D1149"/>
    <mergeCell ref="B2180:D2180"/>
    <mergeCell ref="B64:D64"/>
    <mergeCell ref="A1906:D1906"/>
    <mergeCell ref="A1474:D1474"/>
    <mergeCell ref="A1449:D1449"/>
    <mergeCell ref="A1774:D1774"/>
    <mergeCell ref="B122:D122"/>
    <mergeCell ref="B2234:D2234"/>
    <mergeCell ref="H1335:J1335"/>
    <mergeCell ref="A2074:D2074"/>
    <mergeCell ref="B1902:D1902"/>
    <mergeCell ref="B868:D868"/>
    <mergeCell ref="B2534:D2534"/>
    <mergeCell ref="B2648:D2648"/>
    <mergeCell ref="B1168:D1168"/>
    <mergeCell ref="H458:J458"/>
    <mergeCell ref="A2134:D2134"/>
    <mergeCell ref="H1063:J1063"/>
    <mergeCell ref="B438:D438"/>
    <mergeCell ref="B2681:D2681"/>
    <mergeCell ref="H758:J758"/>
    <mergeCell ref="A2434:D2434"/>
    <mergeCell ref="A349:D349"/>
    <mergeCell ref="A2565:D2565"/>
    <mergeCell ref="B738:D738"/>
    <mergeCell ref="B2981:D2981"/>
    <mergeCell ref="H1058:J1058"/>
    <mergeCell ref="B896:D896"/>
    <mergeCell ref="A649:D649"/>
    <mergeCell ref="G358:J358"/>
    <mergeCell ref="B591:D591"/>
    <mergeCell ref="B1196:D1196"/>
    <mergeCell ref="G658:J658"/>
    <mergeCell ref="B891:D891"/>
    <mergeCell ref="A33:D33"/>
    <mergeCell ref="H1205:J1205"/>
    <mergeCell ref="B1191:D1191"/>
    <mergeCell ref="A333:D333"/>
    <mergeCell ref="H2597:J2597"/>
    <mergeCell ref="B818:D818"/>
    <mergeCell ref="B1038:D1038"/>
    <mergeCell ref="B602:D602"/>
    <mergeCell ref="B1118:D1118"/>
    <mergeCell ref="B1207:D1207"/>
    <mergeCell ref="B1338:D1338"/>
    <mergeCell ref="A61:D61"/>
    <mergeCell ref="B1418:D1418"/>
    <mergeCell ref="A2961:D2961"/>
    <mergeCell ref="H1890:J1890"/>
    <mergeCell ref="H1433:J1433"/>
    <mergeCell ref="H2190:J2190"/>
    <mergeCell ref="H2348:J2348"/>
    <mergeCell ref="B1565:D1565"/>
    <mergeCell ref="H1891:J1891"/>
    <mergeCell ref="H2102:J2102"/>
    <mergeCell ref="A2841:D2841"/>
    <mergeCell ref="B2023:D2023"/>
    <mergeCell ref="H2402:J2402"/>
    <mergeCell ref="B1718:D1718"/>
    <mergeCell ref="H2516:J2516"/>
    <mergeCell ref="A441:D441"/>
    <mergeCell ref="B2323:D2323"/>
    <mergeCell ref="B2018:D2018"/>
    <mergeCell ref="A2857:D2857"/>
    <mergeCell ref="G2002:J2002"/>
    <mergeCell ref="A741:D741"/>
    <mergeCell ref="H116:J116"/>
    <mergeCell ref="H2418:J2418"/>
    <mergeCell ref="H2549:J2549"/>
    <mergeCell ref="B1288:D1288"/>
    <mergeCell ref="H416:J416"/>
    <mergeCell ref="B2034:D2034"/>
    <mergeCell ref="B2251:D2251"/>
    <mergeCell ref="G2470:J2470"/>
    <mergeCell ref="G2013:J2013"/>
    <mergeCell ref="H2560:J2560"/>
    <mergeCell ref="H2166:J2166"/>
    <mergeCell ref="G1441:J1441"/>
    <mergeCell ref="A1846:D1846"/>
    <mergeCell ref="B2692:D2692"/>
    <mergeCell ref="B607:D607"/>
    <mergeCell ref="B2393:D2393"/>
    <mergeCell ref="H470:J470"/>
    <mergeCell ref="G1741:J1741"/>
    <mergeCell ref="B302:D302"/>
    <mergeCell ref="B907:D907"/>
    <mergeCell ref="G2041:J2041"/>
    <mergeCell ref="G2829:J2829"/>
    <mergeCell ref="H2588:J2588"/>
    <mergeCell ref="B318:D318"/>
    <mergeCell ref="B1658:D1658"/>
    <mergeCell ref="B172:D172"/>
    <mergeCell ref="B2415:D2415"/>
    <mergeCell ref="B1958:D1958"/>
    <mergeCell ref="G1789:J1789"/>
    <mergeCell ref="H2668:J2668"/>
    <mergeCell ref="H2968:J2968"/>
    <mergeCell ref="H1602:J1602"/>
    <mergeCell ref="B341:D341"/>
    <mergeCell ref="H1183:J1183"/>
    <mergeCell ref="G325:J325"/>
    <mergeCell ref="B641:D641"/>
    <mergeCell ref="G625:J625"/>
    <mergeCell ref="H567:J567"/>
    <mergeCell ref="H867:J867"/>
    <mergeCell ref="A2701:D2701"/>
    <mergeCell ref="G778:J778"/>
    <mergeCell ref="B788:D788"/>
    <mergeCell ref="H1167:J1167"/>
    <mergeCell ref="B999:D999"/>
    <mergeCell ref="B700:D700"/>
    <mergeCell ref="A453:D453"/>
    <mergeCell ref="B1000:D1000"/>
    <mergeCell ref="G925:J925"/>
    <mergeCell ref="G489:J489"/>
    <mergeCell ref="G673:J673"/>
    <mergeCell ref="G1225:J1225"/>
    <mergeCell ref="H1552:J1552"/>
    <mergeCell ref="A769:D769"/>
    <mergeCell ref="H1852:J1852"/>
    <mergeCell ref="B1316:D1316"/>
    <mergeCell ref="H2152:J2152"/>
    <mergeCell ref="B1468:D1468"/>
    <mergeCell ref="B1011:D1011"/>
    <mergeCell ref="B1685:D1685"/>
    <mergeCell ref="B1985:D1985"/>
    <mergeCell ref="H1694:J1694"/>
    <mergeCell ref="A1285:D1285"/>
    <mergeCell ref="H2299:J2299"/>
    <mergeCell ref="H1863:J1863"/>
    <mergeCell ref="H1994:J1994"/>
    <mergeCell ref="A1585:D1585"/>
    <mergeCell ref="G1905:J1905"/>
    <mergeCell ref="B1064:D1064"/>
    <mergeCell ref="B1696:D1696"/>
    <mergeCell ref="G1594:J1594"/>
    <mergeCell ref="B1827:D1827"/>
    <mergeCell ref="H2168:J2168"/>
    <mergeCell ref="G1894:J1894"/>
    <mergeCell ref="B2127:D2127"/>
    <mergeCell ref="H2468:J2468"/>
    <mergeCell ref="H2679:J2679"/>
    <mergeCell ref="H2222:J2222"/>
    <mergeCell ref="H2768:J2768"/>
    <mergeCell ref="H220:J220"/>
    <mergeCell ref="B52:D52"/>
    <mergeCell ref="H2979:J2979"/>
    <mergeCell ref="H2522:J2522"/>
    <mergeCell ref="B1838:D1838"/>
    <mergeCell ref="G1186:J1186"/>
    <mergeCell ref="H2680:J2680"/>
    <mergeCell ref="B2138:D2138"/>
    <mergeCell ref="B53:D53"/>
    <mergeCell ref="B2812:D2812"/>
    <mergeCell ref="H278:J278"/>
    <mergeCell ref="H2669:J2669"/>
    <mergeCell ref="H578:J578"/>
    <mergeCell ref="H2690:J2690"/>
    <mergeCell ref="A1993:D1993"/>
    <mergeCell ref="B80:D80"/>
    <mergeCell ref="H878:J878"/>
    <mergeCell ref="B2540:D2540"/>
    <mergeCell ref="H579:J579"/>
    <mergeCell ref="B411:D411"/>
    <mergeCell ref="B386:D386"/>
    <mergeCell ref="H2822:J2822"/>
    <mergeCell ref="B2654:D2654"/>
    <mergeCell ref="G1545:J1545"/>
    <mergeCell ref="B2191:D2191"/>
    <mergeCell ref="H306:J306"/>
    <mergeCell ref="B711:D711"/>
    <mergeCell ref="B2823:D2823"/>
    <mergeCell ref="B2954:D2954"/>
    <mergeCell ref="G2302:J2302"/>
    <mergeCell ref="G1870:J1870"/>
    <mergeCell ref="G1845:J1845"/>
    <mergeCell ref="A1677:D1677"/>
    <mergeCell ref="H1052:J1052"/>
    <mergeCell ref="H2718:J2718"/>
    <mergeCell ref="B8:D8"/>
    <mergeCell ref="G2145:J2145"/>
    <mergeCell ref="H1238:J1238"/>
    <mergeCell ref="A1977:D1977"/>
    <mergeCell ref="H1352:J1352"/>
    <mergeCell ref="A1678:D1678"/>
    <mergeCell ref="B308:D308"/>
    <mergeCell ref="B2551:D2551"/>
    <mergeCell ref="B422:D422"/>
    <mergeCell ref="B1071:D1071"/>
    <mergeCell ref="B608:D608"/>
    <mergeCell ref="B2851:D2851"/>
    <mergeCell ref="B722:D722"/>
    <mergeCell ref="G70:J70"/>
    <mergeCell ref="G2313:J2313"/>
    <mergeCell ref="G2661:J2661"/>
    <mergeCell ref="H318:J318"/>
    <mergeCell ref="B150:D150"/>
    <mergeCell ref="G745:J745"/>
    <mergeCell ref="A2662:D2662"/>
    <mergeCell ref="H618:J618"/>
    <mergeCell ref="H1711:J1711"/>
    <mergeCell ref="B450:D450"/>
    <mergeCell ref="A2962:D2962"/>
    <mergeCell ref="H1400:J1400"/>
    <mergeCell ref="G129:J129"/>
    <mergeCell ref="B750:D750"/>
    <mergeCell ref="G2977:J2977"/>
    <mergeCell ref="H1706:J1706"/>
    <mergeCell ref="B1538:D1538"/>
    <mergeCell ref="G886:J886"/>
    <mergeCell ref="G429:J429"/>
    <mergeCell ref="H1302:J1302"/>
    <mergeCell ref="G729:J729"/>
    <mergeCell ref="A982:D982"/>
    <mergeCell ref="A45:D45"/>
    <mergeCell ref="G2997:J2997"/>
    <mergeCell ref="H1760:J1760"/>
    <mergeCell ref="H1303:J1303"/>
    <mergeCell ref="B1135:D1135"/>
    <mergeCell ref="A345:D345"/>
    <mergeCell ref="H1434:J1434"/>
    <mergeCell ref="H2060:J2060"/>
    <mergeCell ref="A2805:D2805"/>
    <mergeCell ref="H1603:J1603"/>
    <mergeCell ref="B1435:D1435"/>
    <mergeCell ref="H1734:J1734"/>
    <mergeCell ref="H2391:J2391"/>
    <mergeCell ref="B2198:D2198"/>
    <mergeCell ref="G898:J898"/>
    <mergeCell ref="A730:D730"/>
    <mergeCell ref="H1445:J1445"/>
    <mergeCell ref="B1277:D1277"/>
    <mergeCell ref="A1030:D1030"/>
    <mergeCell ref="H1745:J1745"/>
    <mergeCell ref="H2838:J2838"/>
    <mergeCell ref="B1577:D1577"/>
    <mergeCell ref="H2419:J2419"/>
    <mergeCell ref="B1794:D1794"/>
    <mergeCell ref="G1345:J1345"/>
    <mergeCell ref="A301:D301"/>
    <mergeCell ref="H344:J344"/>
    <mergeCell ref="A601:D601"/>
    <mergeCell ref="H2130:J2130"/>
    <mergeCell ref="G2014:J2014"/>
    <mergeCell ref="H650:J650"/>
    <mergeCell ref="H644:J644"/>
    <mergeCell ref="A1389:D1389"/>
    <mergeCell ref="H187:J187"/>
    <mergeCell ref="H2430:J2430"/>
    <mergeCell ref="B2262:D2262"/>
    <mergeCell ref="H2561:J2561"/>
    <mergeCell ref="B2562:D2562"/>
    <mergeCell ref="B2105:D2105"/>
    <mergeCell ref="B20:D20"/>
    <mergeCell ref="B2263:D2263"/>
    <mergeCell ref="H2488:J2488"/>
    <mergeCell ref="G1725:J1725"/>
    <mergeCell ref="H486:J486"/>
    <mergeCell ref="A1749:D1749"/>
    <mergeCell ref="H29:J29"/>
    <mergeCell ref="H2272:J2272"/>
    <mergeCell ref="H2788:J2788"/>
    <mergeCell ref="A1417:D1417"/>
    <mergeCell ref="H786:J786"/>
    <mergeCell ref="H329:J329"/>
    <mergeCell ref="B161:D161"/>
    <mergeCell ref="H2572:J2572"/>
    <mergeCell ref="H1003:J1003"/>
    <mergeCell ref="B461:D461"/>
    <mergeCell ref="H2872:J2872"/>
    <mergeCell ref="H787:J787"/>
    <mergeCell ref="B2247:D2247"/>
    <mergeCell ref="B162:D162"/>
    <mergeCell ref="B2921:D2921"/>
    <mergeCell ref="H389:J389"/>
    <mergeCell ref="G273:J273"/>
    <mergeCell ref="A1885:D1885"/>
    <mergeCell ref="H689:J689"/>
    <mergeCell ref="H714:J714"/>
    <mergeCell ref="A1453:D1453"/>
    <mergeCell ref="H2957:J2957"/>
    <mergeCell ref="G598:J598"/>
    <mergeCell ref="G2841:J2841"/>
    <mergeCell ref="H1471:J1471"/>
    <mergeCell ref="H1014:J1014"/>
    <mergeCell ref="B821:D821"/>
    <mergeCell ref="H1145:J1145"/>
    <mergeCell ref="B522:D522"/>
    <mergeCell ref="H1314:J1314"/>
    <mergeCell ref="H1472:J1472"/>
    <mergeCell ref="B2932:D2932"/>
    <mergeCell ref="G309:J309"/>
    <mergeCell ref="A1813:D1813"/>
    <mergeCell ref="H1772:J1772"/>
    <mergeCell ref="B1147:D1147"/>
    <mergeCell ref="H856:J856"/>
    <mergeCell ref="B2360:D2360"/>
    <mergeCell ref="H437:J437"/>
    <mergeCell ref="A2113:D2113"/>
    <mergeCell ref="A633:D633"/>
    <mergeCell ref="H1156:J1156"/>
    <mergeCell ref="B2660:D2660"/>
    <mergeCell ref="A2413:D2413"/>
    <mergeCell ref="H1805:J1805"/>
    <mergeCell ref="B2355:D2355"/>
    <mergeCell ref="H1456:J1456"/>
    <mergeCell ref="B2960:D2960"/>
    <mergeCell ref="G2422:J2422"/>
    <mergeCell ref="G337:J337"/>
    <mergeCell ref="H884:J884"/>
    <mergeCell ref="G637:J637"/>
    <mergeCell ref="A469:D469"/>
    <mergeCell ref="H1516:J1516"/>
    <mergeCell ref="B2502:D2502"/>
    <mergeCell ref="H1184:J1184"/>
    <mergeCell ref="G937:J937"/>
    <mergeCell ref="H1841:J1841"/>
    <mergeCell ref="H1816:J1816"/>
    <mergeCell ref="B2802:D2802"/>
    <mergeCell ref="H1484:J1484"/>
    <mergeCell ref="H2141:J2141"/>
    <mergeCell ref="B1649:D1649"/>
    <mergeCell ref="H2441:J2441"/>
    <mergeCell ref="H356:J356"/>
    <mergeCell ref="B1974:D1974"/>
    <mergeCell ref="G865:J865"/>
    <mergeCell ref="H172:J172"/>
    <mergeCell ref="B2274:D2274"/>
    <mergeCell ref="H1406:J1406"/>
    <mergeCell ref="B1244:D1244"/>
    <mergeCell ref="H1564:J1564"/>
    <mergeCell ref="B939:D939"/>
    <mergeCell ref="B1544:D1544"/>
    <mergeCell ref="A1297:D1297"/>
    <mergeCell ref="G1006:J1006"/>
    <mergeCell ref="B1239:D1239"/>
    <mergeCell ref="H100:J100"/>
    <mergeCell ref="H2011:J2011"/>
    <mergeCell ref="H400:J400"/>
    <mergeCell ref="G1981:J1981"/>
    <mergeCell ref="H2311:J2311"/>
    <mergeCell ref="B1844:D1844"/>
    <mergeCell ref="A1597:D1597"/>
    <mergeCell ref="B2318:D2318"/>
    <mergeCell ref="B233:D233"/>
    <mergeCell ref="B1924:D1924"/>
    <mergeCell ref="B2144:D2144"/>
    <mergeCell ref="A1897:D1897"/>
    <mergeCell ref="B2444:D2444"/>
    <mergeCell ref="H2538:J2538"/>
    <mergeCell ref="H2696:J2696"/>
    <mergeCell ref="H2239:J2239"/>
    <mergeCell ref="H542:J542"/>
    <mergeCell ref="B2071:D2071"/>
    <mergeCell ref="H2996:J2996"/>
    <mergeCell ref="H2539:J2539"/>
    <mergeCell ref="B2371:D2371"/>
    <mergeCell ref="H448:J448"/>
    <mergeCell ref="H2691:J2691"/>
    <mergeCell ref="B375:D375"/>
    <mergeCell ref="A1825:D1825"/>
    <mergeCell ref="B2066:D2066"/>
    <mergeCell ref="B2671:D2671"/>
    <mergeCell ref="G2133:J2133"/>
    <mergeCell ref="B2372:D2372"/>
    <mergeCell ref="B2366:D2366"/>
    <mergeCell ref="A1666:D1666"/>
    <mergeCell ref="H464:J464"/>
    <mergeCell ref="H595:J595"/>
    <mergeCell ref="G2134:J2134"/>
    <mergeCell ref="H1227:J1227"/>
    <mergeCell ref="A1966:D1966"/>
    <mergeCell ref="H764:J764"/>
    <mergeCell ref="H895:J895"/>
    <mergeCell ref="B272:D272"/>
    <mergeCell ref="H1527:J1527"/>
    <mergeCell ref="H590:J590"/>
    <mergeCell ref="A2266:D2266"/>
    <mergeCell ref="A181:D181"/>
    <mergeCell ref="B2094:D2094"/>
    <mergeCell ref="G250:J250"/>
    <mergeCell ref="B1060:D1060"/>
    <mergeCell ref="B728:D728"/>
    <mergeCell ref="B2840:D2840"/>
    <mergeCell ref="B2394:D2394"/>
    <mergeCell ref="A481:D481"/>
    <mergeCell ref="B1360:D1360"/>
    <mergeCell ref="G2949:J2949"/>
    <mergeCell ref="B1028:D1028"/>
    <mergeCell ref="H606:J606"/>
    <mergeCell ref="G2950:J2950"/>
    <mergeCell ref="H1880:J1880"/>
    <mergeCell ref="B320:D320"/>
    <mergeCell ref="G850:J850"/>
    <mergeCell ref="G418:J418"/>
    <mergeCell ref="G393:J393"/>
    <mergeCell ref="H940:J940"/>
    <mergeCell ref="B1408:D1408"/>
    <mergeCell ref="G718:J718"/>
    <mergeCell ref="A525:D525"/>
    <mergeCell ref="H1591:J1591"/>
    <mergeCell ref="A1917:D1917"/>
    <mergeCell ref="G1018:J1018"/>
    <mergeCell ref="A2674:D2674"/>
    <mergeCell ref="B1424:D1424"/>
    <mergeCell ref="H1723:J1723"/>
    <mergeCell ref="B978:D978"/>
    <mergeCell ref="G1078:J1078"/>
    <mergeCell ref="G141:J141"/>
    <mergeCell ref="B1724:D1724"/>
    <mergeCell ref="B979:D979"/>
    <mergeCell ref="A2821:D2821"/>
    <mergeCell ref="H1925:J1925"/>
    <mergeCell ref="G1834:J1834"/>
    <mergeCell ref="A573:D573"/>
    <mergeCell ref="B989:D989"/>
    <mergeCell ref="G2161:J2161"/>
    <mergeCell ref="H2708:J2708"/>
    <mergeCell ref="B2515:D2515"/>
    <mergeCell ref="A589:D589"/>
    <mergeCell ref="G1126:J1126"/>
    <mergeCell ref="A933:D933"/>
    <mergeCell ref="A501:D501"/>
    <mergeCell ref="H2067:J2067"/>
    <mergeCell ref="H1673:J1673"/>
    <mergeCell ref="B1048:D1048"/>
    <mergeCell ref="A1233:D1233"/>
    <mergeCell ref="H1973:J1973"/>
    <mergeCell ref="B1348:D1348"/>
    <mergeCell ref="G1273:J1273"/>
    <mergeCell ref="B1648:D1648"/>
    <mergeCell ref="G1573:J1573"/>
    <mergeCell ref="B1806:D1806"/>
    <mergeCell ref="G1873:J1873"/>
    <mergeCell ref="A1705:D1705"/>
    <mergeCell ref="H509:J509"/>
    <mergeCell ref="H2752:J2752"/>
    <mergeCell ref="H2658:J2658"/>
    <mergeCell ref="H662:J662"/>
    <mergeCell ref="B31:D31"/>
    <mergeCell ref="G2233:J2233"/>
    <mergeCell ref="B2791:D2791"/>
    <mergeCell ref="H2342:J2342"/>
    <mergeCell ref="H257:J257"/>
    <mergeCell ref="H2648:J2648"/>
    <mergeCell ref="H557:J557"/>
    <mergeCell ref="A1717:D1717"/>
    <mergeCell ref="H1109:J1109"/>
    <mergeCell ref="B364:D364"/>
    <mergeCell ref="H2800:J2800"/>
    <mergeCell ref="B2175:D2175"/>
    <mergeCell ref="B65:D65"/>
    <mergeCell ref="H857:J857"/>
    <mergeCell ref="A2017:D2017"/>
    <mergeCell ref="B1110:D1110"/>
    <mergeCell ref="B2475:D2475"/>
    <mergeCell ref="G457:J457"/>
    <mergeCell ref="B2775:D2775"/>
    <mergeCell ref="B690:D690"/>
    <mergeCell ref="B2933:D2933"/>
    <mergeCell ref="G2281:J2281"/>
    <mergeCell ref="G757:J757"/>
    <mergeCell ref="H1636:J1636"/>
    <mergeCell ref="H726:J726"/>
    <mergeCell ref="A2533:D2533"/>
    <mergeCell ref="B2644:D2644"/>
    <mergeCell ref="H759:J759"/>
    <mergeCell ref="B1158:D1158"/>
    <mergeCell ref="G1117:J1117"/>
    <mergeCell ref="H1059:J1059"/>
    <mergeCell ref="H596:J596"/>
    <mergeCell ref="H1384:J1384"/>
    <mergeCell ref="H1359:J1359"/>
    <mergeCell ref="B734:D734"/>
    <mergeCell ref="A645:D645"/>
    <mergeCell ref="H1684:J1684"/>
    <mergeCell ref="B1034:D1034"/>
    <mergeCell ref="B1192:D1192"/>
    <mergeCell ref="A970:D970"/>
    <mergeCell ref="B1517:D1517"/>
    <mergeCell ref="A2902:D2902"/>
    <mergeCell ref="B1508:D1508"/>
    <mergeCell ref="H2763:J2763"/>
    <mergeCell ref="H678:J678"/>
    <mergeCell ref="B1228:D1228"/>
    <mergeCell ref="B1203:D1203"/>
    <mergeCell ref="B1503:D1503"/>
    <mergeCell ref="H1886:J1886"/>
    <mergeCell ref="H2186:J2186"/>
    <mergeCell ref="A709:D709"/>
    <mergeCell ref="B1098:D1098"/>
    <mergeCell ref="H243:J243"/>
    <mergeCell ref="B1256:D1256"/>
    <mergeCell ref="H2511:J2511"/>
    <mergeCell ref="H2486:J2486"/>
    <mergeCell ref="B2019:D2019"/>
    <mergeCell ref="B1562:D1562"/>
    <mergeCell ref="B1556:D1556"/>
    <mergeCell ref="B76:D76"/>
    <mergeCell ref="B2319:D2319"/>
    <mergeCell ref="H112:J112"/>
    <mergeCell ref="H2414:J2414"/>
    <mergeCell ref="H2408:J2408"/>
    <mergeCell ref="B2246:D2246"/>
    <mergeCell ref="H412:J412"/>
    <mergeCell ref="B244:D244"/>
    <mergeCell ref="H2714:J2714"/>
    <mergeCell ref="B2030:D2030"/>
    <mergeCell ref="B2546:D2546"/>
    <mergeCell ref="H712:J712"/>
    <mergeCell ref="H2540:J2540"/>
    <mergeCell ref="B544:D544"/>
    <mergeCell ref="B87:D87"/>
    <mergeCell ref="B2330:D2330"/>
    <mergeCell ref="B245:D245"/>
    <mergeCell ref="B2846:D2846"/>
    <mergeCell ref="B761:D761"/>
    <mergeCell ref="G2314:J2314"/>
    <mergeCell ref="A1053:D1053"/>
    <mergeCell ref="B545:D545"/>
    <mergeCell ref="A1378:D1378"/>
    <mergeCell ref="H770:J770"/>
    <mergeCell ref="H307:J307"/>
    <mergeCell ref="H8:J8"/>
    <mergeCell ref="H2251:J2251"/>
    <mergeCell ref="H1070:J1070"/>
    <mergeCell ref="H771:J771"/>
    <mergeCell ref="B140:D140"/>
    <mergeCell ref="B115:D115"/>
    <mergeCell ref="B2383:D2383"/>
    <mergeCell ref="B903:D903"/>
    <mergeCell ref="B440:D440"/>
    <mergeCell ref="B2683:D2683"/>
    <mergeCell ref="A1869:D1869"/>
    <mergeCell ref="B2900:D2900"/>
    <mergeCell ref="G2362:J2362"/>
    <mergeCell ref="A2169:D2169"/>
    <mergeCell ref="A2494:D2494"/>
    <mergeCell ref="B614:D614"/>
    <mergeCell ref="B1219:D1219"/>
    <mergeCell ref="B800:D800"/>
    <mergeCell ref="B914:D914"/>
    <mergeCell ref="G262:J262"/>
    <mergeCell ref="H1756:J1756"/>
    <mergeCell ref="B1588:D1588"/>
    <mergeCell ref="H809:J809"/>
    <mergeCell ref="B1214:D1214"/>
    <mergeCell ref="B184:D184"/>
    <mergeCell ref="H835:J835"/>
    <mergeCell ref="B642:D642"/>
    <mergeCell ref="A2505:D2505"/>
    <mergeCell ref="H1592:J1592"/>
    <mergeCell ref="H1135:J1135"/>
    <mergeCell ref="G321:J321"/>
    <mergeCell ref="B967:D967"/>
    <mergeCell ref="B942:D942"/>
    <mergeCell ref="B510:D510"/>
    <mergeCell ref="G2101:J2101"/>
    <mergeCell ref="H1898:J1898"/>
    <mergeCell ref="B1730:D1730"/>
    <mergeCell ref="G621:J621"/>
    <mergeCell ref="B1267:D1267"/>
    <mergeCell ref="G2401:J2401"/>
    <mergeCell ref="G921:J921"/>
    <mergeCell ref="B1567:D1567"/>
    <mergeCell ref="A753:D753"/>
    <mergeCell ref="H2948:J2948"/>
    <mergeCell ref="H428:J428"/>
    <mergeCell ref="A754:D754"/>
    <mergeCell ref="H1820:J1820"/>
    <mergeCell ref="B1301:D1301"/>
    <mergeCell ref="A922:D922"/>
    <mergeCell ref="B1469:D1469"/>
    <mergeCell ref="A1222:D1222"/>
    <mergeCell ref="H151:J151"/>
    <mergeCell ref="H1962:J1962"/>
    <mergeCell ref="B1769:D1769"/>
    <mergeCell ref="A1522:D1522"/>
    <mergeCell ref="H2611:J2611"/>
    <mergeCell ref="H482:J482"/>
    <mergeCell ref="H2262:J2262"/>
    <mergeCell ref="B1637:D1637"/>
    <mergeCell ref="G985:J985"/>
    <mergeCell ref="B2095:D2095"/>
    <mergeCell ref="H52:J52"/>
    <mergeCell ref="H79:J79"/>
    <mergeCell ref="H2295:J2295"/>
    <mergeCell ref="G2206:J2206"/>
    <mergeCell ref="A1581:D1581"/>
    <mergeCell ref="H352:J352"/>
    <mergeCell ref="H379:J379"/>
    <mergeCell ref="B211:D211"/>
    <mergeCell ref="H2595:J2595"/>
    <mergeCell ref="B2128:D2128"/>
    <mergeCell ref="A1881:D1881"/>
    <mergeCell ref="B511:D511"/>
    <mergeCell ref="H2947:J2947"/>
    <mergeCell ref="B2297:D2297"/>
    <mergeCell ref="B212:D212"/>
    <mergeCell ref="B206:D206"/>
    <mergeCell ref="G1801:J1801"/>
    <mergeCell ref="B2428:D2428"/>
    <mergeCell ref="H520:J520"/>
    <mergeCell ref="H63:J63"/>
    <mergeCell ref="H221:J221"/>
    <mergeCell ref="H2980:J2980"/>
    <mergeCell ref="H978:J978"/>
    <mergeCell ref="H521:J521"/>
    <mergeCell ref="B353:D353"/>
    <mergeCell ref="A106:D106"/>
    <mergeCell ref="H1195:J1195"/>
    <mergeCell ref="B2596:D2596"/>
    <mergeCell ref="H821:J821"/>
    <mergeCell ref="B653:D653"/>
    <mergeCell ref="B196:D196"/>
    <mergeCell ref="B2896:D2896"/>
    <mergeCell ref="B2439:D2439"/>
    <mergeCell ref="B354:D354"/>
    <mergeCell ref="G421:J421"/>
    <mergeCell ref="B2764:D2764"/>
    <mergeCell ref="A1645:D1645"/>
    <mergeCell ref="G790:J790"/>
    <mergeCell ref="H2659:J2659"/>
    <mergeCell ref="H1179:J1179"/>
    <mergeCell ref="H1206:J1206"/>
    <mergeCell ref="B2192:D2192"/>
    <mergeCell ref="A1945:D1945"/>
    <mergeCell ref="H1337:J1337"/>
    <mergeCell ref="A465:D465"/>
    <mergeCell ref="H1506:J1506"/>
    <mergeCell ref="B2492:D2492"/>
    <mergeCell ref="A2245:D2245"/>
    <mergeCell ref="B1012:D1012"/>
    <mergeCell ref="G501:J501"/>
    <mergeCell ref="B2792:D2792"/>
    <mergeCell ref="B1339:D1339"/>
    <mergeCell ref="H890:J890"/>
    <mergeCell ref="H1048:J1048"/>
    <mergeCell ref="G801:J801"/>
    <mergeCell ref="H1348:J1348"/>
    <mergeCell ref="G1101:J1101"/>
    <mergeCell ref="B723:D723"/>
    <mergeCell ref="H1648:J1648"/>
    <mergeCell ref="B1023:D1023"/>
    <mergeCell ref="G529:J529"/>
    <mergeCell ref="H918:J918"/>
    <mergeCell ref="B1323:D1323"/>
    <mergeCell ref="B1481:D1481"/>
    <mergeCell ref="G213:J213"/>
    <mergeCell ref="B1051:D1051"/>
    <mergeCell ref="H2306:J2306"/>
    <mergeCell ref="G513:J513"/>
    <mergeCell ref="G2973:J2973"/>
    <mergeCell ref="B2139:D2139"/>
    <mergeCell ref="A346:D346"/>
    <mergeCell ref="H1598:J1598"/>
    <mergeCell ref="A1162:D1162"/>
    <mergeCell ref="H1712:J1712"/>
    <mergeCell ref="H1299:J1299"/>
    <mergeCell ref="H232:J232"/>
    <mergeCell ref="B1736:D1736"/>
    <mergeCell ref="B1850:D1850"/>
    <mergeCell ref="G1198:J1198"/>
    <mergeCell ref="B1431:D1431"/>
    <mergeCell ref="B1387:D1387"/>
    <mergeCell ref="H532:J532"/>
    <mergeCell ref="B2036:D2036"/>
    <mergeCell ref="B2150:D2150"/>
    <mergeCell ref="B1731:D1731"/>
    <mergeCell ref="A873:D873"/>
    <mergeCell ref="H1746:J1746"/>
    <mergeCell ref="G2173:J2173"/>
    <mergeCell ref="H260:J260"/>
    <mergeCell ref="B1878:D1878"/>
    <mergeCell ref="H2834:J2834"/>
    <mergeCell ref="B2178:D2178"/>
    <mergeCell ref="G1857:J1857"/>
    <mergeCell ref="A1173:D1173"/>
    <mergeCell ref="H2730:J2730"/>
    <mergeCell ref="H182:J182"/>
    <mergeCell ref="H2431:J2431"/>
    <mergeCell ref="A1473:D1473"/>
    <mergeCell ref="A1690:D1690"/>
    <mergeCell ref="H2731:J2731"/>
    <mergeCell ref="H1034:J1034"/>
    <mergeCell ref="H640:J640"/>
    <mergeCell ref="H183:J183"/>
    <mergeCell ref="B15:D15"/>
    <mergeCell ref="H2426:J2426"/>
    <mergeCell ref="B104:D104"/>
    <mergeCell ref="B2863:D2863"/>
    <mergeCell ref="B2406:D2406"/>
    <mergeCell ref="B315:D315"/>
    <mergeCell ref="G2325:J2325"/>
    <mergeCell ref="B2564:D2564"/>
    <mergeCell ref="B2558:D2558"/>
    <mergeCell ref="B404:D404"/>
    <mergeCell ref="G2026:J2026"/>
    <mergeCell ref="B615:D615"/>
    <mergeCell ref="H330:J330"/>
    <mergeCell ref="B2858:D2858"/>
    <mergeCell ref="H2573:J2573"/>
    <mergeCell ref="G2326:J2326"/>
    <mergeCell ref="A2158:D2158"/>
    <mergeCell ref="H1087:J1087"/>
    <mergeCell ref="H630:J630"/>
    <mergeCell ref="H2873:J2873"/>
    <mergeCell ref="H782:J782"/>
    <mergeCell ref="A2458:D2458"/>
    <mergeCell ref="A373:D373"/>
    <mergeCell ref="B762:D762"/>
    <mergeCell ref="B2548:D2548"/>
    <mergeCell ref="A673:D673"/>
    <mergeCell ref="B2154:D2154"/>
    <mergeCell ref="H1015:J1015"/>
    <mergeCell ref="A1729:D1729"/>
    <mergeCell ref="B458:D458"/>
    <mergeCell ref="H1098:J1098"/>
    <mergeCell ref="H1315:J1315"/>
    <mergeCell ref="B54:D54"/>
    <mergeCell ref="A2029:D2029"/>
    <mergeCell ref="B185:D185"/>
    <mergeCell ref="H1010:J1010"/>
    <mergeCell ref="H2072:J2072"/>
    <mergeCell ref="A2817:D2817"/>
    <mergeCell ref="H1615:J1615"/>
    <mergeCell ref="H1310:J1310"/>
    <mergeCell ref="B1142:D1142"/>
    <mergeCell ref="B1442:D1442"/>
    <mergeCell ref="G910:J910"/>
    <mergeCell ref="A742:D742"/>
    <mergeCell ref="A2109:D2109"/>
    <mergeCell ref="H1457:J1457"/>
    <mergeCell ref="G1210:J1210"/>
    <mergeCell ref="A1042:D1042"/>
    <mergeCell ref="H2214:J2214"/>
    <mergeCell ref="A2409:D2409"/>
    <mergeCell ref="H1757:J1757"/>
    <mergeCell ref="H1363:J1363"/>
    <mergeCell ref="A1342:D1342"/>
    <mergeCell ref="B1170:D1170"/>
    <mergeCell ref="H1915:J1915"/>
    <mergeCell ref="A313:D313"/>
    <mergeCell ref="A613:D613"/>
    <mergeCell ref="H2142:J2142"/>
    <mergeCell ref="A2881:D2881"/>
    <mergeCell ref="A765:D765"/>
    <mergeCell ref="H2442:J2442"/>
    <mergeCell ref="B1181:D1181"/>
    <mergeCell ref="B1312:D1312"/>
    <mergeCell ref="H2742:J2742"/>
    <mergeCell ref="H2900:J2900"/>
    <mergeCell ref="A781:D781"/>
    <mergeCell ref="B2275:D2275"/>
    <mergeCell ref="G1318:J1318"/>
    <mergeCell ref="H1865:J1865"/>
    <mergeCell ref="B2270:D2270"/>
    <mergeCell ref="G1618:J1618"/>
    <mergeCell ref="A993:D993"/>
    <mergeCell ref="H368:J368"/>
    <mergeCell ref="H2584:J2584"/>
    <mergeCell ref="H2165:J2165"/>
    <mergeCell ref="A1293:D1293"/>
    <mergeCell ref="H668:J668"/>
    <mergeCell ref="H2884:J2884"/>
    <mergeCell ref="H799:J799"/>
    <mergeCell ref="H2490:J2490"/>
    <mergeCell ref="H2465:J2465"/>
    <mergeCell ref="B174:D174"/>
    <mergeCell ref="B1840:D1840"/>
    <mergeCell ref="G1765:J1765"/>
    <mergeCell ref="B55:D55"/>
    <mergeCell ref="G2065:J2065"/>
    <mergeCell ref="H2176:J2176"/>
    <mergeCell ref="H91:J91"/>
    <mergeCell ref="B223:D223"/>
  </mergeCells>
  <pageMargins left="0.75" right="0.75" top="1" bottom="1" header="0" footer="0"/>
  <pageSetup orientation="landscape"/>
</worksheet>
</file>

<file path=xl/worksheets/sheet8.xml><?xml version="1.0" encoding="utf-8"?>
<worksheet xmlns="http://schemas.openxmlformats.org/spreadsheetml/2006/main">
  <sheetPr>
    <outlinePr summaryBelow="0" summaryRight="0"/>
    <pageSetUpPr/>
  </sheetPr>
  <dimension ref="A1:C1"/>
  <sheetViews>
    <sheetView workbookViewId="0">
      <selection activeCell="A1" sqref="A1"/>
    </sheetView>
  </sheetViews>
  <sheetFormatPr baseColWidth="8" defaultColWidth="14.43" defaultRowHeight="15" customHeight="1"/>
  <sheetData>
    <row r="1">
      <c r="A1" s="51" t="inlineStr">
        <is>
          <t>Timestamp</t>
        </is>
      </c>
      <c r="B1" s="51" t="inlineStr">
        <is>
          <t>Payload</t>
        </is>
      </c>
      <c r="C1" s="51" t="inlineStr">
        <is>
          <t>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2026-06-08T10:44:54Z</dcterms:created>
  <dcterms:modified xmlns:dcterms="http://purl.org/dc/terms/" xmlns:xsi="http://www.w3.org/2001/XMLSchema-instance" xsi:type="dcterms:W3CDTF">2026-06-08T10:44:59Z</dcterms:modified>
</cp:coreProperties>
</file>